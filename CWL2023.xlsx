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40" yWindow="1700" windowWidth="33120" windowHeight="17560" tabRatio="600" firstSheet="0" activeTab="2" autoFilterDateGrouping="1"/>
  </bookViews>
  <sheets>
    <sheet name="RegisteredPlayers" sheetId="1" state="visible" r:id="rId1"/>
    <sheet name="Rankings_Old" sheetId="2" state="hidden" r:id="rId2"/>
    <sheet name="Rankings" sheetId="3" state="visible" r:id="rId3"/>
    <sheet name="01" sheetId="4" state="visible" r:id="rId4"/>
    <sheet name="02" sheetId="5" state="visible" r:id="rId5"/>
    <sheet name="03" sheetId="6" state="visible" r:id="rId6"/>
    <sheet name="04" sheetId="7" state="visible" r:id="rId7"/>
    <sheet name="05" sheetId="8" state="visible" r:id="rId8"/>
    <sheet name="06" sheetId="9" state="visible" r:id="rId9"/>
    <sheet name="07" sheetId="10" state="visible" r:id="rId10"/>
    <sheet name="08" sheetId="11" state="visible" r:id="rId11"/>
    <sheet name="09" sheetId="12" state="visible" r:id="rId12"/>
    <sheet name="Others09" sheetId="13" state="hidden" r:id="rId13"/>
    <sheet name="10" sheetId="14" state="visible" r:id="rId14"/>
    <sheet name="11" sheetId="15" state="visible" r:id="rId15"/>
    <sheet name="12" sheetId="16" state="visible" r:id="rId16"/>
    <sheet name="Others06" sheetId="17" state="hidden" r:id="rId17"/>
    <sheet name="Others07" sheetId="18" state="hidden" r:id="rId18"/>
    <sheet name="Others08" sheetId="19" state="hidden" r:id="rId19"/>
    <sheet name="SafeSheet" sheetId="20" state="hidden" r:id="rId2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color rgb="FF000000"/>
      <sz val="14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venir Next Medium"/>
      <family val="2"/>
      <color theme="1"/>
      <sz val="11"/>
    </font>
    <font>
      <name val="Arial"/>
      <family val="2"/>
      <b val="1"/>
      <color theme="1"/>
      <sz val="12"/>
    </font>
    <font>
      <name val="Avenir Next Medium"/>
      <family val="2"/>
      <color theme="1"/>
      <sz val="12"/>
    </font>
    <font>
      <name val="Avenir Next Medium"/>
      <family val="2"/>
      <b val="1"/>
      <color theme="1"/>
      <sz val="11"/>
    </font>
    <font>
      <name val="Avenir Next Medium"/>
      <family val="2"/>
      <b val="1"/>
      <color theme="1"/>
      <sz val="12"/>
    </font>
    <font>
      <name val="Arial"/>
      <family val="2"/>
      <color rgb="FFFF0000"/>
      <sz val="11"/>
    </font>
    <font>
      <name val="Arial"/>
      <family val="2"/>
      <b val="1"/>
      <color rgb="FFFF0000"/>
      <sz val="12"/>
    </font>
    <font>
      <name val="Arial"/>
      <family val="2"/>
      <b val="1"/>
      <color rgb="FF0EB83A"/>
      <sz val="12"/>
    </font>
    <font>
      <name val="Arial"/>
      <family val="2"/>
      <color rgb="FF0EB83A"/>
      <sz val="11"/>
    </font>
    <font>
      <name val="Arial"/>
      <family val="2"/>
      <b val="1"/>
      <sz val="12"/>
    </font>
    <font>
      <name val="Arial"/>
      <family val="2"/>
      <color rgb="FF268ACF"/>
      <sz val="11"/>
    </font>
    <font>
      <name val="Arial"/>
      <family val="2"/>
      <b val="1"/>
      <sz val="18"/>
    </font>
    <font>
      <name val="Arial"/>
      <family val="2"/>
      <color theme="1"/>
      <sz val="10"/>
    </font>
    <font>
      <name val="Arial"/>
      <family val="2"/>
      <b val="1"/>
      <color rgb="FF000000"/>
      <sz val="12"/>
    </font>
  </fonts>
  <fills count="12">
    <fill>
      <patternFill/>
    </fill>
    <fill>
      <patternFill patternType="gray125"/>
    </fill>
    <fill>
      <patternFill patternType="solid">
        <fgColor rgb="FF258AC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38ACF"/>
        <bgColor indexed="64"/>
      </patternFill>
    </fill>
    <fill>
      <patternFill patternType="solid">
        <fgColor rgb="FF92D051"/>
        <bgColor indexed="64"/>
      </patternFill>
    </fill>
    <fill>
      <patternFill patternType="solid">
        <fgColor rgb="FFAAF35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268AC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E79A"/>
        <bgColor indexed="64"/>
      </patternFill>
    </fill>
    <fill>
      <patternFill patternType="solid">
        <fgColor rgb="FF91CF51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3" fillId="0" borderId="1"/>
    <xf numFmtId="9" fontId="3" fillId="0" borderId="1"/>
  </cellStyleXfs>
  <cellXfs count="10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left"/>
    </xf>
    <xf numFmtId="0" fontId="4" fillId="2" borderId="1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2" borderId="1" pivotButton="0" quotePrefix="0" xfId="0"/>
    <xf numFmtId="0" fontId="6" fillId="2" borderId="0" pivotButton="0" quotePrefix="0" xfId="0"/>
    <xf numFmtId="0" fontId="9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4" fontId="7" fillId="5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164" fontId="4" fillId="6" borderId="6" applyAlignment="1" pivotButton="0" quotePrefix="0" xfId="1">
      <alignment horizontal="center" vertical="center"/>
    </xf>
    <xf numFmtId="0" fontId="8" fillId="7" borderId="1" applyAlignment="1" pivotButton="0" quotePrefix="0" xfId="0">
      <alignment horizontal="center"/>
    </xf>
    <xf numFmtId="0" fontId="5" fillId="5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/>
    </xf>
    <xf numFmtId="0" fontId="5" fillId="3" borderId="11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0" fontId="4" fillId="2" borderId="12" pivotButton="0" quotePrefix="0" xfId="0"/>
    <xf numFmtId="0" fontId="5" fillId="5" borderId="9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164" fontId="14" fillId="6" borderId="6" applyAlignment="1" pivotButton="0" quotePrefix="0" xfId="1">
      <alignment horizontal="center" vertical="center"/>
    </xf>
    <xf numFmtId="0" fontId="4" fillId="8" borderId="1" pivotButton="0" quotePrefix="0" xfId="0"/>
    <xf numFmtId="3" fontId="4" fillId="8" borderId="1" pivotButton="0" quotePrefix="0" xfId="0"/>
    <xf numFmtId="0" fontId="4" fillId="8" borderId="0" pivotButton="0" quotePrefix="0" xfId="0"/>
    <xf numFmtId="3" fontId="1" fillId="8" borderId="1" applyAlignment="1" pivotButton="0" quotePrefix="0" xfId="0">
      <alignment horizontal="left"/>
    </xf>
    <xf numFmtId="3" fontId="1" fillId="8" borderId="1" applyAlignment="1" pivotButton="0" quotePrefix="0" xfId="0">
      <alignment horizontal="right"/>
    </xf>
    <xf numFmtId="0" fontId="1" fillId="8" borderId="1" applyAlignment="1" pivotButton="0" quotePrefix="0" xfId="0">
      <alignment horizontal="left"/>
    </xf>
    <xf numFmtId="3" fontId="4" fillId="8" borderId="0" pivotButton="0" quotePrefix="0" xfId="0"/>
    <xf numFmtId="0" fontId="0" fillId="8" borderId="0" pivotButton="0" quotePrefix="0" xfId="0"/>
    <xf numFmtId="3" fontId="1" fillId="0" borderId="1" applyAlignment="1" pivotButton="0" quotePrefix="0" xfId="0">
      <alignment horizontal="center"/>
    </xf>
    <xf numFmtId="3" fontId="4" fillId="8" borderId="1" applyAlignment="1" pivotButton="0" quotePrefix="0" xfId="0">
      <alignment horizontal="center" vertical="center"/>
    </xf>
    <xf numFmtId="3" fontId="1" fillId="8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3" fontId="4" fillId="8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1" fillId="2" borderId="1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164" fontId="11" fillId="6" borderId="6" applyAlignment="1" pivotButton="0" quotePrefix="0" xfId="1">
      <alignment horizontal="center" vertical="center"/>
    </xf>
    <xf numFmtId="0" fontId="5" fillId="6" borderId="14" applyAlignment="1" pivotButton="0" quotePrefix="0" xfId="0">
      <alignment horizontal="center" vertical="center"/>
    </xf>
    <xf numFmtId="164" fontId="5" fillId="6" borderId="5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0" fillId="6" borderId="6" pivotButton="0" quotePrefix="0" xfId="0"/>
    <xf numFmtId="0" fontId="1" fillId="2" borderId="1" applyAlignment="1" pivotButton="0" quotePrefix="0" xfId="0">
      <alignment horizontal="center" vertical="center"/>
    </xf>
    <xf numFmtId="0" fontId="16" fillId="2" borderId="12" pivotButton="0" quotePrefix="0" xfId="0"/>
    <xf numFmtId="0" fontId="16" fillId="2" borderId="1" pivotButton="0" quotePrefix="0" xfId="0"/>
    <xf numFmtId="0" fontId="16" fillId="2" borderId="0" pivotButton="0" quotePrefix="0" xfId="0"/>
    <xf numFmtId="0" fontId="1" fillId="2" borderId="17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0" fillId="3" borderId="19" applyAlignment="1" pivotButton="0" quotePrefix="0" xfId="0">
      <alignment horizontal="center"/>
    </xf>
    <xf numFmtId="0" fontId="10" fillId="3" borderId="20" applyAlignment="1" pivotButton="0" quotePrefix="0" xfId="0">
      <alignment horizontal="center"/>
    </xf>
    <xf numFmtId="0" fontId="8" fillId="7" borderId="20" applyAlignment="1" pivotButton="0" quotePrefix="0" xfId="0">
      <alignment horizontal="center"/>
    </xf>
    <xf numFmtId="0" fontId="4" fillId="2" borderId="2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/>
    </xf>
    <xf numFmtId="0" fontId="4" fillId="9" borderId="1" pivotButton="0" quotePrefix="0" xfId="0"/>
    <xf numFmtId="0" fontId="5" fillId="5" borderId="23" applyAlignment="1" pivotButton="0" quotePrefix="0" xfId="0">
      <alignment horizontal="center" vertical="center"/>
    </xf>
    <xf numFmtId="0" fontId="4" fillId="5" borderId="18" applyAlignment="1" pivotButton="0" quotePrefix="0" xfId="0">
      <alignment horizontal="center" vertical="center"/>
    </xf>
    <xf numFmtId="0" fontId="16" fillId="2" borderId="18" pivotButton="0" quotePrefix="0" xfId="0"/>
    <xf numFmtId="0" fontId="18" fillId="0" borderId="0" pivotButton="0" quotePrefix="0" xfId="0"/>
    <xf numFmtId="0" fontId="4" fillId="10" borderId="1" applyAlignment="1" pivotButton="0" quotePrefix="0" xfId="0">
      <alignment vertical="center"/>
    </xf>
    <xf numFmtId="0" fontId="4" fillId="10" borderId="1" pivotButton="0" quotePrefix="0" xfId="0"/>
    <xf numFmtId="0" fontId="4" fillId="10" borderId="1" applyAlignment="1" pivotButton="0" quotePrefix="0" xfId="0">
      <alignment horizontal="center" vertical="center"/>
    </xf>
    <xf numFmtId="3" fontId="1" fillId="10" borderId="1" applyAlignment="1" pivotButton="0" quotePrefix="0" xfId="0">
      <alignment horizontal="left"/>
    </xf>
    <xf numFmtId="3" fontId="4" fillId="10" borderId="1" applyAlignment="1" pivotButton="0" quotePrefix="0" xfId="0">
      <alignment horizontal="left"/>
    </xf>
    <xf numFmtId="1" fontId="4" fillId="10" borderId="1" applyAlignment="1" pivotButton="0" quotePrefix="0" xfId="1">
      <alignment horizontal="center" vertical="center"/>
    </xf>
    <xf numFmtId="9" fontId="4" fillId="10" borderId="1" applyAlignment="1" pivotButton="0" quotePrefix="0" xfId="1">
      <alignment horizontal="center" vertical="center"/>
    </xf>
    <xf numFmtId="0" fontId="4" fillId="10" borderId="1" applyAlignment="1" pivotButton="0" quotePrefix="0" xfId="0">
      <alignment horizontal="center"/>
    </xf>
    <xf numFmtId="3" fontId="19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11" borderId="8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20" applyAlignment="1" pivotButton="0" quotePrefix="0" xfId="0">
      <alignment horizontal="center" vertical="center"/>
    </xf>
    <xf numFmtId="0" fontId="0" fillId="0" borderId="20" pivotButton="0" quotePrefix="0" xfId="0"/>
    <xf numFmtId="0" fontId="5" fillId="3" borderId="22" applyAlignment="1" pivotButton="0" quotePrefix="0" xfId="0">
      <alignment horizontal="center" vertical="center"/>
    </xf>
    <xf numFmtId="0" fontId="0" fillId="0" borderId="22" pivotButton="0" quotePrefix="0" xfId="0"/>
    <xf numFmtId="0" fontId="10" fillId="7" borderId="24" applyAlignment="1" pivotButton="0" quotePrefix="0" xfId="0">
      <alignment horizontal="center" vertical="center"/>
    </xf>
    <xf numFmtId="0" fontId="0" fillId="0" borderId="24" pivotButton="0" quotePrefix="0" xfId="0"/>
    <xf numFmtId="0" fontId="17" fillId="6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6" pivotButton="0" quotePrefix="0" xfId="0"/>
    <xf numFmtId="0" fontId="0" fillId="0" borderId="7" pivotButton="0" quotePrefix="0" xfId="0"/>
    <xf numFmtId="0" fontId="15" fillId="6" borderId="15" applyAlignment="1" pivotButton="0" quotePrefix="0" xfId="0">
      <alignment horizontal="center" vertical="center"/>
    </xf>
    <xf numFmtId="0" fontId="7" fillId="6" borderId="21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dxfs count="184"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ont>
        <b val="1"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 val="1"/>
        <i val="1"/>
        <strike val="0"/>
        <color theme="1"/>
      </font>
      <numFmt numFmtId="0" formatCode="General"/>
      <fill>
        <patternFill>
          <bgColor rgb="FF00FF50"/>
        </patternFill>
      </fill>
    </dxf>
    <dxf>
      <font>
        <b val="1"/>
        <i val="1"/>
        <strike val="0"/>
        <color rgb="FFFF0000"/>
      </font>
      <fill>
        <patternFill>
          <bgColor theme="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G17"/>
  <sheetViews>
    <sheetView workbookViewId="0">
      <selection activeCell="F6" sqref="F6"/>
    </sheetView>
  </sheetViews>
  <sheetFormatPr baseColWidth="10" defaultColWidth="8.83203125" defaultRowHeight="15"/>
  <cols>
    <col width="8.83203125" customWidth="1" min="1" max="1"/>
  </cols>
  <sheetData>
    <row r="1">
      <c r="A1" s="64" t="inlineStr">
        <is>
          <t>Registered</t>
        </is>
      </c>
      <c r="B1" s="64" t="n"/>
      <c r="C1" s="64" t="n"/>
      <c r="D1" s="64" t="n"/>
      <c r="E1" s="64" t="n"/>
      <c r="F1" s="64" t="n"/>
    </row>
    <row r="2" customFormat="1" s="84">
      <c r="A2" s="64" t="n"/>
      <c r="B2" s="64" t="n"/>
      <c r="C2" s="64" t="n"/>
      <c r="D2" s="64" t="n"/>
      <c r="E2" s="64" t="n"/>
      <c r="F2" s="64" t="n"/>
    </row>
    <row r="3">
      <c r="A3" t="inlineStr">
        <is>
          <t>#PYYPCLCJ</t>
        </is>
      </c>
      <c r="B3" t="inlineStr">
        <is>
          <t>danceshell12</t>
        </is>
      </c>
      <c r="F3">
        <f t="array" ref="F3:G17">A3:B17</f>
        <v/>
      </c>
      <c r="G3" t="inlineStr">
        <is>
          <t>danceshell12</t>
        </is>
      </c>
    </row>
    <row r="4">
      <c r="A4" t="inlineStr">
        <is>
          <t>#89Q2YQ9C</t>
        </is>
      </c>
      <c r="B4" t="inlineStr">
        <is>
          <t>zeon</t>
        </is>
      </c>
      <c r="F4" t="inlineStr">
        <is>
          <t>#89Q2YQ9C</t>
        </is>
      </c>
      <c r="G4" t="inlineStr">
        <is>
          <t>zeon</t>
        </is>
      </c>
    </row>
    <row r="5">
      <c r="A5" t="inlineStr">
        <is>
          <t>#2PV8PYC0Q</t>
        </is>
      </c>
      <c r="B5" t="inlineStr">
        <is>
          <t>Bunny</t>
        </is>
      </c>
      <c r="F5" t="inlineStr">
        <is>
          <t>#2PV8PYC0Q</t>
        </is>
      </c>
      <c r="G5" t="inlineStr">
        <is>
          <t>Bunny</t>
        </is>
      </c>
    </row>
    <row r="6">
      <c r="A6" t="inlineStr">
        <is>
          <t>#CVYUC2CJ</t>
        </is>
      </c>
      <c r="B6" t="inlineStr">
        <is>
          <t>vAtS</t>
        </is>
      </c>
      <c r="F6" t="inlineStr">
        <is>
          <t>#CVYUC2CJ</t>
        </is>
      </c>
      <c r="G6" t="inlineStr">
        <is>
          <t>vAtS</t>
        </is>
      </c>
    </row>
    <row r="7">
      <c r="A7" t="inlineStr">
        <is>
          <t>#LGP2P0CRV</t>
        </is>
      </c>
      <c r="B7" t="inlineStr">
        <is>
          <t>babÿ champagne</t>
        </is>
      </c>
      <c r="F7" t="inlineStr">
        <is>
          <t>#LGP2P0CRV</t>
        </is>
      </c>
      <c r="G7" t="inlineStr">
        <is>
          <t>babÿ champagne</t>
        </is>
      </c>
    </row>
    <row r="8">
      <c r="A8" t="inlineStr">
        <is>
          <t>#2GQLPJ9JL</t>
        </is>
      </c>
      <c r="B8" t="inlineStr">
        <is>
          <t>TDC</t>
        </is>
      </c>
      <c r="F8" t="inlineStr">
        <is>
          <t>#2GQLPJ9JL</t>
        </is>
      </c>
      <c r="G8" t="inlineStr">
        <is>
          <t>TDC</t>
        </is>
      </c>
    </row>
    <row r="9">
      <c r="A9" t="inlineStr">
        <is>
          <t>#URGR20J0</t>
        </is>
      </c>
      <c r="B9" t="inlineStr">
        <is>
          <t>zeezus</t>
        </is>
      </c>
      <c r="F9" t="inlineStr">
        <is>
          <t>#URGR20J0</t>
        </is>
      </c>
      <c r="G9" t="inlineStr">
        <is>
          <t>zeezus</t>
        </is>
      </c>
    </row>
    <row r="10">
      <c r="A10" t="inlineStr">
        <is>
          <t>#29G0L9JL9</t>
        </is>
      </c>
      <c r="B10" t="inlineStr">
        <is>
          <t>Jesús F7</t>
        </is>
      </c>
      <c r="F10" t="inlineStr">
        <is>
          <t>#29G0L9JL9</t>
        </is>
      </c>
      <c r="G10" t="inlineStr">
        <is>
          <t>Jesús F7</t>
        </is>
      </c>
    </row>
    <row r="11">
      <c r="A11" t="inlineStr">
        <is>
          <t>#JJ8Y9JU8</t>
        </is>
      </c>
      <c r="B11" t="inlineStr">
        <is>
          <t>champagnebucci</t>
        </is>
      </c>
      <c r="F11" t="inlineStr">
        <is>
          <t>#JJ8Y9JU8</t>
        </is>
      </c>
      <c r="G11" t="inlineStr">
        <is>
          <t>champagnebucci</t>
        </is>
      </c>
    </row>
    <row r="12">
      <c r="A12" t="inlineStr">
        <is>
          <t>#Y0RVYJVC</t>
        </is>
      </c>
      <c r="B12" t="inlineStr">
        <is>
          <t>⚡️⚡️ G U S ⚡️⚡️</t>
        </is>
      </c>
      <c r="F12" t="inlineStr">
        <is>
          <t>#Y0RVYJVC</t>
        </is>
      </c>
      <c r="G12" t="inlineStr">
        <is>
          <t>⚡️⚡️ G U S ⚡️⚡️</t>
        </is>
      </c>
    </row>
    <row r="13">
      <c r="A13" t="inlineStr">
        <is>
          <t>#YCVR9CC0C</t>
        </is>
      </c>
      <c r="B13" t="inlineStr">
        <is>
          <t>Bilbo_Swaggins</t>
        </is>
      </c>
      <c r="F13" t="inlineStr">
        <is>
          <t>#YCVR9CC0C</t>
        </is>
      </c>
      <c r="G13" t="inlineStr">
        <is>
          <t>Bilbo_Swaggins</t>
        </is>
      </c>
    </row>
    <row r="14">
      <c r="A14" t="inlineStr">
        <is>
          <t>#8JU98908G</t>
        </is>
      </c>
      <c r="B14" t="inlineStr">
        <is>
          <t>H@PP¥</t>
        </is>
      </c>
      <c r="F14" t="inlineStr">
        <is>
          <t>#8JU98908G</t>
        </is>
      </c>
      <c r="G14" t="inlineStr">
        <is>
          <t>H@PP¥</t>
        </is>
      </c>
    </row>
    <row r="15">
      <c r="A15" t="inlineStr">
        <is>
          <t>#P920JLC0P</t>
        </is>
      </c>
      <c r="B15" t="inlineStr">
        <is>
          <t>EE Sp∆ce</t>
        </is>
      </c>
      <c r="F15" t="inlineStr">
        <is>
          <t>#P920JLC0P</t>
        </is>
      </c>
      <c r="G15" t="inlineStr">
        <is>
          <t>EE Sp∆ce</t>
        </is>
      </c>
    </row>
    <row r="16">
      <c r="A16" t="inlineStr">
        <is>
          <t>#C9UU0C9G</t>
        </is>
      </c>
      <c r="B16" t="inlineStr">
        <is>
          <t>Ace Fletch</t>
        </is>
      </c>
      <c r="F16" t="inlineStr">
        <is>
          <t>#C9UU0C9G</t>
        </is>
      </c>
      <c r="G16" t="inlineStr">
        <is>
          <t>Ace Fletch</t>
        </is>
      </c>
    </row>
    <row r="17">
      <c r="A17" t="inlineStr">
        <is>
          <t>#9RCCUY28U</t>
        </is>
      </c>
      <c r="B17" t="inlineStr">
        <is>
          <t>Roman Rittik</t>
        </is>
      </c>
      <c r="F17" t="inlineStr">
        <is>
          <t>#9RCCUY28U</t>
        </is>
      </c>
      <c r="G17" t="inlineStr">
        <is>
          <t>Roman Rittik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Q623"/>
  <sheetViews>
    <sheetView workbookViewId="0">
      <selection activeCell="A33" sqref="A33"/>
    </sheetView>
  </sheetViews>
  <sheetFormatPr baseColWidth="10" defaultRowHeight="15"/>
  <cols>
    <col hidden="1" width="13" customWidth="1" min="14" max="14"/>
  </cols>
  <sheetData>
    <row r="1"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 %</t>
        </is>
      </c>
      <c r="O1" t="inlineStr">
        <is>
          <t>Total stars</t>
        </is>
      </c>
      <c r="P1" t="inlineStr">
        <is>
          <t>Rank</t>
        </is>
      </c>
      <c r="Q1" t="inlineStr">
        <is>
          <t>100*total%</t>
        </is>
      </c>
    </row>
    <row r="2">
      <c r="A2" t="inlineStr">
        <is>
          <t>Player</t>
        </is>
      </c>
    </row>
    <row r="3">
      <c r="A3" t="inlineStr">
        <is>
          <t>H@PPY</t>
        </is>
      </c>
      <c r="B3" t="n">
        <v>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21</v>
      </c>
      <c r="P3" t="n">
        <v>19</v>
      </c>
      <c r="Q3">
        <f>100*N3</f>
        <v/>
      </c>
    </row>
    <row r="4">
      <c r="A4" t="inlineStr">
        <is>
          <t>Bilbo_Swaggins</t>
        </is>
      </c>
      <c r="B4" t="n">
        <v>19</v>
      </c>
      <c r="C4" t="n">
        <v>17</v>
      </c>
      <c r="D4" t="n">
        <v>17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23.08</v>
      </c>
      <c r="O4" t="n">
        <v>60</v>
      </c>
      <c r="P4" t="n">
        <v>4</v>
      </c>
      <c r="Q4">
        <f>100*N4</f>
        <v/>
      </c>
    </row>
    <row r="5">
      <c r="A5" t="inlineStr">
        <is>
          <t>TDC</t>
        </is>
      </c>
      <c r="B5" t="n">
        <v>19</v>
      </c>
      <c r="C5" t="n">
        <v>11</v>
      </c>
      <c r="D5" t="n">
        <v>9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20.23999999999999</v>
      </c>
      <c r="O5" t="n">
        <v>54</v>
      </c>
      <c r="P5" t="n">
        <v>6</v>
      </c>
      <c r="Q5">
        <f>100*N5</f>
        <v/>
      </c>
    </row>
    <row r="6">
      <c r="A6" t="inlineStr">
        <is>
          <t>Dr. Shivam</t>
        </is>
      </c>
      <c r="B6" t="n">
        <v>18</v>
      </c>
      <c r="C6" t="n">
        <v>16</v>
      </c>
      <c r="D6" t="n">
        <v>16</v>
      </c>
      <c r="E6" t="n">
        <v>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23.24</v>
      </c>
      <c r="O6" t="n">
        <v>63</v>
      </c>
      <c r="P6" t="n">
        <v>3</v>
      </c>
      <c r="Q6">
        <f>100*N6</f>
        <v/>
      </c>
    </row>
    <row r="7">
      <c r="A7" t="inlineStr">
        <is>
          <t>champagnebucci</t>
        </is>
      </c>
      <c r="B7" t="n">
        <v>17</v>
      </c>
      <c r="C7" t="n">
        <v>16</v>
      </c>
      <c r="D7" t="n">
        <v>17</v>
      </c>
      <c r="E7" t="n">
        <v>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25.24</v>
      </c>
      <c r="O7" t="n">
        <v>66</v>
      </c>
      <c r="P7" t="n">
        <v>2</v>
      </c>
      <c r="Q7">
        <f>100*N7</f>
        <v/>
      </c>
    </row>
    <row r="8">
      <c r="A8" t="inlineStr">
        <is>
          <t>paul</t>
        </is>
      </c>
      <c r="B8" t="n">
        <v>17</v>
      </c>
      <c r="C8" t="n">
        <v>10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14.53</v>
      </c>
      <c r="O8" t="n">
        <v>33</v>
      </c>
      <c r="P8" t="n">
        <v>13</v>
      </c>
      <c r="Q8">
        <f>100*N8</f>
        <v/>
      </c>
    </row>
    <row r="9">
      <c r="A9" t="inlineStr">
        <is>
          <t>Voltage-Gamer</t>
        </is>
      </c>
      <c r="B9" t="n">
        <v>17</v>
      </c>
      <c r="C9" t="n">
        <v>0</v>
      </c>
      <c r="D9" t="n">
        <v>0</v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10.29</v>
      </c>
      <c r="O9" t="n">
        <v>29</v>
      </c>
      <c r="P9" t="n">
        <v>16</v>
      </c>
      <c r="Q9">
        <f>100*N9</f>
        <v/>
      </c>
    </row>
    <row r="10">
      <c r="A10" t="inlineStr">
        <is>
          <t>EE Gus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6.59</v>
      </c>
      <c r="O10" t="n">
        <v>16</v>
      </c>
      <c r="P10" t="n">
        <v>24</v>
      </c>
      <c r="Q10">
        <f>100*N10</f>
        <v/>
      </c>
    </row>
    <row r="11">
      <c r="A11" t="inlineStr">
        <is>
          <t>DD</t>
        </is>
      </c>
      <c r="B11" t="n">
        <v>16</v>
      </c>
      <c r="C11" t="n">
        <v>10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15.48</v>
      </c>
      <c r="O11" t="n">
        <v>40</v>
      </c>
      <c r="P11" t="n">
        <v>9</v>
      </c>
      <c r="Q11">
        <f>100*N11</f>
        <v/>
      </c>
    </row>
    <row r="12">
      <c r="A12" t="inlineStr">
        <is>
          <t>Dpk GarG Sharma</t>
        </is>
      </c>
      <c r="B12" t="n">
        <v>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5.81</v>
      </c>
      <c r="O12" t="n">
        <v>16</v>
      </c>
      <c r="P12" t="n">
        <v>26</v>
      </c>
      <c r="Q12">
        <f>100*N12</f>
        <v/>
      </c>
    </row>
    <row r="13">
      <c r="A13" t="inlineStr">
        <is>
          <t>Jesús F7</t>
        </is>
      </c>
      <c r="B13" t="n">
        <v>15</v>
      </c>
      <c r="C13" t="n">
        <v>14</v>
      </c>
      <c r="D13" t="n">
        <v>9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18.89</v>
      </c>
      <c r="O13" t="n">
        <v>49</v>
      </c>
      <c r="P13" t="n">
        <v>7</v>
      </c>
      <c r="Q13">
        <f>100*N13</f>
        <v/>
      </c>
    </row>
    <row r="14">
      <c r="A14" t="inlineStr">
        <is>
          <t>zeezus</t>
        </is>
      </c>
      <c r="B14" t="n">
        <v>15</v>
      </c>
      <c r="C14" t="n">
        <v>12</v>
      </c>
      <c r="D14" t="n">
        <v>16</v>
      </c>
      <c r="E14" t="n">
        <v>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22.8</v>
      </c>
      <c r="O14" t="n">
        <v>58</v>
      </c>
      <c r="P14" t="n">
        <v>5</v>
      </c>
      <c r="Q14">
        <f>100*N14</f>
        <v/>
      </c>
    </row>
    <row r="15">
      <c r="A15" t="inlineStr">
        <is>
          <t>nihi</t>
        </is>
      </c>
      <c r="B15" t="n">
        <v>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5.649999999999999</v>
      </c>
      <c r="O15" t="n">
        <v>15</v>
      </c>
      <c r="P15" t="n">
        <v>30</v>
      </c>
      <c r="Q15">
        <f>100*N15</f>
        <v/>
      </c>
    </row>
    <row r="16">
      <c r="A16" t="inlineStr">
        <is>
          <t>worthy 2</t>
        </is>
      </c>
      <c r="B16" t="n">
        <v>15</v>
      </c>
      <c r="C16" t="n">
        <v>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9.539999999999999</v>
      </c>
      <c r="O16" t="n">
        <v>27</v>
      </c>
      <c r="P16" t="n">
        <v>17</v>
      </c>
      <c r="Q16">
        <f>100*N16</f>
        <v/>
      </c>
    </row>
    <row r="17">
      <c r="A17" t="inlineStr">
        <is>
          <t>[WE] Valor</t>
        </is>
      </c>
      <c r="B17" t="n">
        <v>14</v>
      </c>
      <c r="C17" t="n">
        <v>11</v>
      </c>
      <c r="D17" t="n">
        <v>9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16.93</v>
      </c>
      <c r="O17" t="n">
        <v>46</v>
      </c>
      <c r="P17" t="n">
        <v>8</v>
      </c>
      <c r="Q17">
        <f>100*N17</f>
        <v/>
      </c>
    </row>
    <row r="18">
      <c r="A18" t="inlineStr">
        <is>
          <t>Chris</t>
        </is>
      </c>
      <c r="B18" t="n">
        <v>10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4.48</v>
      </c>
      <c r="O18" t="n">
        <v>10</v>
      </c>
      <c r="P18" t="n">
        <v>36</v>
      </c>
      <c r="Q18">
        <f>100*N18</f>
        <v/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39</v>
      </c>
      <c r="Q19">
        <f>100*N19</f>
        <v/>
      </c>
    </row>
    <row r="20">
      <c r="A20" t="inlineStr">
        <is>
          <t>Declan Nice</t>
        </is>
      </c>
      <c r="B20" t="n">
        <v>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6.96</v>
      </c>
      <c r="O20" t="n">
        <v>20</v>
      </c>
      <c r="P20" t="n">
        <v>20</v>
      </c>
      <c r="Q20">
        <f>100*N20</f>
        <v/>
      </c>
    </row>
    <row r="21">
      <c r="A21" t="inlineStr">
        <is>
          <t>Vats</t>
        </is>
      </c>
      <c r="B21" t="n">
        <v>18</v>
      </c>
      <c r="C21" t="n">
        <v>14</v>
      </c>
      <c r="D21" t="n">
        <v>20</v>
      </c>
      <c r="E21" t="n">
        <v>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23.75</v>
      </c>
      <c r="O21" t="n">
        <v>68</v>
      </c>
      <c r="P21" t="n">
        <v>1</v>
      </c>
      <c r="Q21">
        <f>100*N21</f>
        <v/>
      </c>
    </row>
    <row r="22">
      <c r="A22" t="inlineStr">
        <is>
          <t>baby champagne</t>
        </is>
      </c>
      <c r="B22" t="n">
        <v>11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9.690000000000001</v>
      </c>
      <c r="O22" t="n">
        <v>30</v>
      </c>
      <c r="P22" t="n">
        <v>14</v>
      </c>
      <c r="Q22">
        <f>100*N22</f>
        <v/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39</v>
      </c>
      <c r="Q23">
        <f>100*N23</f>
        <v/>
      </c>
    </row>
    <row r="24">
      <c r="A24" t="inlineStr">
        <is>
          <t>Rebel</t>
        </is>
      </c>
      <c r="B24" t="n">
        <v>0</v>
      </c>
      <c r="C24" t="n">
        <v>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6.279999999999999</v>
      </c>
      <c r="O24" t="n">
        <v>15</v>
      </c>
      <c r="P24" t="n">
        <v>27</v>
      </c>
      <c r="Q24">
        <f>100*N24</f>
        <v/>
      </c>
    </row>
    <row r="25">
      <c r="A25" t="inlineStr">
        <is>
          <t>EE Sp∆ce</t>
        </is>
      </c>
      <c r="B25" t="n">
        <v>0</v>
      </c>
      <c r="C25" t="n">
        <v>12</v>
      </c>
      <c r="D25" t="n">
        <v>9</v>
      </c>
      <c r="E25" t="n">
        <v>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14.77</v>
      </c>
      <c r="O25" t="n">
        <v>36</v>
      </c>
      <c r="P25" t="n">
        <v>11</v>
      </c>
      <c r="Q25">
        <f>100*N25</f>
        <v/>
      </c>
    </row>
    <row r="26">
      <c r="A26" t="inlineStr">
        <is>
          <t>Roman Rittik</t>
        </is>
      </c>
      <c r="B26" t="n">
        <v>0</v>
      </c>
      <c r="C26" t="n">
        <v>12</v>
      </c>
      <c r="D26" t="n">
        <v>12</v>
      </c>
      <c r="E26" t="n">
        <v>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14.6</v>
      </c>
      <c r="O26" t="n">
        <v>38</v>
      </c>
      <c r="P26" t="n">
        <v>10</v>
      </c>
      <c r="Q26">
        <f>100*N26</f>
        <v/>
      </c>
    </row>
    <row r="27">
      <c r="A27" t="inlineStr">
        <is>
          <t>Sp∆ce</t>
        </is>
      </c>
      <c r="B27" t="n">
        <v>0</v>
      </c>
      <c r="C27" t="n">
        <v>11</v>
      </c>
      <c r="D27" t="n">
        <v>8</v>
      </c>
      <c r="E27" t="n">
        <v>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14.38</v>
      </c>
      <c r="O27" t="n">
        <v>36</v>
      </c>
      <c r="P27" t="n">
        <v>12</v>
      </c>
      <c r="Q27">
        <f>100*N27</f>
        <v/>
      </c>
    </row>
    <row r="28">
      <c r="A28" t="inlineStr">
        <is>
          <t>Lvl.15⛺️BoBo⛺️</t>
        </is>
      </c>
      <c r="B28" t="n">
        <v>0</v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4.38</v>
      </c>
      <c r="O28" t="n">
        <v>10</v>
      </c>
      <c r="P28" t="n">
        <v>37</v>
      </c>
      <c r="Q28">
        <f>100*N28</f>
        <v/>
      </c>
    </row>
    <row r="29">
      <c r="A29" t="inlineStr">
        <is>
          <t>IaIoberry</t>
        </is>
      </c>
      <c r="B29" t="n">
        <v>0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4.22</v>
      </c>
      <c r="O29" t="n">
        <v>10</v>
      </c>
      <c r="P29" t="n">
        <v>38</v>
      </c>
      <c r="Q29">
        <f>100*N29</f>
        <v/>
      </c>
    </row>
    <row r="30">
      <c r="A30" t="inlineStr">
        <is>
          <t>Crispy</t>
        </is>
      </c>
      <c r="B30" t="n">
        <v>0</v>
      </c>
      <c r="C30" t="n">
        <v>10</v>
      </c>
      <c r="D30" t="n">
        <v>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9.880000000000001</v>
      </c>
      <c r="O30" t="n">
        <v>23</v>
      </c>
      <c r="P30" t="n">
        <v>18</v>
      </c>
      <c r="Q30">
        <f>100*N30</f>
        <v/>
      </c>
    </row>
    <row r="31">
      <c r="A31" t="inlineStr">
        <is>
          <t>EE Paradox</t>
        </is>
      </c>
      <c r="B31" t="n">
        <v>0</v>
      </c>
      <c r="C31" t="n">
        <v>0</v>
      </c>
      <c r="D31" t="n">
        <v>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6.08</v>
      </c>
      <c r="O31" t="n">
        <v>15</v>
      </c>
      <c r="P31" t="n">
        <v>28</v>
      </c>
      <c r="Q31">
        <f>100*N31</f>
        <v/>
      </c>
    </row>
    <row r="32">
      <c r="A32" t="inlineStr">
        <is>
          <t>EE Paradox(2)</t>
        </is>
      </c>
      <c r="B32" t="n">
        <v>0</v>
      </c>
      <c r="C32" t="n">
        <v>0</v>
      </c>
      <c r="D32" t="n">
        <v>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5.34</v>
      </c>
      <c r="O32" t="n">
        <v>15</v>
      </c>
      <c r="P32" t="n">
        <v>31</v>
      </c>
      <c r="Q32">
        <f>100*N32</f>
        <v/>
      </c>
    </row>
    <row r="33">
      <c r="A33" t="inlineStr">
        <is>
          <t>火 Pegasus</t>
        </is>
      </c>
      <c r="B33" t="n">
        <v>0</v>
      </c>
      <c r="C33" t="n">
        <v>0</v>
      </c>
      <c r="D33" t="n">
        <v>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5.58</v>
      </c>
      <c r="O33" t="n">
        <v>14</v>
      </c>
      <c r="P33" t="n">
        <v>32</v>
      </c>
      <c r="Q33">
        <f>100*N33</f>
        <v/>
      </c>
    </row>
    <row r="34">
      <c r="A34" t="inlineStr">
        <is>
          <t>Tasex</t>
        </is>
      </c>
      <c r="B34" t="n">
        <v>0</v>
      </c>
      <c r="C34" t="n">
        <v>0</v>
      </c>
      <c r="D34" t="n">
        <v>13</v>
      </c>
      <c r="E34" t="n">
        <v>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10.8</v>
      </c>
      <c r="O34" t="n">
        <v>29</v>
      </c>
      <c r="P34" t="n">
        <v>15</v>
      </c>
      <c r="Q34">
        <f>100*N34</f>
        <v/>
      </c>
    </row>
    <row r="35">
      <c r="A35" t="inlineStr">
        <is>
          <t>Crusader</t>
        </is>
      </c>
      <c r="B35" t="n">
        <v>0</v>
      </c>
      <c r="C35" t="n">
        <v>0</v>
      </c>
      <c r="D35" t="n">
        <v>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4.4</v>
      </c>
      <c r="O35" t="n">
        <v>12</v>
      </c>
      <c r="P35" t="n">
        <v>34</v>
      </c>
      <c r="Q35">
        <f>100*N35</f>
        <v/>
      </c>
    </row>
    <row r="36">
      <c r="A36" t="inlineStr">
        <is>
          <t>[WE] BoBo</t>
        </is>
      </c>
      <c r="B36" t="n">
        <v>0</v>
      </c>
      <c r="C36" t="n">
        <v>0</v>
      </c>
      <c r="D36" t="n">
        <v>0</v>
      </c>
      <c r="E36" t="n">
        <v>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6.29</v>
      </c>
      <c r="O36" t="n">
        <v>17</v>
      </c>
      <c r="P36" t="n">
        <v>23</v>
      </c>
      <c r="Q36">
        <f>100*N36</f>
        <v/>
      </c>
    </row>
    <row r="37">
      <c r="A37" t="inlineStr">
        <is>
          <t>KingWoodard30</t>
        </is>
      </c>
      <c r="B37" t="n">
        <v>0</v>
      </c>
      <c r="C37" t="n">
        <v>0</v>
      </c>
      <c r="D37" t="n">
        <v>0</v>
      </c>
      <c r="E37" t="n">
        <v>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</v>
      </c>
      <c r="O37" t="n">
        <v>16</v>
      </c>
      <c r="P37" t="n">
        <v>25</v>
      </c>
      <c r="Q37">
        <f>100*N37</f>
        <v/>
      </c>
    </row>
    <row r="38">
      <c r="A38" t="inlineStr">
        <is>
          <t>9 CENT A</t>
        </is>
      </c>
      <c r="B38" t="n">
        <v>0</v>
      </c>
      <c r="C38" t="n">
        <v>0</v>
      </c>
      <c r="D38" t="n">
        <v>0</v>
      </c>
      <c r="E38" t="n">
        <v>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5.83</v>
      </c>
      <c r="O38" t="n">
        <v>15</v>
      </c>
      <c r="P38" t="n">
        <v>29</v>
      </c>
      <c r="Q38">
        <f>100*N38</f>
        <v/>
      </c>
    </row>
    <row r="39">
      <c r="A39" t="inlineStr">
        <is>
          <t>Ace Reloaded</t>
        </is>
      </c>
      <c r="B39" t="n">
        <v>0</v>
      </c>
      <c r="C39" t="n">
        <v>0</v>
      </c>
      <c r="D39" t="n">
        <v>0</v>
      </c>
      <c r="E39" t="n">
        <v>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5.359999999999999</v>
      </c>
      <c r="O39" t="n">
        <v>14</v>
      </c>
      <c r="P39" t="n">
        <v>33</v>
      </c>
      <c r="Q39">
        <f>100*N39</f>
        <v/>
      </c>
    </row>
    <row r="40">
      <c r="A40" t="inlineStr">
        <is>
          <t>NITIN PANDIT</t>
        </is>
      </c>
      <c r="B40" t="n">
        <v>0</v>
      </c>
      <c r="C40" t="n">
        <v>0</v>
      </c>
      <c r="D40" t="n">
        <v>0</v>
      </c>
      <c r="E40" t="n">
        <v>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4.74</v>
      </c>
      <c r="O40" t="n">
        <v>11</v>
      </c>
      <c r="P40" t="n">
        <v>35</v>
      </c>
      <c r="Q40">
        <f>100*N40</f>
        <v/>
      </c>
    </row>
    <row r="41">
      <c r="A41" t="inlineStr">
        <is>
          <t>danceshell</t>
        </is>
      </c>
      <c r="B41" t="n">
        <v>0</v>
      </c>
      <c r="C41" t="n">
        <v>0</v>
      </c>
      <c r="D41" t="n">
        <v>0</v>
      </c>
      <c r="E41" t="n">
        <v>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6.59</v>
      </c>
      <c r="O41" t="n">
        <v>17</v>
      </c>
      <c r="P41" t="n">
        <v>22</v>
      </c>
      <c r="Q41">
        <f>100*N41</f>
        <v/>
      </c>
    </row>
    <row r="42">
      <c r="A42" t="inlineStr">
        <is>
          <t>zeon</t>
        </is>
      </c>
      <c r="B42" t="n">
        <v>0</v>
      </c>
      <c r="C42" t="n">
        <v>0</v>
      </c>
      <c r="D42" t="n">
        <v>0</v>
      </c>
      <c r="E42" t="n">
        <v>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18</v>
      </c>
      <c r="P42" t="n">
        <v>21</v>
      </c>
      <c r="Q42">
        <f>100*N42</f>
        <v/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39</v>
      </c>
      <c r="Q43">
        <f>100*N43</f>
        <v/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39</v>
      </c>
      <c r="Q44">
        <f>100*N44</f>
        <v/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</v>
      </c>
      <c r="Q45">
        <f>100*N45</f>
        <v/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39</v>
      </c>
      <c r="Q46">
        <f>100*N46</f>
        <v/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39</v>
      </c>
      <c r="Q47">
        <f>100*N47</f>
        <v/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39</v>
      </c>
      <c r="Q48">
        <f>100*N48</f>
        <v/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39</v>
      </c>
      <c r="Q49">
        <f>100*N49</f>
        <v/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39</v>
      </c>
      <c r="Q50">
        <f>100*N50</f>
        <v/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39</v>
      </c>
      <c r="Q51">
        <f>100*N51</f>
        <v/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39</v>
      </c>
      <c r="Q52">
        <f>100*N52</f>
        <v/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39</v>
      </c>
      <c r="Q53">
        <f>100*N53</f>
        <v/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39</v>
      </c>
      <c r="Q54">
        <f>100*N54</f>
        <v/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39</v>
      </c>
      <c r="Q55">
        <f>100*N55</f>
        <v/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39</v>
      </c>
      <c r="Q56">
        <f>100*N56</f>
        <v/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39</v>
      </c>
      <c r="Q57">
        <f>100*N57</f>
        <v/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39</v>
      </c>
      <c r="Q58">
        <f>100*N58</f>
        <v/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39</v>
      </c>
      <c r="Q59">
        <f>100*N59</f>
        <v/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39</v>
      </c>
      <c r="Q60">
        <f>100*N60</f>
        <v/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39</v>
      </c>
      <c r="Q61">
        <f>100*N61</f>
        <v/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39</v>
      </c>
      <c r="Q62">
        <f>100*N62</f>
        <v/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39</v>
      </c>
      <c r="Q63">
        <f>100*N63</f>
        <v/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39</v>
      </c>
      <c r="Q64">
        <f>100*N64</f>
        <v/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39</v>
      </c>
      <c r="Q65">
        <f>100*N65</f>
        <v/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39</v>
      </c>
      <c r="Q66">
        <f>100*N66</f>
        <v/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39</v>
      </c>
      <c r="Q67">
        <f>100*N67</f>
        <v/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39</v>
      </c>
      <c r="Q68">
        <f>100*N68</f>
        <v/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39</v>
      </c>
      <c r="Q69">
        <f>100*N69</f>
        <v/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39</v>
      </c>
      <c r="Q70">
        <f>100*N70</f>
        <v/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39</v>
      </c>
      <c r="Q71">
        <f>100*N71</f>
        <v/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39</v>
      </c>
      <c r="Q72">
        <f>100*N72</f>
        <v/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39</v>
      </c>
      <c r="Q73">
        <f>100*N73</f>
        <v/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39</v>
      </c>
      <c r="Q74">
        <f>100*N74</f>
        <v/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39</v>
      </c>
      <c r="Q75">
        <f>100*N75</f>
        <v/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39</v>
      </c>
      <c r="Q76">
        <f>100*N76</f>
        <v/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39</v>
      </c>
      <c r="Q77">
        <f>100*N77</f>
        <v/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39</v>
      </c>
      <c r="Q78">
        <f>100*N78</f>
        <v/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39</v>
      </c>
      <c r="Q79">
        <f>100*N79</f>
        <v/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39</v>
      </c>
      <c r="Q80">
        <f>100*N80</f>
        <v/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39</v>
      </c>
      <c r="Q81">
        <f>100*N81</f>
        <v/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39</v>
      </c>
      <c r="Q82">
        <f>100*N82</f>
        <v/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39</v>
      </c>
      <c r="Q83">
        <f>100*N83</f>
        <v/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39</v>
      </c>
      <c r="Q84">
        <f>100*N84</f>
        <v/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39</v>
      </c>
      <c r="Q85">
        <f>100*N85</f>
        <v/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39</v>
      </c>
      <c r="Q86">
        <f>100*N86</f>
        <v/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39</v>
      </c>
      <c r="Q87">
        <f>100*N87</f>
        <v/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39</v>
      </c>
      <c r="Q88">
        <f>100*N88</f>
        <v/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39</v>
      </c>
      <c r="Q89">
        <f>100*N89</f>
        <v/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39</v>
      </c>
      <c r="Q90">
        <f>100*N90</f>
        <v/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39</v>
      </c>
      <c r="Q91">
        <f>100*N91</f>
        <v/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39</v>
      </c>
      <c r="Q92">
        <f>100*N92</f>
        <v/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39</v>
      </c>
      <c r="Q93">
        <f>100*N93</f>
        <v/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39</v>
      </c>
      <c r="Q94">
        <f>100*N94</f>
        <v/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39</v>
      </c>
      <c r="Q95">
        <f>100*N95</f>
        <v/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39</v>
      </c>
      <c r="Q96">
        <f>100*N96</f>
        <v/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39</v>
      </c>
      <c r="Q97">
        <f>100*N97</f>
        <v/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39</v>
      </c>
      <c r="Q98">
        <f>100*N98</f>
        <v/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39</v>
      </c>
      <c r="Q99">
        <f>100*N99</f>
        <v/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39</v>
      </c>
      <c r="Q100">
        <f>100*N100</f>
        <v/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39</v>
      </c>
      <c r="Q101">
        <f>100*N101</f>
        <v/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39</v>
      </c>
      <c r="Q102">
        <f>100*N102</f>
        <v/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39</v>
      </c>
      <c r="Q103">
        <f>100*N103</f>
        <v/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39</v>
      </c>
      <c r="Q104">
        <f>100*N104</f>
        <v/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39</v>
      </c>
      <c r="Q105">
        <f>100*N105</f>
        <v/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39</v>
      </c>
      <c r="Q106">
        <f>100*N106</f>
        <v/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39</v>
      </c>
      <c r="Q107">
        <f>100*N107</f>
        <v/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39</v>
      </c>
      <c r="Q108">
        <f>100*N108</f>
        <v/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39</v>
      </c>
      <c r="Q109">
        <f>100*N109</f>
        <v/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39</v>
      </c>
      <c r="Q110">
        <f>100*N110</f>
        <v/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39</v>
      </c>
      <c r="Q111">
        <f>100*N111</f>
        <v/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39</v>
      </c>
      <c r="Q112">
        <f>100*N112</f>
        <v/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39</v>
      </c>
      <c r="Q113">
        <f>100*N113</f>
        <v/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39</v>
      </c>
      <c r="Q114">
        <f>100*N114</f>
        <v/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39</v>
      </c>
      <c r="Q115">
        <f>100*N115</f>
        <v/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39</v>
      </c>
      <c r="Q116">
        <f>100*N116</f>
        <v/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39</v>
      </c>
      <c r="Q117">
        <f>100*N117</f>
        <v/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39</v>
      </c>
      <c r="Q118">
        <f>100*N118</f>
        <v/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39</v>
      </c>
      <c r="Q119">
        <f>100*N119</f>
        <v/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39</v>
      </c>
      <c r="Q120">
        <f>100*N120</f>
        <v/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39</v>
      </c>
      <c r="Q121">
        <f>100*N121</f>
        <v/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39</v>
      </c>
      <c r="Q122">
        <f>100*N122</f>
        <v/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39</v>
      </c>
      <c r="Q123">
        <f>100*N123</f>
        <v/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39</v>
      </c>
      <c r="Q124">
        <f>100*N124</f>
        <v/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39</v>
      </c>
      <c r="Q125">
        <f>100*N125</f>
        <v/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39</v>
      </c>
      <c r="Q126">
        <f>100*N126</f>
        <v/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39</v>
      </c>
      <c r="Q127">
        <f>100*N127</f>
        <v/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39</v>
      </c>
      <c r="Q128">
        <f>100*N128</f>
        <v/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39</v>
      </c>
      <c r="Q129">
        <f>100*N129</f>
        <v/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39</v>
      </c>
      <c r="Q130">
        <f>100*N130</f>
        <v/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39</v>
      </c>
      <c r="Q131">
        <f>100*N131</f>
        <v/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39</v>
      </c>
      <c r="Q132">
        <f>100*N132</f>
        <v/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39</v>
      </c>
      <c r="Q133">
        <f>100*N133</f>
        <v/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39</v>
      </c>
      <c r="Q134">
        <f>100*N134</f>
        <v/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39</v>
      </c>
      <c r="Q135">
        <f>100*N135</f>
        <v/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39</v>
      </c>
      <c r="Q136">
        <f>100*N136</f>
        <v/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39</v>
      </c>
      <c r="Q137">
        <f>100*N137</f>
        <v/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</v>
      </c>
      <c r="Q138">
        <f>100*N138</f>
        <v/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39</v>
      </c>
      <c r="Q139">
        <f>100*N139</f>
        <v/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39</v>
      </c>
      <c r="Q140">
        <f>100*N140</f>
        <v/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39</v>
      </c>
      <c r="Q141">
        <f>100*N141</f>
        <v/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39</v>
      </c>
      <c r="Q142">
        <f>100*N142</f>
        <v/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39</v>
      </c>
      <c r="Q143">
        <f>100*N143</f>
        <v/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39</v>
      </c>
      <c r="Q144">
        <f>100*N144</f>
        <v/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39</v>
      </c>
      <c r="Q145">
        <f>100*N145</f>
        <v/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39</v>
      </c>
      <c r="Q146">
        <f>100*N146</f>
        <v/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</v>
      </c>
      <c r="Q147">
        <f>100*N147</f>
        <v/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39</v>
      </c>
      <c r="Q148">
        <f>100*N148</f>
        <v/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39</v>
      </c>
      <c r="Q149">
        <f>100*N149</f>
        <v/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39</v>
      </c>
      <c r="Q150">
        <f>100*N150</f>
        <v/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39</v>
      </c>
      <c r="Q151">
        <f>100*N151</f>
        <v/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39</v>
      </c>
      <c r="Q152">
        <f>100*N152</f>
        <v/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39</v>
      </c>
      <c r="Q153">
        <f>100*N153</f>
        <v/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39</v>
      </c>
      <c r="Q154">
        <f>100*N154</f>
        <v/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39</v>
      </c>
      <c r="Q155">
        <f>100*N155</f>
        <v/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39</v>
      </c>
      <c r="Q156">
        <f>100*N156</f>
        <v/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39</v>
      </c>
      <c r="Q157">
        <f>100*N157</f>
        <v/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39</v>
      </c>
      <c r="Q158">
        <f>100*N158</f>
        <v/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39</v>
      </c>
      <c r="Q159">
        <f>100*N159</f>
        <v/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39</v>
      </c>
      <c r="Q160">
        <f>100*N160</f>
        <v/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39</v>
      </c>
      <c r="Q161">
        <f>100*N161</f>
        <v/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39</v>
      </c>
      <c r="Q162">
        <f>100*N162</f>
        <v/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39</v>
      </c>
      <c r="Q163">
        <f>100*N163</f>
        <v/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39</v>
      </c>
      <c r="Q164">
        <f>100*N164</f>
        <v/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39</v>
      </c>
      <c r="Q165">
        <f>100*N165</f>
        <v/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39</v>
      </c>
      <c r="Q166">
        <f>100*N166</f>
        <v/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39</v>
      </c>
      <c r="Q167">
        <f>100*N167</f>
        <v/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39</v>
      </c>
      <c r="Q168">
        <f>100*N168</f>
        <v/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39</v>
      </c>
      <c r="Q169">
        <f>100*N169</f>
        <v/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39</v>
      </c>
      <c r="Q170">
        <f>100*N170</f>
        <v/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39</v>
      </c>
      <c r="Q171">
        <f>100*N171</f>
        <v/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39</v>
      </c>
      <c r="Q172">
        <f>100*N172</f>
        <v/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39</v>
      </c>
      <c r="Q173">
        <f>100*N173</f>
        <v/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39</v>
      </c>
      <c r="Q174">
        <f>100*N174</f>
        <v/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39</v>
      </c>
      <c r="Q175">
        <f>100*N175</f>
        <v/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39</v>
      </c>
      <c r="Q176">
        <f>100*N176</f>
        <v/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39</v>
      </c>
      <c r="Q177">
        <f>100*N177</f>
        <v/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39</v>
      </c>
      <c r="Q178">
        <f>100*N178</f>
        <v/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39</v>
      </c>
      <c r="Q179">
        <f>100*N179</f>
        <v/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39</v>
      </c>
      <c r="Q180">
        <f>100*N180</f>
        <v/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39</v>
      </c>
      <c r="Q181">
        <f>100*N181</f>
        <v/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39</v>
      </c>
      <c r="Q182">
        <f>100*N182</f>
        <v/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39</v>
      </c>
      <c r="Q183">
        <f>100*N183</f>
        <v/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39</v>
      </c>
      <c r="Q184">
        <f>100*N184</f>
        <v/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39</v>
      </c>
      <c r="Q185">
        <f>100*N185</f>
        <v/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39</v>
      </c>
      <c r="Q186">
        <f>100*N186</f>
        <v/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39</v>
      </c>
      <c r="Q187">
        <f>100*N187</f>
        <v/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39</v>
      </c>
      <c r="Q188">
        <f>100*N188</f>
        <v/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39</v>
      </c>
      <c r="Q189">
        <f>100*N189</f>
        <v/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39</v>
      </c>
      <c r="Q190">
        <f>100*N190</f>
        <v/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39</v>
      </c>
      <c r="Q191">
        <f>100*N191</f>
        <v/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39</v>
      </c>
      <c r="Q192">
        <f>100*N192</f>
        <v/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39</v>
      </c>
      <c r="Q193">
        <f>100*N193</f>
        <v/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39</v>
      </c>
      <c r="Q194">
        <f>100*N194</f>
        <v/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39</v>
      </c>
      <c r="Q195">
        <f>100*N195</f>
        <v/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39</v>
      </c>
      <c r="Q196">
        <f>100*N196</f>
        <v/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39</v>
      </c>
      <c r="Q197">
        <f>100*N197</f>
        <v/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39</v>
      </c>
      <c r="Q198">
        <f>100*N198</f>
        <v/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39</v>
      </c>
      <c r="Q199">
        <f>100*N199</f>
        <v/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39</v>
      </c>
      <c r="Q200">
        <f>100*N200</f>
        <v/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39</v>
      </c>
      <c r="Q201">
        <f>100*N201</f>
        <v/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39</v>
      </c>
      <c r="Q202">
        <f>100*N202</f>
        <v/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39</v>
      </c>
      <c r="Q203">
        <f>100*N203</f>
        <v/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39</v>
      </c>
      <c r="Q204">
        <f>100*N204</f>
        <v/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39</v>
      </c>
      <c r="Q205">
        <f>100*N205</f>
        <v/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39</v>
      </c>
      <c r="Q206">
        <f>100*N206</f>
        <v/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39</v>
      </c>
      <c r="Q207">
        <f>100*N207</f>
        <v/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39</v>
      </c>
      <c r="Q208">
        <f>100*N208</f>
        <v/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39</v>
      </c>
      <c r="Q209">
        <f>100*N209</f>
        <v/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39</v>
      </c>
      <c r="Q210">
        <f>100*N210</f>
        <v/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39</v>
      </c>
      <c r="Q211">
        <f>100*N211</f>
        <v/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39</v>
      </c>
      <c r="Q212">
        <f>100*N212</f>
        <v/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39</v>
      </c>
      <c r="Q213">
        <f>100*N213</f>
        <v/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39</v>
      </c>
      <c r="Q214">
        <f>100*N214</f>
        <v/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39</v>
      </c>
      <c r="Q215">
        <f>100*N215</f>
        <v/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39</v>
      </c>
      <c r="Q216">
        <f>100*N216</f>
        <v/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39</v>
      </c>
      <c r="Q217">
        <f>100*N217</f>
        <v/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39</v>
      </c>
      <c r="Q218">
        <f>100*N218</f>
        <v/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39</v>
      </c>
      <c r="Q219">
        <f>100*N219</f>
        <v/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39</v>
      </c>
      <c r="Q220">
        <f>100*N220</f>
        <v/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</v>
      </c>
      <c r="Q221">
        <f>100*N221</f>
        <v/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39</v>
      </c>
      <c r="Q222">
        <f>100*N222</f>
        <v/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39</v>
      </c>
      <c r="Q223">
        <f>100*N223</f>
        <v/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39</v>
      </c>
      <c r="Q224">
        <f>100*N224</f>
        <v/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39</v>
      </c>
      <c r="Q225">
        <f>100*N225</f>
        <v/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39</v>
      </c>
      <c r="Q226">
        <f>100*N226</f>
        <v/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39</v>
      </c>
      <c r="Q227">
        <f>100*N227</f>
        <v/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39</v>
      </c>
      <c r="Q228">
        <f>100*N228</f>
        <v/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39</v>
      </c>
      <c r="Q229">
        <f>100*N229</f>
        <v/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39</v>
      </c>
      <c r="Q230">
        <f>100*N230</f>
        <v/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39</v>
      </c>
      <c r="Q231">
        <f>100*N231</f>
        <v/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39</v>
      </c>
      <c r="Q232">
        <f>100*N232</f>
        <v/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39</v>
      </c>
      <c r="Q233">
        <f>100*N233</f>
        <v/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39</v>
      </c>
      <c r="Q234">
        <f>100*N234</f>
        <v/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39</v>
      </c>
      <c r="Q235">
        <f>100*N235</f>
        <v/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39</v>
      </c>
      <c r="Q236">
        <f>100*N236</f>
        <v/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39</v>
      </c>
      <c r="Q237">
        <f>100*N237</f>
        <v/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39</v>
      </c>
      <c r="Q238">
        <f>100*N238</f>
        <v/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39</v>
      </c>
      <c r="Q239">
        <f>100*N239</f>
        <v/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39</v>
      </c>
      <c r="Q240">
        <f>100*N240</f>
        <v/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39</v>
      </c>
      <c r="Q241">
        <f>100*N241</f>
        <v/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39</v>
      </c>
      <c r="Q242">
        <f>100*N242</f>
        <v/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39</v>
      </c>
      <c r="Q243">
        <f>100*N243</f>
        <v/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39</v>
      </c>
      <c r="Q244">
        <f>100*N244</f>
        <v/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39</v>
      </c>
      <c r="Q245">
        <f>100*N245</f>
        <v/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39</v>
      </c>
      <c r="Q246">
        <f>100*N246</f>
        <v/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39</v>
      </c>
      <c r="Q247">
        <f>100*N247</f>
        <v/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39</v>
      </c>
      <c r="Q248">
        <f>100*N248</f>
        <v/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39</v>
      </c>
      <c r="Q249">
        <f>100*N249</f>
        <v/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39</v>
      </c>
      <c r="Q250">
        <f>100*N250</f>
        <v/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39</v>
      </c>
      <c r="Q251">
        <f>100*N251</f>
        <v/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39</v>
      </c>
      <c r="Q252">
        <f>100*N252</f>
        <v/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39</v>
      </c>
      <c r="Q253">
        <f>100*N253</f>
        <v/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39</v>
      </c>
      <c r="Q254">
        <f>100*N254</f>
        <v/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39</v>
      </c>
      <c r="Q255">
        <f>100*N255</f>
        <v/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39</v>
      </c>
      <c r="Q256">
        <f>100*N256</f>
        <v/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39</v>
      </c>
      <c r="Q257">
        <f>100*N257</f>
        <v/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39</v>
      </c>
      <c r="Q258">
        <f>100*N258</f>
        <v/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39</v>
      </c>
      <c r="Q259">
        <f>100*N259</f>
        <v/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39</v>
      </c>
      <c r="Q260">
        <f>100*N260</f>
        <v/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39</v>
      </c>
      <c r="Q261">
        <f>100*N261</f>
        <v/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39</v>
      </c>
      <c r="Q262">
        <f>100*N262</f>
        <v/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39</v>
      </c>
      <c r="Q263">
        <f>100*N263</f>
        <v/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39</v>
      </c>
      <c r="Q264">
        <f>100*N264</f>
        <v/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39</v>
      </c>
      <c r="Q265">
        <f>100*N265</f>
        <v/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39</v>
      </c>
      <c r="Q266">
        <f>100*N266</f>
        <v/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39</v>
      </c>
      <c r="Q267">
        <f>100*N267</f>
        <v/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39</v>
      </c>
      <c r="Q268">
        <f>100*N268</f>
        <v/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39</v>
      </c>
      <c r="Q269">
        <f>100*N269</f>
        <v/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39</v>
      </c>
      <c r="Q270">
        <f>100*N270</f>
        <v/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39</v>
      </c>
      <c r="Q271">
        <f>100*N271</f>
        <v/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39</v>
      </c>
      <c r="Q272">
        <f>100*N272</f>
        <v/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39</v>
      </c>
      <c r="Q273">
        <f>100*N273</f>
        <v/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39</v>
      </c>
      <c r="Q274">
        <f>100*N274</f>
        <v/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39</v>
      </c>
      <c r="Q275">
        <f>100*N275</f>
        <v/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39</v>
      </c>
      <c r="Q276">
        <f>100*N276</f>
        <v/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39</v>
      </c>
      <c r="Q277">
        <f>100*N277</f>
        <v/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39</v>
      </c>
      <c r="Q278">
        <f>100*N278</f>
        <v/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39</v>
      </c>
      <c r="Q279">
        <f>100*N279</f>
        <v/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39</v>
      </c>
      <c r="Q280">
        <f>100*N280</f>
        <v/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39</v>
      </c>
      <c r="Q281">
        <f>100*N281</f>
        <v/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39</v>
      </c>
      <c r="Q282">
        <f>100*N282</f>
        <v/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39</v>
      </c>
      <c r="Q283">
        <f>100*N283</f>
        <v/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39</v>
      </c>
      <c r="Q284">
        <f>100*N284</f>
        <v/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39</v>
      </c>
      <c r="Q285">
        <f>100*N285</f>
        <v/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39</v>
      </c>
      <c r="Q286">
        <f>100*N286</f>
        <v/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39</v>
      </c>
      <c r="Q287">
        <f>100*N287</f>
        <v/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39</v>
      </c>
      <c r="Q288">
        <f>100*N288</f>
        <v/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</v>
      </c>
      <c r="Q289">
        <f>100*N289</f>
        <v/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39</v>
      </c>
      <c r="Q290">
        <f>100*N290</f>
        <v/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39</v>
      </c>
      <c r="Q291">
        <f>100*N291</f>
        <v/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39</v>
      </c>
      <c r="Q292">
        <f>100*N292</f>
        <v/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39</v>
      </c>
      <c r="Q293">
        <f>100*N293</f>
        <v/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39</v>
      </c>
      <c r="Q294">
        <f>100*N294</f>
        <v/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39</v>
      </c>
      <c r="Q295">
        <f>100*N295</f>
        <v/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39</v>
      </c>
      <c r="Q296">
        <f>100*N296</f>
        <v/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39</v>
      </c>
      <c r="Q297">
        <f>100*N297</f>
        <v/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39</v>
      </c>
      <c r="Q298">
        <f>100*N298</f>
        <v/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39</v>
      </c>
      <c r="Q299">
        <f>100*N299</f>
        <v/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39</v>
      </c>
      <c r="Q300">
        <f>100*N300</f>
        <v/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39</v>
      </c>
      <c r="Q301">
        <f>100*N301</f>
        <v/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39</v>
      </c>
      <c r="Q302">
        <f>100*N302</f>
        <v/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39</v>
      </c>
      <c r="Q303">
        <f>100*N303</f>
        <v/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39</v>
      </c>
      <c r="Q304">
        <f>100*N304</f>
        <v/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39</v>
      </c>
      <c r="Q305">
        <f>100*N305</f>
        <v/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39</v>
      </c>
      <c r="Q306">
        <f>100*N306</f>
        <v/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39</v>
      </c>
      <c r="Q307">
        <f>100*N307</f>
        <v/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39</v>
      </c>
      <c r="Q308">
        <f>100*N308</f>
        <v/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39</v>
      </c>
      <c r="Q309">
        <f>100*N309</f>
        <v/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39</v>
      </c>
      <c r="Q310">
        <f>100*N310</f>
        <v/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39</v>
      </c>
      <c r="Q311">
        <f>100*N311</f>
        <v/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39</v>
      </c>
      <c r="Q312">
        <f>100*N312</f>
        <v/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39</v>
      </c>
      <c r="Q313">
        <f>100*N313</f>
        <v/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39</v>
      </c>
      <c r="Q314">
        <f>100*N314</f>
        <v/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39</v>
      </c>
      <c r="Q315">
        <f>100*N315</f>
        <v/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39</v>
      </c>
      <c r="Q316">
        <f>100*N316</f>
        <v/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39</v>
      </c>
      <c r="Q317">
        <f>100*N317</f>
        <v/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39</v>
      </c>
      <c r="Q318">
        <f>100*N318</f>
        <v/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39</v>
      </c>
      <c r="Q319">
        <f>100*N319</f>
        <v/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39</v>
      </c>
      <c r="Q320">
        <f>100*N320</f>
        <v/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39</v>
      </c>
      <c r="Q321">
        <f>100*N321</f>
        <v/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39</v>
      </c>
      <c r="Q322">
        <f>100*N322</f>
        <v/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39</v>
      </c>
      <c r="Q323">
        <f>100*N323</f>
        <v/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39</v>
      </c>
      <c r="Q324">
        <f>100*N324</f>
        <v/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</v>
      </c>
      <c r="Q325">
        <f>100*N325</f>
        <v/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39</v>
      </c>
      <c r="Q326">
        <f>100*N326</f>
        <v/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39</v>
      </c>
      <c r="Q327">
        <f>100*N327</f>
        <v/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39</v>
      </c>
      <c r="Q328">
        <f>100*N328</f>
        <v/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39</v>
      </c>
      <c r="Q329">
        <f>100*N329</f>
        <v/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39</v>
      </c>
      <c r="Q330">
        <f>100*N330</f>
        <v/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39</v>
      </c>
      <c r="Q331">
        <f>100*N331</f>
        <v/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39</v>
      </c>
      <c r="Q332">
        <f>100*N332</f>
        <v/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39</v>
      </c>
      <c r="Q333">
        <f>100*N333</f>
        <v/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39</v>
      </c>
      <c r="Q334">
        <f>100*N334</f>
        <v/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39</v>
      </c>
      <c r="Q335">
        <f>100*N335</f>
        <v/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39</v>
      </c>
      <c r="Q336">
        <f>100*N336</f>
        <v/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39</v>
      </c>
      <c r="Q337">
        <f>100*N337</f>
        <v/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39</v>
      </c>
      <c r="Q338">
        <f>100*N338</f>
        <v/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39</v>
      </c>
      <c r="Q339">
        <f>100*N339</f>
        <v/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39</v>
      </c>
      <c r="Q340">
        <f>100*N340</f>
        <v/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39</v>
      </c>
      <c r="Q341">
        <f>100*N341</f>
        <v/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39</v>
      </c>
      <c r="Q342">
        <f>100*N342</f>
        <v/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39</v>
      </c>
      <c r="Q343">
        <f>100*N343</f>
        <v/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39</v>
      </c>
      <c r="Q344">
        <f>100*N344</f>
        <v/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39</v>
      </c>
      <c r="Q345">
        <f>100*N345</f>
        <v/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39</v>
      </c>
      <c r="Q346">
        <f>100*N346</f>
        <v/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39</v>
      </c>
      <c r="Q347">
        <f>100*N347</f>
        <v/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39</v>
      </c>
      <c r="Q348">
        <f>100*N348</f>
        <v/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39</v>
      </c>
      <c r="Q349">
        <f>100*N349</f>
        <v/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39</v>
      </c>
      <c r="Q350">
        <f>100*N350</f>
        <v/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39</v>
      </c>
      <c r="Q351">
        <f>100*N351</f>
        <v/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39</v>
      </c>
      <c r="Q352">
        <f>100*N352</f>
        <v/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39</v>
      </c>
      <c r="Q353">
        <f>100*N353</f>
        <v/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39</v>
      </c>
      <c r="Q354">
        <f>100*N354</f>
        <v/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39</v>
      </c>
      <c r="Q355">
        <f>100*N355</f>
        <v/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39</v>
      </c>
      <c r="Q356">
        <f>100*N356</f>
        <v/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39</v>
      </c>
      <c r="Q357">
        <f>100*N357</f>
        <v/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39</v>
      </c>
      <c r="Q358">
        <f>100*N358</f>
        <v/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39</v>
      </c>
      <c r="Q359">
        <f>100*N359</f>
        <v/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39</v>
      </c>
      <c r="Q360">
        <f>100*N360</f>
        <v/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39</v>
      </c>
      <c r="Q361">
        <f>100*N361</f>
        <v/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39</v>
      </c>
      <c r="Q362">
        <f>100*N362</f>
        <v/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39</v>
      </c>
      <c r="Q363">
        <f>100*N363</f>
        <v/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39</v>
      </c>
      <c r="Q364">
        <f>100*N364</f>
        <v/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39</v>
      </c>
      <c r="Q365">
        <f>100*N365</f>
        <v/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39</v>
      </c>
      <c r="Q366">
        <f>100*N366</f>
        <v/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39</v>
      </c>
      <c r="Q367">
        <f>100*N367</f>
        <v/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39</v>
      </c>
      <c r="Q368">
        <f>100*N368</f>
        <v/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39</v>
      </c>
      <c r="Q369">
        <f>100*N369</f>
        <v/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39</v>
      </c>
      <c r="Q370">
        <f>100*N370</f>
        <v/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39</v>
      </c>
      <c r="Q371">
        <f>100*N371</f>
        <v/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39</v>
      </c>
      <c r="Q372">
        <f>100*N372</f>
        <v/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39</v>
      </c>
      <c r="Q373">
        <f>100*N373</f>
        <v/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39</v>
      </c>
      <c r="Q374">
        <f>100*N374</f>
        <v/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39</v>
      </c>
      <c r="Q375">
        <f>100*N375</f>
        <v/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39</v>
      </c>
      <c r="Q376">
        <f>100*N376</f>
        <v/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39</v>
      </c>
      <c r="Q377">
        <f>100*N377</f>
        <v/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39</v>
      </c>
      <c r="Q378">
        <f>100*N378</f>
        <v/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39</v>
      </c>
      <c r="Q379">
        <f>100*N379</f>
        <v/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39</v>
      </c>
      <c r="Q380">
        <f>100*N380</f>
        <v/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39</v>
      </c>
      <c r="Q381">
        <f>100*N381</f>
        <v/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39</v>
      </c>
      <c r="Q382">
        <f>100*N382</f>
        <v/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39</v>
      </c>
      <c r="Q383">
        <f>100*N383</f>
        <v/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39</v>
      </c>
      <c r="Q384">
        <f>100*N384</f>
        <v/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39</v>
      </c>
      <c r="Q385">
        <f>100*N385</f>
        <v/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39</v>
      </c>
      <c r="Q386">
        <f>100*N386</f>
        <v/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39</v>
      </c>
      <c r="Q387">
        <f>100*N387</f>
        <v/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39</v>
      </c>
      <c r="Q388">
        <f>100*N388</f>
        <v/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39</v>
      </c>
      <c r="Q389">
        <f>100*N389</f>
        <v/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39</v>
      </c>
      <c r="Q390">
        <f>100*N390</f>
        <v/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39</v>
      </c>
      <c r="Q391">
        <f>100*N391</f>
        <v/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39</v>
      </c>
      <c r="Q392">
        <f>100*N392</f>
        <v/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39</v>
      </c>
      <c r="Q393">
        <f>100*N393</f>
        <v/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39</v>
      </c>
      <c r="Q394">
        <f>100*N394</f>
        <v/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39</v>
      </c>
      <c r="Q395">
        <f>100*N395</f>
        <v/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39</v>
      </c>
      <c r="Q396">
        <f>100*N396</f>
        <v/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39</v>
      </c>
      <c r="Q397">
        <f>100*N397</f>
        <v/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39</v>
      </c>
      <c r="Q398">
        <f>100*N398</f>
        <v/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39</v>
      </c>
      <c r="Q399">
        <f>100*N399</f>
        <v/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39</v>
      </c>
      <c r="Q400">
        <f>100*N400</f>
        <v/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39</v>
      </c>
      <c r="Q401">
        <f>100*N401</f>
        <v/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39</v>
      </c>
      <c r="Q402">
        <f>100*N402</f>
        <v/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39</v>
      </c>
      <c r="Q403">
        <f>100*N403</f>
        <v/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39</v>
      </c>
      <c r="Q404">
        <f>100*N404</f>
        <v/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39</v>
      </c>
      <c r="Q405">
        <f>100*N405</f>
        <v/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39</v>
      </c>
      <c r="Q406">
        <f>100*N406</f>
        <v/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39</v>
      </c>
      <c r="Q407">
        <f>100*N407</f>
        <v/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39</v>
      </c>
      <c r="Q408">
        <f>100*N408</f>
        <v/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39</v>
      </c>
      <c r="Q409">
        <f>100*N409</f>
        <v/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39</v>
      </c>
      <c r="Q410">
        <f>100*N410</f>
        <v/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39</v>
      </c>
      <c r="Q411">
        <f>100*N411</f>
        <v/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39</v>
      </c>
      <c r="Q412">
        <f>100*N412</f>
        <v/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39</v>
      </c>
      <c r="Q413">
        <f>100*N413</f>
        <v/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39</v>
      </c>
      <c r="Q414">
        <f>100*N414</f>
        <v/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39</v>
      </c>
      <c r="Q415">
        <f>100*N415</f>
        <v/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39</v>
      </c>
      <c r="Q416">
        <f>100*N416</f>
        <v/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39</v>
      </c>
      <c r="Q417">
        <f>100*N417</f>
        <v/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39</v>
      </c>
      <c r="Q418">
        <f>100*N418</f>
        <v/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39</v>
      </c>
      <c r="Q419">
        <f>100*N419</f>
        <v/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39</v>
      </c>
      <c r="Q420">
        <f>100*N420</f>
        <v/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39</v>
      </c>
      <c r="Q421">
        <f>100*N421</f>
        <v/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39</v>
      </c>
      <c r="Q422">
        <f>100*N422</f>
        <v/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39</v>
      </c>
      <c r="Q423">
        <f>100*N423</f>
        <v/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39</v>
      </c>
      <c r="Q424">
        <f>100*N424</f>
        <v/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39</v>
      </c>
      <c r="Q425">
        <f>100*N425</f>
        <v/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39</v>
      </c>
      <c r="Q426">
        <f>100*N426</f>
        <v/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39</v>
      </c>
      <c r="Q427">
        <f>100*N427</f>
        <v/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39</v>
      </c>
      <c r="Q428">
        <f>100*N428</f>
        <v/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39</v>
      </c>
      <c r="Q429">
        <f>100*N429</f>
        <v/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39</v>
      </c>
      <c r="Q430">
        <f>100*N430</f>
        <v/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39</v>
      </c>
      <c r="Q431">
        <f>100*N431</f>
        <v/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39</v>
      </c>
      <c r="Q432">
        <f>100*N432</f>
        <v/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39</v>
      </c>
      <c r="Q433">
        <f>100*N433</f>
        <v/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39</v>
      </c>
      <c r="Q434">
        <f>100*N434</f>
        <v/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39</v>
      </c>
      <c r="Q435">
        <f>100*N435</f>
        <v/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39</v>
      </c>
      <c r="Q436">
        <f>100*N436</f>
        <v/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39</v>
      </c>
      <c r="Q437">
        <f>100*N437</f>
        <v/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39</v>
      </c>
      <c r="Q438">
        <f>100*N438</f>
        <v/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39</v>
      </c>
      <c r="Q439">
        <f>100*N439</f>
        <v/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39</v>
      </c>
      <c r="Q440">
        <f>100*N440</f>
        <v/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39</v>
      </c>
      <c r="Q441">
        <f>100*N441</f>
        <v/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39</v>
      </c>
      <c r="Q442">
        <f>100*N442</f>
        <v/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39</v>
      </c>
      <c r="Q443">
        <f>100*N443</f>
        <v/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39</v>
      </c>
      <c r="Q444">
        <f>100*N444</f>
        <v/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39</v>
      </c>
      <c r="Q445">
        <f>100*N445</f>
        <v/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39</v>
      </c>
      <c r="Q446">
        <f>100*N446</f>
        <v/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39</v>
      </c>
      <c r="Q447">
        <f>100*N447</f>
        <v/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39</v>
      </c>
      <c r="Q448">
        <f>100*N448</f>
        <v/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39</v>
      </c>
      <c r="Q449">
        <f>100*N449</f>
        <v/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39</v>
      </c>
      <c r="Q450">
        <f>100*N450</f>
        <v/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39</v>
      </c>
      <c r="Q451">
        <f>100*N451</f>
        <v/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39</v>
      </c>
      <c r="Q452">
        <f>100*N452</f>
        <v/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39</v>
      </c>
      <c r="Q453">
        <f>100*N453</f>
        <v/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39</v>
      </c>
      <c r="Q454">
        <f>100*N454</f>
        <v/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39</v>
      </c>
      <c r="Q455">
        <f>100*N455</f>
        <v/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39</v>
      </c>
      <c r="Q456">
        <f>100*N456</f>
        <v/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39</v>
      </c>
      <c r="Q457">
        <f>100*N457</f>
        <v/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39</v>
      </c>
      <c r="Q458">
        <f>100*N458</f>
        <v/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39</v>
      </c>
      <c r="Q459">
        <f>100*N459</f>
        <v/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39</v>
      </c>
      <c r="Q460">
        <f>100*N460</f>
        <v/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39</v>
      </c>
      <c r="Q461">
        <f>100*N461</f>
        <v/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39</v>
      </c>
      <c r="Q462">
        <f>100*N462</f>
        <v/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39</v>
      </c>
      <c r="Q463">
        <f>100*N463</f>
        <v/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39</v>
      </c>
      <c r="Q464">
        <f>100*N464</f>
        <v/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39</v>
      </c>
      <c r="Q465">
        <f>100*N465</f>
        <v/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39</v>
      </c>
      <c r="Q466">
        <f>100*N466</f>
        <v/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39</v>
      </c>
      <c r="Q467">
        <f>100*N467</f>
        <v/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39</v>
      </c>
      <c r="Q468">
        <f>100*N468</f>
        <v/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39</v>
      </c>
      <c r="Q469">
        <f>100*N469</f>
        <v/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</v>
      </c>
      <c r="Q470">
        <f>100*N470</f>
        <v/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39</v>
      </c>
      <c r="Q471">
        <f>100*N471</f>
        <v/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39</v>
      </c>
      <c r="Q472">
        <f>100*N472</f>
        <v/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39</v>
      </c>
      <c r="Q473">
        <f>100*N473</f>
        <v/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39</v>
      </c>
      <c r="Q474">
        <f>100*N474</f>
        <v/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39</v>
      </c>
      <c r="Q475">
        <f>100*N475</f>
        <v/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39</v>
      </c>
      <c r="Q476">
        <f>100*N476</f>
        <v/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39</v>
      </c>
      <c r="Q477">
        <f>100*N477</f>
        <v/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39</v>
      </c>
      <c r="Q478">
        <f>100*N478</f>
        <v/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39</v>
      </c>
      <c r="Q479">
        <f>100*N479</f>
        <v/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39</v>
      </c>
      <c r="Q480">
        <f>100*N480</f>
        <v/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39</v>
      </c>
      <c r="Q481">
        <f>100*N481</f>
        <v/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39</v>
      </c>
      <c r="Q482">
        <f>100*N482</f>
        <v/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39</v>
      </c>
      <c r="Q483">
        <f>100*N483</f>
        <v/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39</v>
      </c>
      <c r="Q484">
        <f>100*N484</f>
        <v/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39</v>
      </c>
      <c r="Q485">
        <f>100*N485</f>
        <v/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39</v>
      </c>
      <c r="Q486">
        <f>100*N486</f>
        <v/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39</v>
      </c>
      <c r="Q487">
        <f>100*N487</f>
        <v/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39</v>
      </c>
      <c r="Q488">
        <f>100*N488</f>
        <v/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39</v>
      </c>
      <c r="Q489">
        <f>100*N489</f>
        <v/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39</v>
      </c>
      <c r="Q490">
        <f>100*N490</f>
        <v/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39</v>
      </c>
      <c r="Q491">
        <f>100*N491</f>
        <v/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39</v>
      </c>
      <c r="Q492">
        <f>100*N492</f>
        <v/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39</v>
      </c>
      <c r="Q493">
        <f>100*N493</f>
        <v/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39</v>
      </c>
      <c r="Q494">
        <f>100*N494</f>
        <v/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39</v>
      </c>
      <c r="Q495">
        <f>100*N495</f>
        <v/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39</v>
      </c>
      <c r="Q496">
        <f>100*N496</f>
        <v/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39</v>
      </c>
      <c r="Q497">
        <f>100*N497</f>
        <v/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39</v>
      </c>
      <c r="Q498">
        <f>100*N498</f>
        <v/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39</v>
      </c>
      <c r="Q499">
        <f>100*N499</f>
        <v/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39</v>
      </c>
      <c r="Q500">
        <f>100*N500</f>
        <v/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39</v>
      </c>
      <c r="Q501">
        <f>100*N501</f>
        <v/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39</v>
      </c>
      <c r="Q502">
        <f>100*N502</f>
        <v/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39</v>
      </c>
      <c r="Q503">
        <f>100*N503</f>
        <v/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39</v>
      </c>
      <c r="Q504">
        <f>100*N504</f>
        <v/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39</v>
      </c>
      <c r="Q505">
        <f>100*N505</f>
        <v/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39</v>
      </c>
      <c r="Q506">
        <f>100*N506</f>
        <v/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39</v>
      </c>
      <c r="Q507">
        <f>100*N507</f>
        <v/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39</v>
      </c>
      <c r="Q508">
        <f>100*N508</f>
        <v/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39</v>
      </c>
      <c r="Q509">
        <f>100*N509</f>
        <v/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39</v>
      </c>
      <c r="Q510">
        <f>100*N510</f>
        <v/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39</v>
      </c>
      <c r="Q511">
        <f>100*N511</f>
        <v/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39</v>
      </c>
      <c r="Q512">
        <f>100*N512</f>
        <v/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39</v>
      </c>
      <c r="Q513">
        <f>100*N513</f>
        <v/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39</v>
      </c>
      <c r="Q514">
        <f>100*N514</f>
        <v/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39</v>
      </c>
      <c r="Q515">
        <f>100*N515</f>
        <v/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39</v>
      </c>
      <c r="Q516">
        <f>100*N516</f>
        <v/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39</v>
      </c>
      <c r="Q517">
        <f>100*N517</f>
        <v/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39</v>
      </c>
      <c r="Q518">
        <f>100*N518</f>
        <v/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39</v>
      </c>
      <c r="Q519">
        <f>100*N519</f>
        <v/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39</v>
      </c>
      <c r="Q520">
        <f>100*N520</f>
        <v/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39</v>
      </c>
      <c r="Q521">
        <f>100*N521</f>
        <v/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39</v>
      </c>
      <c r="Q522">
        <f>100*N522</f>
        <v/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39</v>
      </c>
      <c r="Q523">
        <f>100*N523</f>
        <v/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39</v>
      </c>
      <c r="Q524">
        <f>100*N524</f>
        <v/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39</v>
      </c>
      <c r="Q525">
        <f>100*N525</f>
        <v/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39</v>
      </c>
      <c r="Q526">
        <f>100*N526</f>
        <v/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39</v>
      </c>
      <c r="Q527">
        <f>100*N527</f>
        <v/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39</v>
      </c>
      <c r="Q528">
        <f>100*N528</f>
        <v/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39</v>
      </c>
      <c r="Q529">
        <f>100*N529</f>
        <v/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39</v>
      </c>
      <c r="Q530">
        <f>100*N530</f>
        <v/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39</v>
      </c>
      <c r="Q531">
        <f>100*N531</f>
        <v/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39</v>
      </c>
      <c r="Q532">
        <f>100*N532</f>
        <v/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39</v>
      </c>
      <c r="Q533">
        <f>100*N533</f>
        <v/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39</v>
      </c>
      <c r="Q534">
        <f>100*N534</f>
        <v/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39</v>
      </c>
      <c r="Q535">
        <f>100*N535</f>
        <v/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39</v>
      </c>
      <c r="Q536">
        <f>100*N536</f>
        <v/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39</v>
      </c>
      <c r="Q537">
        <f>100*N537</f>
        <v/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39</v>
      </c>
      <c r="Q538">
        <f>100*N538</f>
        <v/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39</v>
      </c>
      <c r="Q539">
        <f>100*N539</f>
        <v/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39</v>
      </c>
      <c r="Q540">
        <f>100*N540</f>
        <v/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39</v>
      </c>
      <c r="Q541">
        <f>100*N541</f>
        <v/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39</v>
      </c>
      <c r="Q542">
        <f>100*N542</f>
        <v/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39</v>
      </c>
      <c r="Q543">
        <f>100*N543</f>
        <v/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39</v>
      </c>
      <c r="Q544">
        <f>100*N544</f>
        <v/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39</v>
      </c>
      <c r="Q545">
        <f>100*N545</f>
        <v/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39</v>
      </c>
      <c r="Q546">
        <f>100*N546</f>
        <v/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39</v>
      </c>
      <c r="Q547">
        <f>100*N547</f>
        <v/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39</v>
      </c>
      <c r="Q548">
        <f>100*N548</f>
        <v/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39</v>
      </c>
      <c r="Q549">
        <f>100*N549</f>
        <v/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39</v>
      </c>
      <c r="Q550">
        <f>100*N550</f>
        <v/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39</v>
      </c>
      <c r="Q551">
        <f>100*N551</f>
        <v/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39</v>
      </c>
      <c r="Q552">
        <f>100*N552</f>
        <v/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39</v>
      </c>
      <c r="Q553">
        <f>100*N553</f>
        <v/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39</v>
      </c>
      <c r="Q554">
        <f>100*N554</f>
        <v/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39</v>
      </c>
      <c r="Q555">
        <f>100*N555</f>
        <v/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39</v>
      </c>
      <c r="Q556">
        <f>100*N556</f>
        <v/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39</v>
      </c>
      <c r="Q557">
        <f>100*N557</f>
        <v/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39</v>
      </c>
      <c r="Q558">
        <f>100*N558</f>
        <v/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39</v>
      </c>
      <c r="Q559">
        <f>100*N559</f>
        <v/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39</v>
      </c>
      <c r="Q560">
        <f>100*N560</f>
        <v/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39</v>
      </c>
      <c r="Q561">
        <f>100*N561</f>
        <v/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39</v>
      </c>
      <c r="Q562">
        <f>100*N562</f>
        <v/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39</v>
      </c>
      <c r="Q563">
        <f>100*N563</f>
        <v/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39</v>
      </c>
      <c r="Q564">
        <f>100*N564</f>
        <v/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39</v>
      </c>
      <c r="Q565">
        <f>100*N565</f>
        <v/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39</v>
      </c>
      <c r="Q566">
        <f>100*N566</f>
        <v/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39</v>
      </c>
      <c r="Q567">
        <f>100*N567</f>
        <v/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39</v>
      </c>
      <c r="Q568">
        <f>100*N568</f>
        <v/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39</v>
      </c>
      <c r="Q569">
        <f>100*N569</f>
        <v/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39</v>
      </c>
      <c r="Q570">
        <f>100*N570</f>
        <v/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39</v>
      </c>
      <c r="Q571">
        <f>100*N571</f>
        <v/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39</v>
      </c>
      <c r="Q572">
        <f>100*N572</f>
        <v/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39</v>
      </c>
      <c r="Q573">
        <f>100*N573</f>
        <v/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39</v>
      </c>
      <c r="Q574">
        <f>100*N574</f>
        <v/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39</v>
      </c>
      <c r="Q575">
        <f>100*N575</f>
        <v/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39</v>
      </c>
      <c r="Q576">
        <f>100*N576</f>
        <v/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39</v>
      </c>
      <c r="Q577">
        <f>100*N577</f>
        <v/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39</v>
      </c>
      <c r="Q578">
        <f>100*N578</f>
        <v/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39</v>
      </c>
      <c r="Q579">
        <f>100*N579</f>
        <v/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39</v>
      </c>
      <c r="Q580">
        <f>100*N580</f>
        <v/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39</v>
      </c>
      <c r="Q581">
        <f>100*N581</f>
        <v/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39</v>
      </c>
      <c r="Q582">
        <f>100*N582</f>
        <v/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39</v>
      </c>
      <c r="Q583">
        <f>100*N583</f>
        <v/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39</v>
      </c>
      <c r="Q584">
        <f>100*N584</f>
        <v/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39</v>
      </c>
      <c r="Q585">
        <f>100*N585</f>
        <v/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39</v>
      </c>
      <c r="Q586">
        <f>100*N586</f>
        <v/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39</v>
      </c>
      <c r="Q587">
        <f>100*N587</f>
        <v/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39</v>
      </c>
      <c r="Q588">
        <f>100*N588</f>
        <v/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39</v>
      </c>
      <c r="Q589">
        <f>100*N589</f>
        <v/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39</v>
      </c>
      <c r="Q590">
        <f>100*N590</f>
        <v/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39</v>
      </c>
      <c r="Q591">
        <f>100*N591</f>
        <v/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39</v>
      </c>
      <c r="Q592">
        <f>100*N592</f>
        <v/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39</v>
      </c>
      <c r="Q593">
        <f>100*N593</f>
        <v/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39</v>
      </c>
      <c r="Q594">
        <f>100*N594</f>
        <v/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39</v>
      </c>
      <c r="Q595">
        <f>100*N595</f>
        <v/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39</v>
      </c>
      <c r="Q596">
        <f>100*N596</f>
        <v/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39</v>
      </c>
      <c r="Q597">
        <f>100*N597</f>
        <v/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39</v>
      </c>
      <c r="Q598">
        <f>100*N598</f>
        <v/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39</v>
      </c>
      <c r="Q599">
        <f>100*N599</f>
        <v/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39</v>
      </c>
      <c r="Q600">
        <f>100*N600</f>
        <v/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39</v>
      </c>
      <c r="Q601">
        <f>100*N601</f>
        <v/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39</v>
      </c>
      <c r="Q602">
        <f>100*N602</f>
        <v/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39</v>
      </c>
      <c r="Q603">
        <f>100*N603</f>
        <v/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39</v>
      </c>
      <c r="Q604">
        <f>100*N604</f>
        <v/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39</v>
      </c>
      <c r="Q605">
        <f>100*N605</f>
        <v/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39</v>
      </c>
      <c r="Q606">
        <f>100*N606</f>
        <v/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39</v>
      </c>
      <c r="Q607">
        <f>100*N607</f>
        <v/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39</v>
      </c>
      <c r="Q608">
        <f>100*N608</f>
        <v/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39</v>
      </c>
      <c r="Q609">
        <f>100*N609</f>
        <v/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39</v>
      </c>
      <c r="Q610">
        <f>100*N610</f>
        <v/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39</v>
      </c>
      <c r="Q611">
        <f>100*N611</f>
        <v/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39</v>
      </c>
      <c r="Q612">
        <f>100*N612</f>
        <v/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39</v>
      </c>
      <c r="Q613">
        <f>100*N613</f>
        <v/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39</v>
      </c>
      <c r="Q614">
        <f>100*N614</f>
        <v/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39</v>
      </c>
      <c r="Q615">
        <f>100*N615</f>
        <v/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39</v>
      </c>
      <c r="Q616">
        <f>100*N616</f>
        <v/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39</v>
      </c>
      <c r="Q617">
        <f>100*N617</f>
        <v/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39</v>
      </c>
      <c r="Q618">
        <f>100*N618</f>
        <v/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39</v>
      </c>
      <c r="Q619">
        <f>100*N619</f>
        <v/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39</v>
      </c>
      <c r="Q620">
        <f>100*N620</f>
        <v/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39</v>
      </c>
      <c r="Q621">
        <f>100*N621</f>
        <v/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39</v>
      </c>
      <c r="Q622">
        <f>100*N622</f>
        <v/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39</v>
      </c>
      <c r="Q623">
        <f>100*N623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0"/>
    <pageSetUpPr/>
  </sheetPr>
  <dimension ref="A1:AI623"/>
  <sheetViews>
    <sheetView showGridLines="0" tabSelected="1" topLeftCell="S1" zoomScale="125" zoomScaleNormal="125" workbookViewId="0">
      <selection activeCell="A1" sqref="A1:R1048576"/>
    </sheetView>
  </sheetViews>
  <sheetFormatPr baseColWidth="10" defaultColWidth="8.83203125" defaultRowHeight="17"/>
  <cols>
    <col hidden="1" width="8.83203125" customWidth="1" style="63" min="1" max="1"/>
    <col hidden="1" width="18.33203125" customWidth="1" style="61" min="2" max="2"/>
    <col hidden="1" width="9" customWidth="1" style="69" min="3" max="14"/>
    <col hidden="1" width="10.83203125" customWidth="1" style="81" min="15" max="15"/>
    <col hidden="1" width="13.6640625" customWidth="1" style="75" min="16" max="16"/>
    <col hidden="1" width="9" customWidth="1" style="78" min="17" max="17"/>
    <col hidden="1" width="9" customWidth="1" style="67" min="18" max="18"/>
    <col width="18.33203125" customWidth="1" style="61" min="19" max="19"/>
    <col width="9" customWidth="1" style="69" min="20" max="31"/>
    <col width="10.83203125" customWidth="1" style="81" min="32" max="32"/>
    <col width="13.6640625" customWidth="1" style="75" min="33" max="33"/>
    <col width="9" customWidth="1" style="78" min="34" max="34"/>
    <col width="9" bestFit="1" customWidth="1" style="63" min="35" max="35"/>
    <col width="8.83203125" customWidth="1" style="65" min="36" max="49"/>
    <col width="8.83203125" customWidth="1" style="65" min="50" max="16384"/>
  </cols>
  <sheetData>
    <row r="1" ht="18" customHeight="1">
      <c r="C1" s="89">
        <f>"01"</f>
        <v/>
      </c>
      <c r="D1" s="89">
        <f>"02"</f>
        <v/>
      </c>
      <c r="E1" s="89">
        <f>"03"</f>
        <v/>
      </c>
      <c r="F1" s="89">
        <f>"04"</f>
        <v/>
      </c>
      <c r="G1" s="89">
        <f>"05"</f>
        <v/>
      </c>
      <c r="H1" s="89">
        <f>"06"</f>
        <v/>
      </c>
      <c r="I1" s="89">
        <f>"07"</f>
        <v/>
      </c>
      <c r="J1" s="89">
        <f>"08"</f>
        <v/>
      </c>
      <c r="K1" s="89">
        <f>"09"</f>
        <v/>
      </c>
      <c r="L1" s="89">
        <f>"10"</f>
        <v/>
      </c>
      <c r="M1" s="89">
        <f>"11"</f>
        <v/>
      </c>
      <c r="N1" s="89">
        <f>"12"</f>
        <v/>
      </c>
      <c r="O1" s="89" t="inlineStr">
        <is>
          <t>Total Stars</t>
        </is>
      </c>
      <c r="P1" s="89" t="inlineStr">
        <is>
          <t>% Destruction</t>
        </is>
      </c>
      <c r="Q1" s="91" t="inlineStr">
        <is>
          <t>Rank</t>
        </is>
      </c>
      <c r="R1" s="1" t="n"/>
      <c r="S1" s="93" t="inlineStr">
        <is>
          <t>Players</t>
        </is>
      </c>
      <c r="T1" s="89">
        <f>"01"</f>
        <v/>
      </c>
      <c r="U1" s="89">
        <f>"02"</f>
        <v/>
      </c>
      <c r="V1" s="89">
        <f>"03"</f>
        <v/>
      </c>
      <c r="W1" s="89">
        <f>"04"</f>
        <v/>
      </c>
      <c r="X1" s="89">
        <f>"05"</f>
        <v/>
      </c>
      <c r="Y1" s="89">
        <f>"06"</f>
        <v/>
      </c>
      <c r="Z1" s="89">
        <f>"07"</f>
        <v/>
      </c>
      <c r="AA1" s="89">
        <f>"08"</f>
        <v/>
      </c>
      <c r="AB1" s="89">
        <f>"09"</f>
        <v/>
      </c>
      <c r="AC1" s="89">
        <f>"10"</f>
        <v/>
      </c>
      <c r="AD1" s="89">
        <f>"11"</f>
        <v/>
      </c>
      <c r="AE1" s="89">
        <f>"12"</f>
        <v/>
      </c>
      <c r="AF1" s="89" t="inlineStr">
        <is>
          <t>Total Stars</t>
        </is>
      </c>
      <c r="AG1" s="89" t="inlineStr">
        <is>
          <t>% Destruction</t>
        </is>
      </c>
      <c r="AH1" s="91" t="inlineStr">
        <is>
          <t>Rank</t>
        </is>
      </c>
    </row>
    <row r="2" ht="19" customHeight="1">
      <c r="A2" s="67" t="inlineStr">
        <is>
          <t>Tag</t>
        </is>
      </c>
      <c r="B2" s="61" t="inlineStr">
        <is>
          <t>Players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2" t="n"/>
      <c r="R2" s="2" t="n"/>
      <c r="S2" s="94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/>
      <c r="AC2" s="90" t="n"/>
      <c r="AD2" s="90" t="n"/>
      <c r="AE2" s="90" t="n"/>
      <c r="AF2" s="90" t="n"/>
      <c r="AG2" s="90" t="n"/>
      <c r="AH2" s="92" t="n"/>
      <c r="AI2" s="66" t="n"/>
    </row>
    <row r="3" ht="18" customHeight="1">
      <c r="A3" s="63">
        <f t="array" ref="A3:B17">_xlfn.ANCHORARRAY(RegisteredPlayers!F3)</f>
        <v/>
      </c>
      <c r="B3" s="61" t="inlineStr">
        <is>
          <t>danceshell12</t>
        </is>
      </c>
      <c r="C3" s="68">
        <f>_xlfn.XLOOKUP($A3,'01'!$G$3:$G$100,'01'!$R$3:$R$100,"-")</f>
        <v/>
      </c>
      <c r="D3" s="68">
        <f>_xlfn.XLOOKUP($A3,'02'!$G$3:$G$100,'02'!$R$3:$R$100,"-")</f>
        <v/>
      </c>
      <c r="E3" s="68">
        <f>_xlfn.XLOOKUP($A3,'03'!$G$3:$G$100,'03'!$R$3:$R$100,"-")</f>
        <v/>
      </c>
      <c r="F3" s="68">
        <f>_xlfn.XLOOKUP($A3,'04'!$G$3:$G$100,'04'!$R$3:$R$100,"-")</f>
        <v/>
      </c>
      <c r="G3" s="68">
        <f>_xlfn.XLOOKUP($A3,'05'!$G$3:$G$100,'05'!$R$3:$R$100,"-")</f>
        <v/>
      </c>
      <c r="H3" s="68">
        <f>_xlfn.XLOOKUP($A3,'06'!$G$3:$G$100,'06'!$R$3:$R$100,"-")</f>
        <v/>
      </c>
      <c r="I3" s="68">
        <f>_xlfn.XLOOKUP($A3,'07'!$G$3:$G$100,'07'!$R$3:$R$100,"-")</f>
        <v/>
      </c>
      <c r="J3" s="68">
        <f>_xlfn.XLOOKUP($A3,'08'!$G$3:$G$100,'08'!$R$3:$R$100,"-")</f>
        <v/>
      </c>
      <c r="K3" s="68">
        <f>_xlfn.XLOOKUP($A3,'09'!$G$3:$G$100,'09'!$R$3:$R$100,"-")</f>
        <v/>
      </c>
      <c r="L3" s="68">
        <f>_xlfn.XLOOKUP($A3,'10'!$G$3:$G$100,'10'!$R$3:$R$100,"-")</f>
        <v/>
      </c>
      <c r="M3" s="68">
        <f>_xlfn.XLOOKUP($A3,'11'!$G$3:$G$100,'11'!$R$3:$R$100,"-")</f>
        <v/>
      </c>
      <c r="N3" s="68">
        <f>_xlfn.XLOOKUP($A3,'12'!$G$3:$G$100,'12'!$R$3:$R$100,"-")</f>
        <v/>
      </c>
      <c r="O3" s="79">
        <f>SUM(C3:N3)</f>
        <v/>
      </c>
      <c r="P3" s="74" t="n"/>
      <c r="Q3" s="82" t="n">
        <v>1</v>
      </c>
      <c r="R3" s="38" t="n"/>
      <c r="S3" s="61">
        <f t="array" ref="S3:AG500">_xlfn.SORTBY(B3:P500,O3:O500,-1)</f>
        <v/>
      </c>
      <c r="T3" s="68" t="inlineStr">
        <is>
          <t>-</t>
        </is>
      </c>
      <c r="U3" s="68" t="inlineStr">
        <is>
          <t>-</t>
        </is>
      </c>
      <c r="V3" s="68" t="inlineStr">
        <is>
          <t>-</t>
        </is>
      </c>
      <c r="W3" s="68" t="inlineStr">
        <is>
          <t>-</t>
        </is>
      </c>
      <c r="X3" s="68" t="inlineStr">
        <is>
          <t>-</t>
        </is>
      </c>
      <c r="Y3" s="68" t="inlineStr">
        <is>
          <t>-</t>
        </is>
      </c>
      <c r="Z3" s="68" t="inlineStr">
        <is>
          <t>-</t>
        </is>
      </c>
      <c r="AA3" s="68" t="inlineStr">
        <is>
          <t>-</t>
        </is>
      </c>
      <c r="AB3" s="68" t="inlineStr">
        <is>
          <t>-</t>
        </is>
      </c>
      <c r="AC3" s="68" t="inlineStr">
        <is>
          <t>-</t>
        </is>
      </c>
      <c r="AD3" s="68" t="inlineStr">
        <is>
          <t>-</t>
        </is>
      </c>
      <c r="AE3" s="68" t="inlineStr">
        <is>
          <t>-</t>
        </is>
      </c>
      <c r="AF3" s="79" t="n">
        <v>0</v>
      </c>
      <c r="AG3" s="74" t="n">
        <v>0</v>
      </c>
      <c r="AH3" s="82" t="n">
        <v>1</v>
      </c>
    </row>
    <row r="4" ht="18" customHeight="1">
      <c r="A4" s="63" t="inlineStr">
        <is>
          <t>#89Q2YQ9C</t>
        </is>
      </c>
      <c r="B4" s="61" t="inlineStr">
        <is>
          <t>zeon</t>
        </is>
      </c>
      <c r="C4" s="68">
        <f>_xlfn.XLOOKUP($A4,'01'!$G$3:$G$100,'01'!$R$3:$R$100,"-")</f>
        <v/>
      </c>
      <c r="D4" s="68">
        <f>_xlfn.XLOOKUP($A4,'02'!$G$3:$G$100,'02'!$R$3:$R$100,"-")</f>
        <v/>
      </c>
      <c r="E4" s="68">
        <f>_xlfn.XLOOKUP($A4,'03'!$G$3:$G$100,'03'!$R$3:$R$100,"-")</f>
        <v/>
      </c>
      <c r="F4" s="68">
        <f>_xlfn.XLOOKUP($A4,'04'!$G$3:$G$100,'04'!$R$3:$R$100,"-")</f>
        <v/>
      </c>
      <c r="G4" s="68">
        <f>_xlfn.XLOOKUP($A4,'05'!$G$3:$G$100,'05'!$R$3:$R$100,"-")</f>
        <v/>
      </c>
      <c r="H4" s="68">
        <f>_xlfn.XLOOKUP($A4,'06'!$G$3:$G$100,'06'!$R$3:$R$100,"-")</f>
        <v/>
      </c>
      <c r="I4" s="68">
        <f>_xlfn.XLOOKUP($A4,'07'!$G$3:$G$100,'07'!$R$3:$R$100,"-")</f>
        <v/>
      </c>
      <c r="J4" s="68">
        <f>_xlfn.XLOOKUP($A4,'08'!$G$3:$G$100,'08'!$R$3:$R$100,"-")</f>
        <v/>
      </c>
      <c r="K4" s="68">
        <f>_xlfn.XLOOKUP($A4,'09'!$G$3:$G$100,'09'!$R$3:$R$100,"-")</f>
        <v/>
      </c>
      <c r="L4" s="68">
        <f>_xlfn.XLOOKUP($A4,'10'!$G$3:$G$100,'10'!$R$3:$R$100,"-")</f>
        <v/>
      </c>
      <c r="M4" s="68">
        <f>_xlfn.XLOOKUP($A4,'11'!$G$3:$G$100,'11'!$R$3:$R$100,"-")</f>
        <v/>
      </c>
      <c r="N4" s="68">
        <f>_xlfn.XLOOKUP($A4,'12'!$G$3:$G$100,'12'!$R$3:$R$100,"-")</f>
        <v/>
      </c>
      <c r="O4" s="79">
        <f>SUM(C4:N4)</f>
        <v/>
      </c>
      <c r="P4" s="74" t="n"/>
      <c r="Q4" s="82" t="n">
        <v>2</v>
      </c>
      <c r="R4" s="38" t="n"/>
      <c r="S4" s="61" t="inlineStr">
        <is>
          <t>zeon</t>
        </is>
      </c>
      <c r="T4" s="68" t="inlineStr">
        <is>
          <t>-</t>
        </is>
      </c>
      <c r="U4" s="68" t="inlineStr">
        <is>
          <t>-</t>
        </is>
      </c>
      <c r="V4" s="68" t="inlineStr">
        <is>
          <t>-</t>
        </is>
      </c>
      <c r="W4" s="68" t="inlineStr">
        <is>
          <t>-</t>
        </is>
      </c>
      <c r="X4" s="68" t="inlineStr">
        <is>
          <t>-</t>
        </is>
      </c>
      <c r="Y4" s="68" t="inlineStr">
        <is>
          <t>-</t>
        </is>
      </c>
      <c r="Z4" s="68" t="inlineStr">
        <is>
          <t>-</t>
        </is>
      </c>
      <c r="AA4" s="68" t="inlineStr">
        <is>
          <t>-</t>
        </is>
      </c>
      <c r="AB4" s="68" t="inlineStr">
        <is>
          <t>-</t>
        </is>
      </c>
      <c r="AC4" s="68" t="inlineStr">
        <is>
          <t>-</t>
        </is>
      </c>
      <c r="AD4" s="68" t="inlineStr">
        <is>
          <t>-</t>
        </is>
      </c>
      <c r="AE4" s="68" t="inlineStr">
        <is>
          <t>-</t>
        </is>
      </c>
      <c r="AF4" s="79" t="n">
        <v>0</v>
      </c>
      <c r="AG4" s="74" t="n">
        <v>0</v>
      </c>
      <c r="AH4" s="82" t="n">
        <v>2</v>
      </c>
    </row>
    <row r="5" ht="18" customHeight="1">
      <c r="A5" s="63" t="inlineStr">
        <is>
          <t>#2PV8PYC0Q</t>
        </is>
      </c>
      <c r="B5" s="61" t="inlineStr">
        <is>
          <t>Bunny</t>
        </is>
      </c>
      <c r="C5" s="68">
        <f>_xlfn.XLOOKUP($A5,'01'!$G$3:$G$100,'01'!$R$3:$R$100,"-")</f>
        <v/>
      </c>
      <c r="D5" s="68">
        <f>_xlfn.XLOOKUP($A5,'02'!$G$3:$G$100,'02'!$R$3:$R$100,"-")</f>
        <v/>
      </c>
      <c r="E5" s="68">
        <f>_xlfn.XLOOKUP($A5,'03'!$G$3:$G$100,'03'!$R$3:$R$100,"-")</f>
        <v/>
      </c>
      <c r="F5" s="68">
        <f>_xlfn.XLOOKUP($A5,'04'!$G$3:$G$100,'04'!$R$3:$R$100,"-")</f>
        <v/>
      </c>
      <c r="G5" s="68" t="inlineStr">
        <is>
          <t>-</t>
        </is>
      </c>
      <c r="H5" s="68">
        <f>_xlfn.XLOOKUP($A5,'06'!$G$3:$G$100,'06'!$R$3:$R$100,"-")</f>
        <v/>
      </c>
      <c r="I5" s="68">
        <f>_xlfn.XLOOKUP($A5,'07'!$G$3:$G$100,'07'!$R$3:$R$100,"-")</f>
        <v/>
      </c>
      <c r="J5" s="68">
        <f>_xlfn.XLOOKUP($A5,'08'!$G$3:$G$100,'08'!$R$3:$R$100,"-")</f>
        <v/>
      </c>
      <c r="K5" s="68">
        <f>_xlfn.XLOOKUP($A5,'09'!$G$3:$G$100,'09'!$R$3:$R$100,"-")</f>
        <v/>
      </c>
      <c r="L5" s="68">
        <f>_xlfn.XLOOKUP($A5,'10'!$G$3:$G$100,'10'!$R$3:$R$100,"-")</f>
        <v/>
      </c>
      <c r="M5" s="68">
        <f>_xlfn.XLOOKUP($A5,'11'!$G$3:$G$100,'11'!$R$3:$R$100,"-")</f>
        <v/>
      </c>
      <c r="N5" s="68">
        <f>_xlfn.XLOOKUP($A5,'12'!$G$3:$G$100,'12'!$R$3:$R$100,"-")</f>
        <v/>
      </c>
      <c r="O5" s="79">
        <f>SUM(C5:N5)</f>
        <v/>
      </c>
      <c r="P5" s="74" t="n"/>
      <c r="Q5" s="82" t="n">
        <v>3</v>
      </c>
      <c r="R5" s="38" t="n"/>
      <c r="S5" s="61" t="inlineStr">
        <is>
          <t>Bunny</t>
        </is>
      </c>
      <c r="T5" s="68" t="inlineStr">
        <is>
          <t>-</t>
        </is>
      </c>
      <c r="U5" s="68" t="inlineStr">
        <is>
          <t>-</t>
        </is>
      </c>
      <c r="V5" s="68" t="inlineStr">
        <is>
          <t>-</t>
        </is>
      </c>
      <c r="W5" s="68" t="inlineStr">
        <is>
          <t>-</t>
        </is>
      </c>
      <c r="X5" s="68" t="inlineStr">
        <is>
          <t>-</t>
        </is>
      </c>
      <c r="Y5" s="68" t="inlineStr">
        <is>
          <t>-</t>
        </is>
      </c>
      <c r="Z5" s="68" t="inlineStr">
        <is>
          <t>-</t>
        </is>
      </c>
      <c r="AA5" s="68" t="inlineStr">
        <is>
          <t>-</t>
        </is>
      </c>
      <c r="AB5" s="68" t="inlineStr">
        <is>
          <t>-</t>
        </is>
      </c>
      <c r="AC5" s="68" t="inlineStr">
        <is>
          <t>-</t>
        </is>
      </c>
      <c r="AD5" s="68" t="inlineStr">
        <is>
          <t>-</t>
        </is>
      </c>
      <c r="AE5" s="68" t="inlineStr">
        <is>
          <t>-</t>
        </is>
      </c>
      <c r="AF5" s="79" t="n">
        <v>0</v>
      </c>
      <c r="AG5" s="74" t="n">
        <v>0</v>
      </c>
      <c r="AH5" s="82" t="n">
        <v>3</v>
      </c>
    </row>
    <row r="6" ht="18" customHeight="1">
      <c r="A6" s="63" t="inlineStr">
        <is>
          <t>#CVYUC2CJ</t>
        </is>
      </c>
      <c r="B6" s="61" t="inlineStr">
        <is>
          <t>vAtS</t>
        </is>
      </c>
      <c r="C6" s="68">
        <f>_xlfn.XLOOKUP($A6,'01'!$G$3:$G$100,'01'!$R$3:$R$100,"-")</f>
        <v/>
      </c>
      <c r="D6" s="68">
        <f>_xlfn.XLOOKUP($A6,'02'!$G$3:$G$100,'02'!$R$3:$R$100,"-")</f>
        <v/>
      </c>
      <c r="E6" s="68">
        <f>_xlfn.XLOOKUP($A6,'03'!$G$3:$G$100,'03'!$R$3:$R$100,"-")</f>
        <v/>
      </c>
      <c r="F6" s="68">
        <f>_xlfn.XLOOKUP($A6,'04'!$G$3:$G$100,'04'!$R$3:$R$100,"-")</f>
        <v/>
      </c>
      <c r="G6" s="68" t="inlineStr">
        <is>
          <t>-</t>
        </is>
      </c>
      <c r="H6" s="68">
        <f>_xlfn.XLOOKUP($A6,'06'!$G$3:$G$100,'06'!$R$3:$R$100,"-")</f>
        <v/>
      </c>
      <c r="I6" s="68">
        <f>_xlfn.XLOOKUP($A6,'07'!$G$3:$G$100,'07'!$R$3:$R$100,"-")</f>
        <v/>
      </c>
      <c r="J6" s="68">
        <f>_xlfn.XLOOKUP($A6,'08'!$G$3:$G$100,'08'!$R$3:$R$100,"-")</f>
        <v/>
      </c>
      <c r="K6" s="68">
        <f>_xlfn.XLOOKUP($A6,'09'!$G$3:$G$100,'09'!$R$3:$R$100,"-")</f>
        <v/>
      </c>
      <c r="L6" s="68">
        <f>_xlfn.XLOOKUP($A6,'10'!$G$3:$G$100,'10'!$R$3:$R$100,"-")</f>
        <v/>
      </c>
      <c r="M6" s="68">
        <f>_xlfn.XLOOKUP($A6,'11'!$G$3:$G$100,'11'!$R$3:$R$100,"-")</f>
        <v/>
      </c>
      <c r="N6" s="68">
        <f>_xlfn.XLOOKUP($A6,'12'!$G$3:$G$100,'12'!$R$3:$R$100,"-")</f>
        <v/>
      </c>
      <c r="O6" s="79">
        <f>SUM(C6:N6)</f>
        <v/>
      </c>
      <c r="P6" s="74" t="n"/>
      <c r="Q6" s="82" t="n">
        <v>4</v>
      </c>
      <c r="R6" s="38" t="n"/>
      <c r="S6" s="61" t="inlineStr">
        <is>
          <t>vAtS</t>
        </is>
      </c>
      <c r="T6" s="68" t="inlineStr">
        <is>
          <t>-</t>
        </is>
      </c>
      <c r="U6" s="68" t="inlineStr">
        <is>
          <t>-</t>
        </is>
      </c>
      <c r="V6" s="68" t="inlineStr">
        <is>
          <t>-</t>
        </is>
      </c>
      <c r="W6" s="68" t="inlineStr">
        <is>
          <t>-</t>
        </is>
      </c>
      <c r="X6" s="68" t="inlineStr">
        <is>
          <t>-</t>
        </is>
      </c>
      <c r="Y6" s="68" t="inlineStr">
        <is>
          <t>-</t>
        </is>
      </c>
      <c r="Z6" s="68" t="inlineStr">
        <is>
          <t>-</t>
        </is>
      </c>
      <c r="AA6" s="68" t="inlineStr">
        <is>
          <t>-</t>
        </is>
      </c>
      <c r="AB6" s="68" t="inlineStr">
        <is>
          <t>-</t>
        </is>
      </c>
      <c r="AC6" s="68" t="inlineStr">
        <is>
          <t>-</t>
        </is>
      </c>
      <c r="AD6" s="68" t="inlineStr">
        <is>
          <t>-</t>
        </is>
      </c>
      <c r="AE6" s="68" t="inlineStr">
        <is>
          <t>-</t>
        </is>
      </c>
      <c r="AF6" s="79" t="n">
        <v>0</v>
      </c>
      <c r="AG6" s="74" t="n">
        <v>0</v>
      </c>
      <c r="AH6" s="82" t="n">
        <v>4</v>
      </c>
    </row>
    <row r="7" ht="18" customHeight="1">
      <c r="A7" s="63" t="inlineStr">
        <is>
          <t>#LGP2P0CRV</t>
        </is>
      </c>
      <c r="B7" s="61" t="inlineStr">
        <is>
          <t>babÿ champagne</t>
        </is>
      </c>
      <c r="C7" s="68">
        <f>_xlfn.XLOOKUP($A7,'01'!$G$3:$G$100,'01'!$R$3:$R$100,"-")</f>
        <v/>
      </c>
      <c r="D7" s="68">
        <f>_xlfn.XLOOKUP($A7,'02'!$G$3:$G$100,'02'!$R$3:$R$100,"-")</f>
        <v/>
      </c>
      <c r="E7" s="68">
        <f>_xlfn.XLOOKUP($A7,'03'!$G$3:$G$100,'03'!$R$3:$R$100,"-")</f>
        <v/>
      </c>
      <c r="F7" s="68">
        <f>_xlfn.XLOOKUP($A7,'04'!$G$3:$G$100,'04'!$R$3:$R$100,"-")</f>
        <v/>
      </c>
      <c r="G7" s="68" t="inlineStr">
        <is>
          <t>-</t>
        </is>
      </c>
      <c r="H7" s="68">
        <f>_xlfn.XLOOKUP($A7,'06'!$G$3:$G$100,'06'!$R$3:$R$100,"-")</f>
        <v/>
      </c>
      <c r="I7" s="68">
        <f>_xlfn.XLOOKUP($A7,'07'!$G$3:$G$100,'07'!$R$3:$R$100,"-")</f>
        <v/>
      </c>
      <c r="J7" s="68">
        <f>_xlfn.XLOOKUP($A7,'08'!$G$3:$G$100,'08'!$R$3:$R$100,"-")</f>
        <v/>
      </c>
      <c r="K7" s="68">
        <f>_xlfn.XLOOKUP($A7,'09'!$G$3:$G$100,'09'!$R$3:$R$100,"-")</f>
        <v/>
      </c>
      <c r="L7" s="68">
        <f>_xlfn.XLOOKUP($A7,'10'!$G$3:$G$100,'10'!$R$3:$R$100,"-")</f>
        <v/>
      </c>
      <c r="M7" s="68">
        <f>_xlfn.XLOOKUP($A7,'11'!$G$3:$G$100,'11'!$R$3:$R$100,"-")</f>
        <v/>
      </c>
      <c r="N7" s="68">
        <f>_xlfn.XLOOKUP($A7,'12'!$G$3:$G$100,'12'!$R$3:$R$100,"-")</f>
        <v/>
      </c>
      <c r="O7" s="79">
        <f>SUM(C7:N7)</f>
        <v/>
      </c>
      <c r="P7" s="74" t="n"/>
      <c r="Q7" s="83" t="n">
        <v>5</v>
      </c>
      <c r="R7" s="38" t="n"/>
      <c r="S7" s="61" t="inlineStr">
        <is>
          <t>babÿ champagne</t>
        </is>
      </c>
      <c r="T7" s="68" t="inlineStr">
        <is>
          <t>-</t>
        </is>
      </c>
      <c r="U7" s="68" t="inlineStr">
        <is>
          <t>-</t>
        </is>
      </c>
      <c r="V7" s="68" t="inlineStr">
        <is>
          <t>-</t>
        </is>
      </c>
      <c r="W7" s="68" t="inlineStr">
        <is>
          <t>-</t>
        </is>
      </c>
      <c r="X7" s="68" t="inlineStr">
        <is>
          <t>-</t>
        </is>
      </c>
      <c r="Y7" s="68" t="inlineStr">
        <is>
          <t>-</t>
        </is>
      </c>
      <c r="Z7" s="68" t="inlineStr">
        <is>
          <t>-</t>
        </is>
      </c>
      <c r="AA7" s="68" t="inlineStr">
        <is>
          <t>-</t>
        </is>
      </c>
      <c r="AB7" s="68" t="inlineStr">
        <is>
          <t>-</t>
        </is>
      </c>
      <c r="AC7" s="68" t="inlineStr">
        <is>
          <t>-</t>
        </is>
      </c>
      <c r="AD7" s="68" t="inlineStr">
        <is>
          <t>-</t>
        </is>
      </c>
      <c r="AE7" s="68" t="inlineStr">
        <is>
          <t>-</t>
        </is>
      </c>
      <c r="AF7" s="79" t="n">
        <v>0</v>
      </c>
      <c r="AG7" s="74" t="n">
        <v>0</v>
      </c>
      <c r="AH7" s="83" t="n">
        <v>5</v>
      </c>
    </row>
    <row r="8" ht="18" customHeight="1">
      <c r="A8" s="63" t="inlineStr">
        <is>
          <t>#2GQLPJ9JL</t>
        </is>
      </c>
      <c r="B8" s="61" t="inlineStr">
        <is>
          <t>TDC</t>
        </is>
      </c>
      <c r="C8" s="68">
        <f>_xlfn.XLOOKUP($A8,'01'!$G$3:$G$100,'01'!$R$3:$R$100,"-")</f>
        <v/>
      </c>
      <c r="D8" s="68">
        <f>_xlfn.XLOOKUP($A8,'02'!$G$3:$G$100,'02'!$R$3:$R$100,"-")</f>
        <v/>
      </c>
      <c r="E8" s="68">
        <f>_xlfn.XLOOKUP($A8,'03'!$G$3:$G$100,'03'!$R$3:$R$100,"-")</f>
        <v/>
      </c>
      <c r="F8" s="68">
        <f>_xlfn.XLOOKUP($A8,'04'!$G$3:$G$100,'04'!$R$3:$R$100,"-")</f>
        <v/>
      </c>
      <c r="G8" s="68" t="inlineStr">
        <is>
          <t>-</t>
        </is>
      </c>
      <c r="H8" s="68">
        <f>_xlfn.XLOOKUP($A8,'06'!$G$3:$G$100,'06'!$R$3:$R$100,"-")</f>
        <v/>
      </c>
      <c r="I8" s="68">
        <f>_xlfn.XLOOKUP($A8,'07'!$G$3:$G$100,'07'!$R$3:$R$100,"-")</f>
        <v/>
      </c>
      <c r="J8" s="68">
        <f>_xlfn.XLOOKUP($A8,'08'!$G$3:$G$100,'08'!$R$3:$R$100,"-")</f>
        <v/>
      </c>
      <c r="K8" s="68">
        <f>_xlfn.XLOOKUP($A8,'09'!$G$3:$G$100,'09'!$R$3:$R$100,"-")</f>
        <v/>
      </c>
      <c r="L8" s="68">
        <f>_xlfn.XLOOKUP($A8,'10'!$G$3:$G$100,'10'!$R$3:$R$100,"-")</f>
        <v/>
      </c>
      <c r="M8" s="68">
        <f>_xlfn.XLOOKUP($A8,'11'!$G$3:$G$100,'11'!$R$3:$R$100,"-")</f>
        <v/>
      </c>
      <c r="N8" s="68">
        <f>_xlfn.XLOOKUP($A8,'12'!$G$3:$G$100,'12'!$R$3:$R$100,"-")</f>
        <v/>
      </c>
      <c r="O8" s="79">
        <f>SUM(C8:N8)</f>
        <v/>
      </c>
      <c r="P8" s="74" t="n"/>
      <c r="Q8" s="82" t="n">
        <v>6</v>
      </c>
      <c r="R8" s="38" t="n"/>
      <c r="S8" s="61" t="inlineStr">
        <is>
          <t>TDC</t>
        </is>
      </c>
      <c r="T8" s="68" t="inlineStr">
        <is>
          <t>-</t>
        </is>
      </c>
      <c r="U8" s="68" t="inlineStr">
        <is>
          <t>-</t>
        </is>
      </c>
      <c r="V8" s="68" t="inlineStr">
        <is>
          <t>-</t>
        </is>
      </c>
      <c r="W8" s="68" t="inlineStr">
        <is>
          <t>-</t>
        </is>
      </c>
      <c r="X8" s="68" t="inlineStr">
        <is>
          <t>-</t>
        </is>
      </c>
      <c r="Y8" s="68" t="inlineStr">
        <is>
          <t>-</t>
        </is>
      </c>
      <c r="Z8" s="68" t="inlineStr">
        <is>
          <t>-</t>
        </is>
      </c>
      <c r="AA8" s="68" t="inlineStr">
        <is>
          <t>-</t>
        </is>
      </c>
      <c r="AB8" s="68" t="inlineStr">
        <is>
          <t>-</t>
        </is>
      </c>
      <c r="AC8" s="68" t="inlineStr">
        <is>
          <t>-</t>
        </is>
      </c>
      <c r="AD8" s="68" t="inlineStr">
        <is>
          <t>-</t>
        </is>
      </c>
      <c r="AE8" s="68" t="inlineStr">
        <is>
          <t>-</t>
        </is>
      </c>
      <c r="AF8" s="79" t="n">
        <v>0</v>
      </c>
      <c r="AG8" s="74" t="n">
        <v>0</v>
      </c>
      <c r="AH8" s="82" t="n">
        <v>6</v>
      </c>
    </row>
    <row r="9" ht="18" customHeight="1">
      <c r="A9" s="63" t="inlineStr">
        <is>
          <t>#URGR20J0</t>
        </is>
      </c>
      <c r="B9" s="61" t="inlineStr">
        <is>
          <t>zeezus</t>
        </is>
      </c>
      <c r="C9" s="68">
        <f>_xlfn.XLOOKUP($A9,'01'!$G$3:$G$100,'01'!$R$3:$R$100,"-")</f>
        <v/>
      </c>
      <c r="D9" s="68">
        <f>_xlfn.XLOOKUP($A9,'02'!$G$3:$G$100,'02'!$R$3:$R$100,"-")</f>
        <v/>
      </c>
      <c r="E9" s="68">
        <f>_xlfn.XLOOKUP($A9,'03'!$G$3:$G$100,'03'!$R$3:$R$100,"-")</f>
        <v/>
      </c>
      <c r="F9" s="68">
        <f>_xlfn.XLOOKUP($A9,'04'!$G$3:$G$100,'04'!$R$3:$R$100,"-")</f>
        <v/>
      </c>
      <c r="G9" s="68" t="inlineStr">
        <is>
          <t>-</t>
        </is>
      </c>
      <c r="H9" s="68">
        <f>_xlfn.XLOOKUP($A9,'06'!$G$3:$G$100,'06'!$R$3:$R$100,"-")</f>
        <v/>
      </c>
      <c r="I9" s="68">
        <f>_xlfn.XLOOKUP($A9,'07'!$G$3:$G$100,'07'!$R$3:$R$100,"-")</f>
        <v/>
      </c>
      <c r="J9" s="68">
        <f>_xlfn.XLOOKUP($A9,'08'!$G$3:$G$100,'08'!$R$3:$R$100,"-")</f>
        <v/>
      </c>
      <c r="K9" s="68">
        <f>_xlfn.XLOOKUP($A9,'09'!$G$3:$G$100,'09'!$R$3:$R$100,"-")</f>
        <v/>
      </c>
      <c r="L9" s="68">
        <f>_xlfn.XLOOKUP($A9,'10'!$G$3:$G$100,'10'!$R$3:$R$100,"-")</f>
        <v/>
      </c>
      <c r="M9" s="68">
        <f>_xlfn.XLOOKUP($A9,'11'!$G$3:$G$100,'11'!$R$3:$R$100,"-")</f>
        <v/>
      </c>
      <c r="N9" s="68">
        <f>_xlfn.XLOOKUP($A9,'12'!$G$3:$G$100,'12'!$R$3:$R$100,"-")</f>
        <v/>
      </c>
      <c r="O9" s="79">
        <f>SUM(C9:N9)</f>
        <v/>
      </c>
      <c r="P9" s="74" t="n"/>
      <c r="Q9" s="82" t="n">
        <v>7</v>
      </c>
      <c r="R9" s="38" t="n"/>
      <c r="S9" s="61" t="inlineStr">
        <is>
          <t>zeezus</t>
        </is>
      </c>
      <c r="T9" s="68" t="inlineStr">
        <is>
          <t>-</t>
        </is>
      </c>
      <c r="U9" s="68" t="inlineStr">
        <is>
          <t>-</t>
        </is>
      </c>
      <c r="V9" s="68" t="inlineStr">
        <is>
          <t>-</t>
        </is>
      </c>
      <c r="W9" s="68" t="inlineStr">
        <is>
          <t>-</t>
        </is>
      </c>
      <c r="X9" s="68" t="inlineStr">
        <is>
          <t>-</t>
        </is>
      </c>
      <c r="Y9" s="68" t="inlineStr">
        <is>
          <t>-</t>
        </is>
      </c>
      <c r="Z9" s="68" t="inlineStr">
        <is>
          <t>-</t>
        </is>
      </c>
      <c r="AA9" s="68" t="inlineStr">
        <is>
          <t>-</t>
        </is>
      </c>
      <c r="AB9" s="68" t="inlineStr">
        <is>
          <t>-</t>
        </is>
      </c>
      <c r="AC9" s="68" t="inlineStr">
        <is>
          <t>-</t>
        </is>
      </c>
      <c r="AD9" s="68" t="inlineStr">
        <is>
          <t>-</t>
        </is>
      </c>
      <c r="AE9" s="68" t="inlineStr">
        <is>
          <t>-</t>
        </is>
      </c>
      <c r="AF9" s="79" t="n">
        <v>0</v>
      </c>
      <c r="AG9" s="74" t="n">
        <v>0</v>
      </c>
      <c r="AH9" s="82" t="n">
        <v>7</v>
      </c>
    </row>
    <row r="10" ht="18" customHeight="1">
      <c r="A10" s="63" t="inlineStr">
        <is>
          <t>#29G0L9JL9</t>
        </is>
      </c>
      <c r="B10" s="61" t="inlineStr">
        <is>
          <t>Jesús F7</t>
        </is>
      </c>
      <c r="C10" s="68">
        <f>_xlfn.XLOOKUP($A10,'01'!$G$3:$G$100,'01'!$R$3:$R$100,"-")</f>
        <v/>
      </c>
      <c r="D10" s="68">
        <f>_xlfn.XLOOKUP($A10,'02'!$G$3:$G$100,'02'!$R$3:$R$100,"-")</f>
        <v/>
      </c>
      <c r="E10" s="68">
        <f>_xlfn.XLOOKUP($A10,'03'!$G$3:$G$100,'03'!$R$3:$R$100,"-")</f>
        <v/>
      </c>
      <c r="F10" s="68">
        <f>_xlfn.XLOOKUP($A10,'04'!$G$3:$G$100,'04'!$R$3:$R$100,"-")</f>
        <v/>
      </c>
      <c r="G10" s="68" t="inlineStr">
        <is>
          <t>-</t>
        </is>
      </c>
      <c r="H10" s="68">
        <f>_xlfn.XLOOKUP($A10,'06'!$G$3:$G$100,'06'!$R$3:$R$100,"-")</f>
        <v/>
      </c>
      <c r="I10" s="68">
        <f>_xlfn.XLOOKUP($A10,'07'!$G$3:$G$100,'07'!$R$3:$R$100,"-")</f>
        <v/>
      </c>
      <c r="J10" s="68">
        <f>_xlfn.XLOOKUP($A10,'08'!$G$3:$G$100,'08'!$R$3:$R$100,"-")</f>
        <v/>
      </c>
      <c r="K10" s="68">
        <f>_xlfn.XLOOKUP($A10,'09'!$G$3:$G$100,'09'!$R$3:$R$100,"-")</f>
        <v/>
      </c>
      <c r="L10" s="68">
        <f>_xlfn.XLOOKUP($A10,'10'!$G$3:$G$100,'10'!$R$3:$R$100,"-")</f>
        <v/>
      </c>
      <c r="M10" s="68">
        <f>_xlfn.XLOOKUP($A10,'11'!$G$3:$G$100,'11'!$R$3:$R$100,"-")</f>
        <v/>
      </c>
      <c r="N10" s="68">
        <f>_xlfn.XLOOKUP($A10,'12'!$G$3:$G$100,'12'!$R$3:$R$100,"-")</f>
        <v/>
      </c>
      <c r="O10" s="79">
        <f>SUM(C10:N10)</f>
        <v/>
      </c>
      <c r="P10" s="74" t="n"/>
      <c r="Q10" s="82" t="n">
        <v>8</v>
      </c>
      <c r="R10" s="38" t="n"/>
      <c r="S10" s="61" t="inlineStr">
        <is>
          <t>Jesús F7</t>
        </is>
      </c>
      <c r="T10" s="68" t="inlineStr">
        <is>
          <t>-</t>
        </is>
      </c>
      <c r="U10" s="68" t="inlineStr">
        <is>
          <t>-</t>
        </is>
      </c>
      <c r="V10" s="68" t="inlineStr">
        <is>
          <t>-</t>
        </is>
      </c>
      <c r="W10" s="68" t="inlineStr">
        <is>
          <t>-</t>
        </is>
      </c>
      <c r="X10" s="68" t="inlineStr">
        <is>
          <t>-</t>
        </is>
      </c>
      <c r="Y10" s="68" t="inlineStr">
        <is>
          <t>-</t>
        </is>
      </c>
      <c r="Z10" s="68" t="inlineStr">
        <is>
          <t>-</t>
        </is>
      </c>
      <c r="AA10" s="68" t="inlineStr">
        <is>
          <t>-</t>
        </is>
      </c>
      <c r="AB10" s="68" t="inlineStr">
        <is>
          <t>-</t>
        </is>
      </c>
      <c r="AC10" s="68" t="inlineStr">
        <is>
          <t>-</t>
        </is>
      </c>
      <c r="AD10" s="68" t="inlineStr">
        <is>
          <t>-</t>
        </is>
      </c>
      <c r="AE10" s="68" t="inlineStr">
        <is>
          <t>-</t>
        </is>
      </c>
      <c r="AF10" s="79" t="n">
        <v>0</v>
      </c>
      <c r="AG10" s="74" t="n">
        <v>0</v>
      </c>
      <c r="AH10" s="82" t="n">
        <v>8</v>
      </c>
    </row>
    <row r="11" ht="18" customHeight="1">
      <c r="A11" s="63" t="inlineStr">
        <is>
          <t>#JJ8Y9JU8</t>
        </is>
      </c>
      <c r="B11" s="61" t="inlineStr">
        <is>
          <t>champagnebucci</t>
        </is>
      </c>
      <c r="C11" s="68">
        <f>_xlfn.XLOOKUP($A11,'01'!$G$3:$G$100,'01'!$R$3:$R$100,"-")</f>
        <v/>
      </c>
      <c r="D11" s="68">
        <f>_xlfn.XLOOKUP($A11,'02'!$G$3:$G$100,'02'!$R$3:$R$100,"-")</f>
        <v/>
      </c>
      <c r="E11" s="68">
        <f>_xlfn.XLOOKUP($A11,'03'!$G$3:$G$100,'03'!$R$3:$R$100,"-")</f>
        <v/>
      </c>
      <c r="F11" s="68">
        <f>_xlfn.XLOOKUP($A11,'04'!$G$3:$G$100,'04'!$R$3:$R$100,"-")</f>
        <v/>
      </c>
      <c r="G11" s="68" t="inlineStr">
        <is>
          <t>-</t>
        </is>
      </c>
      <c r="H11" s="68">
        <f>_xlfn.XLOOKUP($A11,'06'!$G$3:$G$100,'06'!$R$3:$R$100,"-")</f>
        <v/>
      </c>
      <c r="I11" s="68">
        <f>_xlfn.XLOOKUP($A11,'07'!$G$3:$G$100,'07'!$R$3:$R$100,"-")</f>
        <v/>
      </c>
      <c r="J11" s="68">
        <f>_xlfn.XLOOKUP($A11,'08'!$G$3:$G$100,'08'!$R$3:$R$100,"-")</f>
        <v/>
      </c>
      <c r="K11" s="68">
        <f>_xlfn.XLOOKUP($A11,'09'!$G$3:$G$100,'09'!$R$3:$R$100,"-")</f>
        <v/>
      </c>
      <c r="L11" s="68">
        <f>_xlfn.XLOOKUP($A11,'10'!$G$3:$G$100,'10'!$R$3:$R$100,"-")</f>
        <v/>
      </c>
      <c r="M11" s="68">
        <f>_xlfn.XLOOKUP($A11,'11'!$G$3:$G$100,'11'!$R$3:$R$100,"-")</f>
        <v/>
      </c>
      <c r="N11" s="68">
        <f>_xlfn.XLOOKUP($A11,'12'!$G$3:$G$100,'12'!$R$3:$R$100,"-")</f>
        <v/>
      </c>
      <c r="O11" s="79">
        <f>SUM(C11:N11)</f>
        <v/>
      </c>
      <c r="P11" s="74" t="n"/>
      <c r="Q11" s="82" t="n">
        <v>9</v>
      </c>
      <c r="R11" s="38" t="n"/>
      <c r="S11" s="61" t="inlineStr">
        <is>
          <t>champagnebucci</t>
        </is>
      </c>
      <c r="T11" s="68" t="inlineStr">
        <is>
          <t>-</t>
        </is>
      </c>
      <c r="U11" s="68" t="inlineStr">
        <is>
          <t>-</t>
        </is>
      </c>
      <c r="V11" s="68" t="inlineStr">
        <is>
          <t>-</t>
        </is>
      </c>
      <c r="W11" s="68" t="inlineStr">
        <is>
          <t>-</t>
        </is>
      </c>
      <c r="X11" s="68" t="inlineStr">
        <is>
          <t>-</t>
        </is>
      </c>
      <c r="Y11" s="68" t="inlineStr">
        <is>
          <t>-</t>
        </is>
      </c>
      <c r="Z11" s="68" t="inlineStr">
        <is>
          <t>-</t>
        </is>
      </c>
      <c r="AA11" s="68" t="inlineStr">
        <is>
          <t>-</t>
        </is>
      </c>
      <c r="AB11" s="68" t="inlineStr">
        <is>
          <t>-</t>
        </is>
      </c>
      <c r="AC11" s="68" t="inlineStr">
        <is>
          <t>-</t>
        </is>
      </c>
      <c r="AD11" s="68" t="inlineStr">
        <is>
          <t>-</t>
        </is>
      </c>
      <c r="AE11" s="68" t="inlineStr">
        <is>
          <t>-</t>
        </is>
      </c>
      <c r="AF11" s="79" t="n">
        <v>0</v>
      </c>
      <c r="AG11" s="74" t="n">
        <v>0</v>
      </c>
      <c r="AH11" s="82" t="n">
        <v>9</v>
      </c>
    </row>
    <row r="12" ht="18" customHeight="1">
      <c r="A12" s="63" t="inlineStr">
        <is>
          <t>#Y0RVYJVC</t>
        </is>
      </c>
      <c r="B12" s="61" t="inlineStr">
        <is>
          <t>⚡️⚡️ G U S ⚡️⚡️</t>
        </is>
      </c>
      <c r="C12" s="68">
        <f>_xlfn.XLOOKUP($A12,'01'!$G$3:$G$100,'01'!$R$3:$R$100,"-")</f>
        <v/>
      </c>
      <c r="D12" s="68">
        <f>_xlfn.XLOOKUP($A12,'02'!$G$3:$G$100,'02'!$R$3:$R$100,"-")</f>
        <v/>
      </c>
      <c r="E12" s="68">
        <f>_xlfn.XLOOKUP($A12,'03'!$G$3:$G$100,'03'!$R$3:$R$100,"-")</f>
        <v/>
      </c>
      <c r="F12" s="68">
        <f>_xlfn.XLOOKUP($A12,'04'!$G$3:$G$100,'04'!$R$3:$R$100,"-")</f>
        <v/>
      </c>
      <c r="G12" s="68" t="inlineStr">
        <is>
          <t>-</t>
        </is>
      </c>
      <c r="H12" s="68">
        <f>_xlfn.XLOOKUP($A12,'06'!$G$3:$G$100,'06'!$R$3:$R$100,"-")</f>
        <v/>
      </c>
      <c r="I12" s="68">
        <f>_xlfn.XLOOKUP($A12,'07'!$G$3:$G$100,'07'!$R$3:$R$100,"-")</f>
        <v/>
      </c>
      <c r="J12" s="68">
        <f>_xlfn.XLOOKUP($A12,'08'!$G$3:$G$100,'08'!$R$3:$R$100,"-")</f>
        <v/>
      </c>
      <c r="K12" s="68">
        <f>_xlfn.XLOOKUP($A12,'09'!$G$3:$G$100,'09'!$R$3:$R$100,"-")</f>
        <v/>
      </c>
      <c r="L12" s="68">
        <f>_xlfn.XLOOKUP($A12,'10'!$G$3:$G$100,'10'!$R$3:$R$100,"-")</f>
        <v/>
      </c>
      <c r="M12" s="68">
        <f>_xlfn.XLOOKUP($A12,'11'!$G$3:$G$100,'11'!$R$3:$R$100,"-")</f>
        <v/>
      </c>
      <c r="N12" s="68">
        <f>_xlfn.XLOOKUP($A12,'12'!$G$3:$G$100,'12'!$R$3:$R$100,"-")</f>
        <v/>
      </c>
      <c r="O12" s="79">
        <f>SUM(C12:N12)</f>
        <v/>
      </c>
      <c r="P12" s="74" t="n"/>
      <c r="Q12" s="82" t="n">
        <v>10</v>
      </c>
      <c r="R12" s="38" t="n"/>
      <c r="S12" s="61" t="inlineStr">
        <is>
          <t>⚡️⚡️ G U S ⚡️⚡️</t>
        </is>
      </c>
      <c r="T12" s="68" t="inlineStr">
        <is>
          <t>-</t>
        </is>
      </c>
      <c r="U12" s="68" t="inlineStr">
        <is>
          <t>-</t>
        </is>
      </c>
      <c r="V12" s="68" t="inlineStr">
        <is>
          <t>-</t>
        </is>
      </c>
      <c r="W12" s="68" t="inlineStr">
        <is>
          <t>-</t>
        </is>
      </c>
      <c r="X12" s="68" t="inlineStr">
        <is>
          <t>-</t>
        </is>
      </c>
      <c r="Y12" s="68" t="inlineStr">
        <is>
          <t>-</t>
        </is>
      </c>
      <c r="Z12" s="68" t="inlineStr">
        <is>
          <t>-</t>
        </is>
      </c>
      <c r="AA12" s="68" t="inlineStr">
        <is>
          <t>-</t>
        </is>
      </c>
      <c r="AB12" s="68" t="inlineStr">
        <is>
          <t>-</t>
        </is>
      </c>
      <c r="AC12" s="68" t="inlineStr">
        <is>
          <t>-</t>
        </is>
      </c>
      <c r="AD12" s="68" t="inlineStr">
        <is>
          <t>-</t>
        </is>
      </c>
      <c r="AE12" s="68" t="inlineStr">
        <is>
          <t>-</t>
        </is>
      </c>
      <c r="AF12" s="79" t="n">
        <v>0</v>
      </c>
      <c r="AG12" s="74" t="n">
        <v>0</v>
      </c>
      <c r="AH12" s="82" t="n">
        <v>10</v>
      </c>
    </row>
    <row r="13" ht="18" customHeight="1">
      <c r="A13" s="63" t="inlineStr">
        <is>
          <t>#YCVR9CC0C</t>
        </is>
      </c>
      <c r="B13" s="61" t="inlineStr">
        <is>
          <t>Bilbo_Swaggins</t>
        </is>
      </c>
      <c r="C13" s="68">
        <f>_xlfn.XLOOKUP($A13,'01'!$G$3:$G$100,'01'!$R$3:$R$100,"-")</f>
        <v/>
      </c>
      <c r="D13" s="68">
        <f>_xlfn.XLOOKUP($A13,'02'!$G$3:$G$100,'02'!$R$3:$R$100,"-")</f>
        <v/>
      </c>
      <c r="E13" s="68">
        <f>_xlfn.XLOOKUP($A13,'03'!$G$3:$G$100,'03'!$R$3:$R$100,"-")</f>
        <v/>
      </c>
      <c r="F13" s="68">
        <f>_xlfn.XLOOKUP($A13,'04'!$G$3:$G$100,'04'!$R$3:$R$100,"-")</f>
        <v/>
      </c>
      <c r="G13" s="68" t="inlineStr">
        <is>
          <t>-</t>
        </is>
      </c>
      <c r="H13" s="68">
        <f>_xlfn.XLOOKUP($A13,'06'!$G$3:$G$100,'06'!$R$3:$R$100,"-")</f>
        <v/>
      </c>
      <c r="I13" s="68">
        <f>_xlfn.XLOOKUP($A13,'07'!$G$3:$G$100,'07'!$R$3:$R$100,"-")</f>
        <v/>
      </c>
      <c r="J13" s="68">
        <f>_xlfn.XLOOKUP($A13,'08'!$G$3:$G$100,'08'!$R$3:$R$100,"-")</f>
        <v/>
      </c>
      <c r="K13" s="68">
        <f>_xlfn.XLOOKUP($A13,'09'!$G$3:$G$100,'09'!$R$3:$R$100,"-")</f>
        <v/>
      </c>
      <c r="L13" s="68">
        <f>_xlfn.XLOOKUP($A13,'10'!$G$3:$G$100,'10'!$R$3:$R$100,"-")</f>
        <v/>
      </c>
      <c r="M13" s="68">
        <f>_xlfn.XLOOKUP($A13,'11'!$G$3:$G$100,'11'!$R$3:$R$100,"-")</f>
        <v/>
      </c>
      <c r="N13" s="68">
        <f>_xlfn.XLOOKUP($A13,'12'!$G$3:$G$100,'12'!$R$3:$R$100,"-")</f>
        <v/>
      </c>
      <c r="O13" s="79">
        <f>SUM(C13:N13)</f>
        <v/>
      </c>
      <c r="P13" s="74" t="n"/>
      <c r="Q13" s="82" t="n">
        <v>11</v>
      </c>
      <c r="R13" s="38" t="n"/>
      <c r="S13" s="61" t="inlineStr">
        <is>
          <t>Bilbo_Swaggins</t>
        </is>
      </c>
      <c r="T13" s="68" t="inlineStr">
        <is>
          <t>-</t>
        </is>
      </c>
      <c r="U13" s="68" t="inlineStr">
        <is>
          <t>-</t>
        </is>
      </c>
      <c r="V13" s="68" t="inlineStr">
        <is>
          <t>-</t>
        </is>
      </c>
      <c r="W13" s="68" t="inlineStr">
        <is>
          <t>-</t>
        </is>
      </c>
      <c r="X13" s="68" t="inlineStr">
        <is>
          <t>-</t>
        </is>
      </c>
      <c r="Y13" s="68" t="inlineStr">
        <is>
          <t>-</t>
        </is>
      </c>
      <c r="Z13" s="68" t="inlineStr">
        <is>
          <t>-</t>
        </is>
      </c>
      <c r="AA13" s="68" t="inlineStr">
        <is>
          <t>-</t>
        </is>
      </c>
      <c r="AB13" s="68" t="inlineStr">
        <is>
          <t>-</t>
        </is>
      </c>
      <c r="AC13" s="68" t="inlineStr">
        <is>
          <t>-</t>
        </is>
      </c>
      <c r="AD13" s="68" t="inlineStr">
        <is>
          <t>-</t>
        </is>
      </c>
      <c r="AE13" s="68" t="inlineStr">
        <is>
          <t>-</t>
        </is>
      </c>
      <c r="AF13" s="79" t="n">
        <v>0</v>
      </c>
      <c r="AG13" s="74" t="n">
        <v>0</v>
      </c>
      <c r="AH13" s="82" t="n">
        <v>11</v>
      </c>
    </row>
    <row r="14" ht="18" customHeight="1">
      <c r="A14" s="63" t="inlineStr">
        <is>
          <t>#8JU98908G</t>
        </is>
      </c>
      <c r="B14" s="61" t="inlineStr">
        <is>
          <t>H@PP¥</t>
        </is>
      </c>
      <c r="C14" s="68">
        <f>_xlfn.XLOOKUP($A14,'01'!$G$3:$G$100,'01'!$R$3:$R$100,"-")</f>
        <v/>
      </c>
      <c r="D14" s="68">
        <f>_xlfn.XLOOKUP($A14,'02'!$G$3:$G$100,'02'!$R$3:$R$100,"-")</f>
        <v/>
      </c>
      <c r="E14" s="68">
        <f>_xlfn.XLOOKUP($A14,'03'!$G$3:$G$100,'03'!$R$3:$R$100,"-")</f>
        <v/>
      </c>
      <c r="F14" s="68">
        <f>_xlfn.XLOOKUP($A14,'04'!$G$3:$G$100,'04'!$R$3:$R$100,"-")</f>
        <v/>
      </c>
      <c r="G14" s="68" t="inlineStr">
        <is>
          <t>-</t>
        </is>
      </c>
      <c r="H14" s="68">
        <f>_xlfn.XLOOKUP($A14,'06'!$G$3:$G$100,'06'!$R$3:$R$100,"-")</f>
        <v/>
      </c>
      <c r="I14" s="68">
        <f>_xlfn.XLOOKUP($A14,'07'!$G$3:$G$100,'07'!$R$3:$R$100,"-")</f>
        <v/>
      </c>
      <c r="J14" s="68">
        <f>_xlfn.XLOOKUP($A14,'08'!$G$3:$G$100,'08'!$R$3:$R$100,"-")</f>
        <v/>
      </c>
      <c r="K14" s="68">
        <f>_xlfn.XLOOKUP($A14,'09'!$G$3:$G$100,'09'!$R$3:$R$100,"-")</f>
        <v/>
      </c>
      <c r="L14" s="68">
        <f>_xlfn.XLOOKUP($A14,'10'!$G$3:$G$100,'10'!$R$3:$R$100,"-")</f>
        <v/>
      </c>
      <c r="M14" s="68">
        <f>_xlfn.XLOOKUP($A14,'11'!$G$3:$G$100,'11'!$R$3:$R$100,"-")</f>
        <v/>
      </c>
      <c r="N14" s="68">
        <f>_xlfn.XLOOKUP($A14,'12'!$G$3:$G$100,'12'!$R$3:$R$100,"-")</f>
        <v/>
      </c>
      <c r="O14" s="79">
        <f>SUM(C14:N14)</f>
        <v/>
      </c>
      <c r="P14" s="74" t="n"/>
      <c r="Q14" s="82" t="n">
        <v>12</v>
      </c>
      <c r="R14" s="38" t="n"/>
      <c r="S14" s="61" t="inlineStr">
        <is>
          <t>H@PP¥</t>
        </is>
      </c>
      <c r="T14" s="68" t="inlineStr">
        <is>
          <t>-</t>
        </is>
      </c>
      <c r="U14" s="68" t="inlineStr">
        <is>
          <t>-</t>
        </is>
      </c>
      <c r="V14" s="68" t="inlineStr">
        <is>
          <t>-</t>
        </is>
      </c>
      <c r="W14" s="68" t="inlineStr">
        <is>
          <t>-</t>
        </is>
      </c>
      <c r="X14" s="68" t="inlineStr">
        <is>
          <t>-</t>
        </is>
      </c>
      <c r="Y14" s="68" t="inlineStr">
        <is>
          <t>-</t>
        </is>
      </c>
      <c r="Z14" s="68" t="inlineStr">
        <is>
          <t>-</t>
        </is>
      </c>
      <c r="AA14" s="68" t="inlineStr">
        <is>
          <t>-</t>
        </is>
      </c>
      <c r="AB14" s="68" t="inlineStr">
        <is>
          <t>-</t>
        </is>
      </c>
      <c r="AC14" s="68" t="inlineStr">
        <is>
          <t>-</t>
        </is>
      </c>
      <c r="AD14" s="68" t="inlineStr">
        <is>
          <t>-</t>
        </is>
      </c>
      <c r="AE14" s="68" t="inlineStr">
        <is>
          <t>-</t>
        </is>
      </c>
      <c r="AF14" s="79" t="n">
        <v>0</v>
      </c>
      <c r="AG14" s="74" t="n">
        <v>0</v>
      </c>
      <c r="AH14" s="82" t="n">
        <v>12</v>
      </c>
    </row>
    <row r="15" ht="18" customHeight="1">
      <c r="A15" s="63" t="inlineStr">
        <is>
          <t>#P920JLC0P</t>
        </is>
      </c>
      <c r="B15" s="61" t="inlineStr">
        <is>
          <t>EE Sp∆ce</t>
        </is>
      </c>
      <c r="C15" s="68">
        <f>_xlfn.XLOOKUP($A15,'01'!$G$3:$G$100,'01'!$R$3:$R$100,"-")</f>
        <v/>
      </c>
      <c r="D15" s="68">
        <f>_xlfn.XLOOKUP($A15,'02'!$G$3:$G$100,'02'!$R$3:$R$100,"-")</f>
        <v/>
      </c>
      <c r="E15" s="68">
        <f>_xlfn.XLOOKUP($A15,'03'!$G$3:$G$100,'03'!$R$3:$R$100,"-")</f>
        <v/>
      </c>
      <c r="F15" s="68">
        <f>_xlfn.XLOOKUP($A15,'04'!$G$3:$G$100,'04'!$R$3:$R$100,"-")</f>
        <v/>
      </c>
      <c r="G15" s="68" t="inlineStr">
        <is>
          <t>-</t>
        </is>
      </c>
      <c r="H15" s="68">
        <f>_xlfn.XLOOKUP($A15,'06'!$G$3:$G$100,'06'!$R$3:$R$100,"-")</f>
        <v/>
      </c>
      <c r="I15" s="68">
        <f>_xlfn.XLOOKUP($A15,'07'!$G$3:$G$100,'07'!$R$3:$R$100,"-")</f>
        <v/>
      </c>
      <c r="J15" s="68">
        <f>_xlfn.XLOOKUP($A15,'08'!$G$3:$G$100,'08'!$R$3:$R$100,"-")</f>
        <v/>
      </c>
      <c r="K15" s="68">
        <f>_xlfn.XLOOKUP($A15,'09'!$G$3:$G$100,'09'!$R$3:$R$100,"-")</f>
        <v/>
      </c>
      <c r="L15" s="68">
        <f>_xlfn.XLOOKUP($A15,'10'!$G$3:$G$100,'10'!$R$3:$R$100,"-")</f>
        <v/>
      </c>
      <c r="M15" s="68">
        <f>_xlfn.XLOOKUP($A15,'11'!$G$3:$G$100,'11'!$R$3:$R$100,"-")</f>
        <v/>
      </c>
      <c r="N15" s="68">
        <f>_xlfn.XLOOKUP($A15,'12'!$G$3:$G$100,'12'!$R$3:$R$100,"-")</f>
        <v/>
      </c>
      <c r="O15" s="79">
        <f>SUM(C15:N15)</f>
        <v/>
      </c>
      <c r="P15" s="74" t="n"/>
      <c r="Q15" s="82" t="n">
        <v>13</v>
      </c>
      <c r="R15" s="38" t="n"/>
      <c r="S15" s="61" t="inlineStr">
        <is>
          <t>EE Sp∆ce</t>
        </is>
      </c>
      <c r="T15" s="68" t="inlineStr">
        <is>
          <t>-</t>
        </is>
      </c>
      <c r="U15" s="68" t="inlineStr">
        <is>
          <t>-</t>
        </is>
      </c>
      <c r="V15" s="68" t="inlineStr">
        <is>
          <t>-</t>
        </is>
      </c>
      <c r="W15" s="68" t="inlineStr">
        <is>
          <t>-</t>
        </is>
      </c>
      <c r="X15" s="68" t="inlineStr">
        <is>
          <t>-</t>
        </is>
      </c>
      <c r="Y15" s="68" t="inlineStr">
        <is>
          <t>-</t>
        </is>
      </c>
      <c r="Z15" s="68" t="inlineStr">
        <is>
          <t>-</t>
        </is>
      </c>
      <c r="AA15" s="68" t="inlineStr">
        <is>
          <t>-</t>
        </is>
      </c>
      <c r="AB15" s="68" t="inlineStr">
        <is>
          <t>-</t>
        </is>
      </c>
      <c r="AC15" s="68" t="inlineStr">
        <is>
          <t>-</t>
        </is>
      </c>
      <c r="AD15" s="68" t="inlineStr">
        <is>
          <t>-</t>
        </is>
      </c>
      <c r="AE15" s="68" t="inlineStr">
        <is>
          <t>-</t>
        </is>
      </c>
      <c r="AF15" s="79" t="n">
        <v>0</v>
      </c>
      <c r="AG15" s="74" t="n">
        <v>0</v>
      </c>
      <c r="AH15" s="82" t="n">
        <v>13</v>
      </c>
    </row>
    <row r="16" ht="18" customHeight="1">
      <c r="A16" s="63" t="inlineStr">
        <is>
          <t>#C9UU0C9G</t>
        </is>
      </c>
      <c r="B16" s="61" t="inlineStr">
        <is>
          <t>Ace Fletch</t>
        </is>
      </c>
      <c r="C16" s="68">
        <f>_xlfn.XLOOKUP($A16,'01'!$G$3:$G$100,'01'!$R$3:$R$100,"-")</f>
        <v/>
      </c>
      <c r="D16" s="68">
        <f>_xlfn.XLOOKUP($A16,'02'!$G$3:$G$100,'02'!$R$3:$R$100,"-")</f>
        <v/>
      </c>
      <c r="E16" s="68">
        <f>_xlfn.XLOOKUP($A16,'03'!$G$3:$G$100,'03'!$R$3:$R$100,"-")</f>
        <v/>
      </c>
      <c r="F16" s="68">
        <f>_xlfn.XLOOKUP($A16,'04'!$G$3:$G$100,'04'!$R$3:$R$100,"-")</f>
        <v/>
      </c>
      <c r="G16" s="68" t="inlineStr">
        <is>
          <t>-</t>
        </is>
      </c>
      <c r="H16" s="68">
        <f>_xlfn.XLOOKUP($A16,'06'!$G$3:$G$100,'06'!$R$3:$R$100,"-")</f>
        <v/>
      </c>
      <c r="I16" s="68">
        <f>_xlfn.XLOOKUP($A16,'07'!$G$3:$G$100,'07'!$R$3:$R$100,"-")</f>
        <v/>
      </c>
      <c r="J16" s="68">
        <f>_xlfn.XLOOKUP($A16,'08'!$G$3:$G$100,'08'!$R$3:$R$100,"-")</f>
        <v/>
      </c>
      <c r="K16" s="68">
        <f>_xlfn.XLOOKUP($A16,'09'!$G$3:$G$100,'09'!$R$3:$R$100,"-")</f>
        <v/>
      </c>
      <c r="L16" s="68">
        <f>_xlfn.XLOOKUP($A16,'10'!$G$3:$G$100,'10'!$R$3:$R$100,"-")</f>
        <v/>
      </c>
      <c r="M16" s="68">
        <f>_xlfn.XLOOKUP($A16,'11'!$G$3:$G$100,'11'!$R$3:$R$100,"-")</f>
        <v/>
      </c>
      <c r="N16" s="68">
        <f>_xlfn.XLOOKUP($A16,'12'!$G$3:$G$100,'12'!$R$3:$R$100,"-")</f>
        <v/>
      </c>
      <c r="O16" s="79">
        <f>SUM(C16:N16)</f>
        <v/>
      </c>
      <c r="P16" s="74" t="n"/>
      <c r="Q16" s="82" t="n">
        <v>14</v>
      </c>
      <c r="R16" s="38" t="n"/>
      <c r="S16" s="61" t="inlineStr">
        <is>
          <t>Ace Fletch</t>
        </is>
      </c>
      <c r="T16" s="68" t="inlineStr">
        <is>
          <t>-</t>
        </is>
      </c>
      <c r="U16" s="68" t="inlineStr">
        <is>
          <t>-</t>
        </is>
      </c>
      <c r="V16" s="68" t="inlineStr">
        <is>
          <t>-</t>
        </is>
      </c>
      <c r="W16" s="68" t="inlineStr">
        <is>
          <t>-</t>
        </is>
      </c>
      <c r="X16" s="68" t="inlineStr">
        <is>
          <t>-</t>
        </is>
      </c>
      <c r="Y16" s="68" t="inlineStr">
        <is>
          <t>-</t>
        </is>
      </c>
      <c r="Z16" s="68" t="inlineStr">
        <is>
          <t>-</t>
        </is>
      </c>
      <c r="AA16" s="68" t="inlineStr">
        <is>
          <t>-</t>
        </is>
      </c>
      <c r="AB16" s="68" t="inlineStr">
        <is>
          <t>-</t>
        </is>
      </c>
      <c r="AC16" s="68" t="inlineStr">
        <is>
          <t>-</t>
        </is>
      </c>
      <c r="AD16" s="68" t="inlineStr">
        <is>
          <t>-</t>
        </is>
      </c>
      <c r="AE16" s="68" t="inlineStr">
        <is>
          <t>-</t>
        </is>
      </c>
      <c r="AF16" s="79" t="n">
        <v>0</v>
      </c>
      <c r="AG16" s="74" t="n">
        <v>0</v>
      </c>
      <c r="AH16" s="82" t="n">
        <v>14</v>
      </c>
    </row>
    <row r="17" ht="18" customHeight="1">
      <c r="A17" s="63" t="inlineStr">
        <is>
          <t>#9RCCUY28U</t>
        </is>
      </c>
      <c r="B17" s="61" t="inlineStr">
        <is>
          <t>Roman Rittik</t>
        </is>
      </c>
      <c r="C17" s="68">
        <f>_xlfn.XLOOKUP($A17,'01'!$G$3:$G$100,'01'!$R$3:$R$100,"-")</f>
        <v/>
      </c>
      <c r="D17" s="68">
        <f>_xlfn.XLOOKUP($A17,'02'!$G$3:$G$100,'02'!$R$3:$R$100,"-")</f>
        <v/>
      </c>
      <c r="E17" s="68">
        <f>_xlfn.XLOOKUP($A17,'03'!$G$3:$G$100,'03'!$R$3:$R$100,"-")</f>
        <v/>
      </c>
      <c r="F17" s="68">
        <f>_xlfn.XLOOKUP($A17,'04'!$G$3:$G$100,'04'!$R$3:$R$100,"-")</f>
        <v/>
      </c>
      <c r="G17" s="68" t="inlineStr">
        <is>
          <t>-</t>
        </is>
      </c>
      <c r="H17" s="68">
        <f>_xlfn.XLOOKUP($A17,'06'!$G$3:$G$100,'06'!$R$3:$R$100,"-")</f>
        <v/>
      </c>
      <c r="I17" s="68">
        <f>_xlfn.XLOOKUP($A17,'07'!$G$3:$G$100,'07'!$R$3:$R$100,"-")</f>
        <v/>
      </c>
      <c r="J17" s="68">
        <f>_xlfn.XLOOKUP($A17,'08'!$G$3:$G$100,'08'!$R$3:$R$100,"-")</f>
        <v/>
      </c>
      <c r="K17" s="68">
        <f>_xlfn.XLOOKUP($A17,'09'!$G$3:$G$100,'09'!$R$3:$R$100,"-")</f>
        <v/>
      </c>
      <c r="L17" s="68">
        <f>_xlfn.XLOOKUP($A17,'10'!$G$3:$G$100,'10'!$R$3:$R$100,"-")</f>
        <v/>
      </c>
      <c r="M17" s="68">
        <f>_xlfn.XLOOKUP($A17,'11'!$G$3:$G$100,'11'!$R$3:$R$100,"-")</f>
        <v/>
      </c>
      <c r="N17" s="68">
        <f>_xlfn.XLOOKUP($A17,'12'!$G$3:$G$100,'12'!$R$3:$R$100,"-")</f>
        <v/>
      </c>
      <c r="O17" s="79">
        <f>SUM(C17:N17)</f>
        <v/>
      </c>
      <c r="P17" s="74" t="n"/>
      <c r="Q17" s="83" t="n">
        <v>15</v>
      </c>
      <c r="R17" s="38" t="n"/>
      <c r="S17" s="61" t="inlineStr">
        <is>
          <t>Roman Rittik</t>
        </is>
      </c>
      <c r="T17" s="68" t="inlineStr">
        <is>
          <t>-</t>
        </is>
      </c>
      <c r="U17" s="68" t="inlineStr">
        <is>
          <t>-</t>
        </is>
      </c>
      <c r="V17" s="68" t="inlineStr">
        <is>
          <t>-</t>
        </is>
      </c>
      <c r="W17" s="68" t="inlineStr">
        <is>
          <t>-</t>
        </is>
      </c>
      <c r="X17" s="68" t="inlineStr">
        <is>
          <t>-</t>
        </is>
      </c>
      <c r="Y17" s="68" t="inlineStr">
        <is>
          <t>-</t>
        </is>
      </c>
      <c r="Z17" s="68" t="inlineStr">
        <is>
          <t>-</t>
        </is>
      </c>
      <c r="AA17" s="68" t="inlineStr">
        <is>
          <t>-</t>
        </is>
      </c>
      <c r="AB17" s="68" t="inlineStr">
        <is>
          <t>-</t>
        </is>
      </c>
      <c r="AC17" s="68" t="inlineStr">
        <is>
          <t>-</t>
        </is>
      </c>
      <c r="AD17" s="68" t="inlineStr">
        <is>
          <t>-</t>
        </is>
      </c>
      <c r="AE17" s="68" t="inlineStr">
        <is>
          <t>-</t>
        </is>
      </c>
      <c r="AF17" s="79" t="n">
        <v>0</v>
      </c>
      <c r="AG17" s="74" t="n">
        <v>0</v>
      </c>
      <c r="AH17" s="83" t="n">
        <v>15</v>
      </c>
    </row>
    <row r="18" ht="18" customHeight="1">
      <c r="C18" s="68">
        <f>_xlfn.XLOOKUP($A18,'01'!$G$3:$G$100,'01'!$R$3:$R$100,"-")</f>
        <v/>
      </c>
      <c r="D18" s="68">
        <f>_xlfn.XLOOKUP($A18,'02'!$G$3:$G$100,'02'!$R$3:$R$100,"-")</f>
        <v/>
      </c>
      <c r="E18" s="68">
        <f>_xlfn.XLOOKUP($A18,'03'!$G$3:$G$100,'03'!$R$3:$R$100,"-")</f>
        <v/>
      </c>
      <c r="F18" s="68">
        <f>_xlfn.XLOOKUP($A18,'04'!$G$3:$G$100,'04'!$R$3:$R$100,"-")</f>
        <v/>
      </c>
      <c r="G18" s="68">
        <f>_xlfn.XLOOKUP($A18,'05'!$G$3:$G$100,'05'!$R$3:$R$100,"-")</f>
        <v/>
      </c>
      <c r="H18" s="68">
        <f>_xlfn.XLOOKUP($A18,'06'!$G$3:$G$100,'06'!$R$3:$R$100,"-")</f>
        <v/>
      </c>
      <c r="I18" s="68">
        <f>_xlfn.XLOOKUP($A18,'07'!$G$3:$G$100,'07'!$R$3:$R$100,"-")</f>
        <v/>
      </c>
      <c r="J18" s="68">
        <f>_xlfn.XLOOKUP($A18,'08'!$G$3:$G$100,'08'!$R$3:$R$100,"-")</f>
        <v/>
      </c>
      <c r="K18" s="68">
        <f>_xlfn.XLOOKUP($A18,'09'!$G$3:$G$100,'09'!$R$3:$R$100,"-")</f>
        <v/>
      </c>
      <c r="L18" s="68">
        <f>_xlfn.XLOOKUP($A18,'10'!$G$3:$G$100,'10'!$R$3:$R$100,"-")</f>
        <v/>
      </c>
      <c r="M18" s="68">
        <f>_xlfn.XLOOKUP($A18,'11'!$G$3:$G$100,'11'!$R$3:$R$100,"-")</f>
        <v/>
      </c>
      <c r="N18" s="68">
        <f>_xlfn.XLOOKUP($A18,'12'!$G$3:$G$100,'12'!$R$3:$R$100,"-")</f>
        <v/>
      </c>
      <c r="O18" s="79">
        <f>SUM(C18:N18)</f>
        <v/>
      </c>
      <c r="P18" s="74" t="n"/>
      <c r="Q18" s="82" t="n">
        <v>16</v>
      </c>
      <c r="R18" s="38" t="n"/>
      <c r="S18" s="61" t="n">
        <v>0</v>
      </c>
      <c r="T18" s="68" t="n">
        <v>0</v>
      </c>
      <c r="U18" s="68" t="n">
        <v>0</v>
      </c>
      <c r="V18" s="68" t="n">
        <v>0</v>
      </c>
      <c r="W18" s="68" t="n">
        <v>0</v>
      </c>
      <c r="X18" s="68" t="n">
        <v>0</v>
      </c>
      <c r="Y18" s="68" t="n">
        <v>0</v>
      </c>
      <c r="Z18" s="68" t="n">
        <v>0</v>
      </c>
      <c r="AA18" s="68" t="n">
        <v>0</v>
      </c>
      <c r="AB18" s="68" t="n">
        <v>0</v>
      </c>
      <c r="AC18" s="68" t="n">
        <v>0</v>
      </c>
      <c r="AD18" s="68" t="n">
        <v>0</v>
      </c>
      <c r="AE18" s="68" t="n">
        <v>0</v>
      </c>
      <c r="AF18" s="79" t="n">
        <v>0</v>
      </c>
      <c r="AG18" s="74" t="n">
        <v>0</v>
      </c>
      <c r="AH18" s="82" t="n">
        <v>16</v>
      </c>
    </row>
    <row r="19" ht="18" customHeight="1">
      <c r="C19" s="68">
        <f>_xlfn.XLOOKUP($A19,'01'!$G$3:$G$100,'01'!$R$3:$R$100,"-")</f>
        <v/>
      </c>
      <c r="D19" s="68">
        <f>_xlfn.XLOOKUP($A19,'02'!$G$3:$G$100,'02'!$R$3:$R$100,"-")</f>
        <v/>
      </c>
      <c r="E19" s="68">
        <f>_xlfn.XLOOKUP($A19,'03'!$G$3:$G$100,'03'!$R$3:$R$100,"-")</f>
        <v/>
      </c>
      <c r="F19" s="68">
        <f>_xlfn.XLOOKUP($A19,'04'!$G$3:$G$100,'04'!$R$3:$R$100,"-")</f>
        <v/>
      </c>
      <c r="G19" s="68">
        <f>_xlfn.XLOOKUP($A19,'05'!$G$3:$G$100,'05'!$R$3:$R$100,"-")</f>
        <v/>
      </c>
      <c r="H19" s="68">
        <f>_xlfn.XLOOKUP($A19,'06'!$G$3:$G$100,'06'!$R$3:$R$100,"-")</f>
        <v/>
      </c>
      <c r="I19" s="68">
        <f>_xlfn.XLOOKUP($A19,'07'!$G$3:$G$100,'07'!$R$3:$R$100,"-")</f>
        <v/>
      </c>
      <c r="J19" s="68">
        <f>_xlfn.XLOOKUP($A19,'08'!$G$3:$G$100,'08'!$R$3:$R$100,"-")</f>
        <v/>
      </c>
      <c r="K19" s="68">
        <f>_xlfn.XLOOKUP($A19,'09'!$G$3:$G$100,'09'!$R$3:$R$100,"-")</f>
        <v/>
      </c>
      <c r="L19" s="68">
        <f>_xlfn.XLOOKUP($A19,'10'!$G$3:$G$100,'10'!$R$3:$R$100,"-")</f>
        <v/>
      </c>
      <c r="M19" s="68">
        <f>_xlfn.XLOOKUP($A19,'11'!$G$3:$G$100,'11'!$R$3:$R$100,"-")</f>
        <v/>
      </c>
      <c r="N19" s="68">
        <f>_xlfn.XLOOKUP($A19,'12'!$G$3:$G$100,'12'!$R$3:$R$100,"-")</f>
        <v/>
      </c>
      <c r="O19" s="79">
        <f>SUM(C19:N19)</f>
        <v/>
      </c>
      <c r="P19" s="74" t="n"/>
      <c r="Q19" s="82" t="n">
        <v>17</v>
      </c>
      <c r="R19" s="38" t="n"/>
      <c r="S19" s="61" t="n">
        <v>0</v>
      </c>
      <c r="T19" s="68" t="n">
        <v>0</v>
      </c>
      <c r="U19" s="68" t="n">
        <v>0</v>
      </c>
      <c r="V19" s="68" t="n">
        <v>0</v>
      </c>
      <c r="W19" s="68" t="n">
        <v>0</v>
      </c>
      <c r="X19" s="68" t="n">
        <v>0</v>
      </c>
      <c r="Y19" s="68" t="n">
        <v>0</v>
      </c>
      <c r="Z19" s="68" t="n">
        <v>0</v>
      </c>
      <c r="AA19" s="68" t="n">
        <v>0</v>
      </c>
      <c r="AB19" s="68" t="n">
        <v>0</v>
      </c>
      <c r="AC19" s="68" t="n">
        <v>0</v>
      </c>
      <c r="AD19" s="68" t="n">
        <v>0</v>
      </c>
      <c r="AE19" s="68" t="n">
        <v>0</v>
      </c>
      <c r="AF19" s="79" t="n">
        <v>0</v>
      </c>
      <c r="AG19" s="74" t="n">
        <v>0</v>
      </c>
      <c r="AH19" s="82" t="n">
        <v>17</v>
      </c>
    </row>
    <row r="20" ht="18" customHeight="1">
      <c r="C20" s="68">
        <f>_xlfn.XLOOKUP($A20,'01'!$G$3:$G$100,'01'!$R$3:$R$100,"-")</f>
        <v/>
      </c>
      <c r="D20" s="68">
        <f>_xlfn.XLOOKUP($A20,'02'!$G$3:$G$100,'02'!$R$3:$R$100,"-")</f>
        <v/>
      </c>
      <c r="E20" s="68">
        <f>_xlfn.XLOOKUP($A20,'03'!$G$3:$G$100,'03'!$R$3:$R$100,"-")</f>
        <v/>
      </c>
      <c r="F20" s="68">
        <f>_xlfn.XLOOKUP($A20,'04'!$G$3:$G$100,'04'!$R$3:$R$100,"-")</f>
        <v/>
      </c>
      <c r="G20" s="68">
        <f>_xlfn.XLOOKUP($A20,'05'!$G$3:$G$100,'05'!$R$3:$R$100,"-")</f>
        <v/>
      </c>
      <c r="H20" s="68">
        <f>_xlfn.XLOOKUP($A20,'06'!$G$3:$G$100,'06'!$R$3:$R$100,"-")</f>
        <v/>
      </c>
      <c r="I20" s="68">
        <f>_xlfn.XLOOKUP($A20,'07'!$G$3:$G$100,'07'!$R$3:$R$100,"-")</f>
        <v/>
      </c>
      <c r="J20" s="68">
        <f>_xlfn.XLOOKUP($A20,'08'!$G$3:$G$100,'08'!$R$3:$R$100,"-")</f>
        <v/>
      </c>
      <c r="K20" s="68">
        <f>_xlfn.XLOOKUP($A20,'09'!$G$3:$G$100,'09'!$R$3:$R$100,"-")</f>
        <v/>
      </c>
      <c r="L20" s="68">
        <f>_xlfn.XLOOKUP($A20,'10'!$G$3:$G$100,'10'!$R$3:$R$100,"-")</f>
        <v/>
      </c>
      <c r="M20" s="68">
        <f>_xlfn.XLOOKUP($A20,'11'!$G$3:$G$100,'11'!$R$3:$R$100,"-")</f>
        <v/>
      </c>
      <c r="N20" s="68">
        <f>_xlfn.XLOOKUP($A20,'12'!$G$3:$G$100,'12'!$R$3:$R$100,"-")</f>
        <v/>
      </c>
      <c r="O20" s="79">
        <f>SUM(C20:N20)</f>
        <v/>
      </c>
      <c r="P20" s="74" t="n"/>
      <c r="Q20" s="82" t="n">
        <v>18</v>
      </c>
      <c r="R20" s="38" t="n"/>
      <c r="S20" s="61" t="n">
        <v>0</v>
      </c>
      <c r="T20" s="68" t="n">
        <v>0</v>
      </c>
      <c r="U20" s="68" t="n">
        <v>0</v>
      </c>
      <c r="V20" s="68" t="n">
        <v>0</v>
      </c>
      <c r="W20" s="68" t="n">
        <v>0</v>
      </c>
      <c r="X20" s="68" t="n">
        <v>0</v>
      </c>
      <c r="Y20" s="68" t="n">
        <v>0</v>
      </c>
      <c r="Z20" s="68" t="n">
        <v>0</v>
      </c>
      <c r="AA20" s="68" t="n">
        <v>0</v>
      </c>
      <c r="AB20" s="68" t="n">
        <v>0</v>
      </c>
      <c r="AC20" s="68" t="n">
        <v>0</v>
      </c>
      <c r="AD20" s="68" t="n">
        <v>0</v>
      </c>
      <c r="AE20" s="68" t="n">
        <v>0</v>
      </c>
      <c r="AF20" s="79" t="n">
        <v>0</v>
      </c>
      <c r="AG20" s="74" t="n">
        <v>0</v>
      </c>
      <c r="AH20" s="82" t="n">
        <v>18</v>
      </c>
    </row>
    <row r="21" ht="18" customHeight="1">
      <c r="C21" s="68">
        <f>_xlfn.XLOOKUP($A21,'01'!$G$3:$G$100,'01'!$R$3:$R$100,"-")</f>
        <v/>
      </c>
      <c r="D21" s="68">
        <f>_xlfn.XLOOKUP($A21,'02'!$G$3:$G$100,'02'!$R$3:$R$100,"-")</f>
        <v/>
      </c>
      <c r="E21" s="68">
        <f>_xlfn.XLOOKUP($A21,'03'!$G$3:$G$100,'03'!$R$3:$R$100,"-")</f>
        <v/>
      </c>
      <c r="F21" s="68">
        <f>_xlfn.XLOOKUP($A21,'04'!$G$3:$G$100,'04'!$R$3:$R$100,"-")</f>
        <v/>
      </c>
      <c r="G21" s="68">
        <f>_xlfn.XLOOKUP($A21,'05'!$G$3:$G$100,'05'!$R$3:$R$100,"-")</f>
        <v/>
      </c>
      <c r="H21" s="68">
        <f>_xlfn.XLOOKUP($A21,'06'!$G$3:$G$100,'06'!$R$3:$R$100,"-")</f>
        <v/>
      </c>
      <c r="I21" s="68">
        <f>_xlfn.XLOOKUP($A21,'07'!$G$3:$G$100,'07'!$R$3:$R$100,"-")</f>
        <v/>
      </c>
      <c r="J21" s="68">
        <f>_xlfn.XLOOKUP($A21,'08'!$G$3:$G$100,'08'!$R$3:$R$100,"-")</f>
        <v/>
      </c>
      <c r="K21" s="68">
        <f>_xlfn.XLOOKUP($A21,'09'!$G$3:$G$100,'09'!$R$3:$R$100,"-")</f>
        <v/>
      </c>
      <c r="L21" s="68">
        <f>_xlfn.XLOOKUP($A21,'10'!$G$3:$G$100,'10'!$R$3:$R$100,"-")</f>
        <v/>
      </c>
      <c r="M21" s="68">
        <f>_xlfn.XLOOKUP($A21,'11'!$G$3:$G$100,'11'!$R$3:$R$100,"-")</f>
        <v/>
      </c>
      <c r="N21" s="68">
        <f>_xlfn.XLOOKUP($A21,'12'!$G$3:$G$100,'12'!$R$3:$R$100,"-")</f>
        <v/>
      </c>
      <c r="O21" s="79">
        <f>SUM(C21:N21)</f>
        <v/>
      </c>
      <c r="P21" s="74" t="n"/>
      <c r="Q21" s="82" t="n">
        <v>19</v>
      </c>
      <c r="R21" s="38" t="n"/>
      <c r="S21" s="61" t="n">
        <v>0</v>
      </c>
      <c r="T21" s="68" t="n">
        <v>0</v>
      </c>
      <c r="U21" s="68" t="n">
        <v>0</v>
      </c>
      <c r="V21" s="68" t="n">
        <v>0</v>
      </c>
      <c r="W21" s="68" t="n">
        <v>0</v>
      </c>
      <c r="X21" s="68" t="n">
        <v>0</v>
      </c>
      <c r="Y21" s="68" t="n">
        <v>0</v>
      </c>
      <c r="Z21" s="68" t="n">
        <v>0</v>
      </c>
      <c r="AA21" s="68" t="n">
        <v>0</v>
      </c>
      <c r="AB21" s="68" t="n">
        <v>0</v>
      </c>
      <c r="AC21" s="68" t="n">
        <v>0</v>
      </c>
      <c r="AD21" s="68" t="n">
        <v>0</v>
      </c>
      <c r="AE21" s="68" t="n">
        <v>0</v>
      </c>
      <c r="AF21" s="79" t="n">
        <v>0</v>
      </c>
      <c r="AG21" s="74" t="n">
        <v>0</v>
      </c>
      <c r="AH21" s="82" t="n">
        <v>19</v>
      </c>
    </row>
    <row r="22" ht="18" customHeight="1">
      <c r="C22" s="68">
        <f>_xlfn.XLOOKUP($A22,'01'!$G$3:$G$100,'01'!$R$3:$R$100,"-")</f>
        <v/>
      </c>
      <c r="D22" s="68">
        <f>_xlfn.XLOOKUP($A22,'02'!$G$3:$G$100,'02'!$R$3:$R$100,"-")</f>
        <v/>
      </c>
      <c r="E22" s="68">
        <f>_xlfn.XLOOKUP($A22,'03'!$G$3:$G$100,'03'!$R$3:$R$100,"-")</f>
        <v/>
      </c>
      <c r="F22" s="68">
        <f>_xlfn.XLOOKUP($A22,'04'!$G$3:$G$100,'04'!$R$3:$R$100,"-")</f>
        <v/>
      </c>
      <c r="G22" s="68">
        <f>_xlfn.XLOOKUP($A22,'05'!$G$3:$G$100,'05'!$R$3:$R$100,"-")</f>
        <v/>
      </c>
      <c r="H22" s="68">
        <f>_xlfn.XLOOKUP($A22,'06'!$G$3:$G$100,'06'!$R$3:$R$100,"-")</f>
        <v/>
      </c>
      <c r="I22" s="68">
        <f>_xlfn.XLOOKUP($A22,'07'!$G$3:$G$100,'07'!$R$3:$R$100,"-")</f>
        <v/>
      </c>
      <c r="J22" s="68">
        <f>_xlfn.XLOOKUP($A22,'08'!$G$3:$G$100,'08'!$R$3:$R$100,"-")</f>
        <v/>
      </c>
      <c r="K22" s="68">
        <f>_xlfn.XLOOKUP($A22,'09'!$G$3:$G$100,'09'!$R$3:$R$100,"-")</f>
        <v/>
      </c>
      <c r="L22" s="68">
        <f>_xlfn.XLOOKUP($A22,'10'!$G$3:$G$100,'10'!$R$3:$R$100,"-")</f>
        <v/>
      </c>
      <c r="M22" s="68">
        <f>_xlfn.XLOOKUP($A22,'11'!$G$3:$G$100,'11'!$R$3:$R$100,"-")</f>
        <v/>
      </c>
      <c r="N22" s="68">
        <f>_xlfn.XLOOKUP($A22,'12'!$G$3:$G$100,'12'!$R$3:$R$100,"-")</f>
        <v/>
      </c>
      <c r="O22" s="79">
        <f>SUM(C22:N22)</f>
        <v/>
      </c>
      <c r="P22" s="74" t="n"/>
      <c r="Q22" s="82" t="n">
        <v>20</v>
      </c>
      <c r="R22" s="38" t="n"/>
      <c r="S22" s="61" t="n">
        <v>0</v>
      </c>
      <c r="T22" s="68" t="n">
        <v>0</v>
      </c>
      <c r="U22" s="68" t="n">
        <v>0</v>
      </c>
      <c r="V22" s="68" t="n">
        <v>0</v>
      </c>
      <c r="W22" s="68" t="n">
        <v>0</v>
      </c>
      <c r="X22" s="68" t="n">
        <v>0</v>
      </c>
      <c r="Y22" s="68" t="n">
        <v>0</v>
      </c>
      <c r="Z22" s="68" t="n">
        <v>0</v>
      </c>
      <c r="AA22" s="68" t="n">
        <v>0</v>
      </c>
      <c r="AB22" s="68" t="n">
        <v>0</v>
      </c>
      <c r="AC22" s="68" t="n">
        <v>0</v>
      </c>
      <c r="AD22" s="68" t="n">
        <v>0</v>
      </c>
      <c r="AE22" s="68" t="n">
        <v>0</v>
      </c>
      <c r="AF22" s="79" t="n">
        <v>0</v>
      </c>
      <c r="AG22" s="74" t="n">
        <v>0</v>
      </c>
      <c r="AH22" s="82" t="n">
        <v>20</v>
      </c>
    </row>
    <row r="23" ht="18" customHeight="1">
      <c r="C23" s="68">
        <f>_xlfn.XLOOKUP($A23,'01'!$G$3:$G$100,'01'!$R$3:$R$100,"-")</f>
        <v/>
      </c>
      <c r="D23" s="68">
        <f>_xlfn.XLOOKUP($A23,'02'!$G$3:$G$100,'02'!$R$3:$R$100,"-")</f>
        <v/>
      </c>
      <c r="E23" s="68">
        <f>_xlfn.XLOOKUP($A23,'03'!$G$3:$G$100,'03'!$R$3:$R$100,"-")</f>
        <v/>
      </c>
      <c r="F23" s="68">
        <f>_xlfn.XLOOKUP($A23,'04'!$G$3:$G$100,'04'!$R$3:$R$100,"-")</f>
        <v/>
      </c>
      <c r="G23" s="68">
        <f>_xlfn.XLOOKUP($A23,'05'!$G$3:$G$100,'05'!$R$3:$R$100,"-")</f>
        <v/>
      </c>
      <c r="H23" s="68">
        <f>_xlfn.XLOOKUP($A23,'06'!$G$3:$G$100,'06'!$R$3:$R$100,"-")</f>
        <v/>
      </c>
      <c r="I23" s="68">
        <f>_xlfn.XLOOKUP($A23,'07'!$G$3:$G$100,'07'!$R$3:$R$100,"-")</f>
        <v/>
      </c>
      <c r="J23" s="68">
        <f>_xlfn.XLOOKUP($A23,'08'!$G$3:$G$100,'08'!$R$3:$R$100,"-")</f>
        <v/>
      </c>
      <c r="K23" s="68">
        <f>_xlfn.XLOOKUP($A23,'09'!$G$3:$G$100,'09'!$R$3:$R$100,"-")</f>
        <v/>
      </c>
      <c r="L23" s="68">
        <f>_xlfn.XLOOKUP($A23,'10'!$G$3:$G$100,'10'!$R$3:$R$100,"-")</f>
        <v/>
      </c>
      <c r="M23" s="68">
        <f>_xlfn.XLOOKUP($A23,'11'!$G$3:$G$100,'11'!$R$3:$R$100,"-")</f>
        <v/>
      </c>
      <c r="N23" s="68">
        <f>_xlfn.XLOOKUP($A23,'12'!$G$3:$G$100,'12'!$R$3:$R$100,"-")</f>
        <v/>
      </c>
      <c r="O23" s="79">
        <f>SUM(C23:N23)</f>
        <v/>
      </c>
      <c r="P23" s="74" t="n"/>
      <c r="Q23" s="82" t="n">
        <v>21</v>
      </c>
      <c r="R23" s="38" t="n"/>
      <c r="S23" s="61" t="n">
        <v>0</v>
      </c>
      <c r="T23" s="68" t="n">
        <v>0</v>
      </c>
      <c r="U23" s="68" t="n">
        <v>0</v>
      </c>
      <c r="V23" s="68" t="n">
        <v>0</v>
      </c>
      <c r="W23" s="68" t="n">
        <v>0</v>
      </c>
      <c r="X23" s="68" t="n">
        <v>0</v>
      </c>
      <c r="Y23" s="68" t="n">
        <v>0</v>
      </c>
      <c r="Z23" s="68" t="n">
        <v>0</v>
      </c>
      <c r="AA23" s="68" t="n">
        <v>0</v>
      </c>
      <c r="AB23" s="68" t="n">
        <v>0</v>
      </c>
      <c r="AC23" s="68" t="n">
        <v>0</v>
      </c>
      <c r="AD23" s="68" t="n">
        <v>0</v>
      </c>
      <c r="AE23" s="68" t="n">
        <v>0</v>
      </c>
      <c r="AF23" s="79" t="n">
        <v>0</v>
      </c>
      <c r="AG23" s="74" t="n">
        <v>0</v>
      </c>
      <c r="AH23" s="82" t="n">
        <v>21</v>
      </c>
    </row>
    <row r="24" ht="18" customHeight="1">
      <c r="C24" s="68">
        <f>_xlfn.XLOOKUP($A24,'01'!$G$3:$G$100,'01'!$R$3:$R$100,"-")</f>
        <v/>
      </c>
      <c r="D24" s="68">
        <f>_xlfn.XLOOKUP($A24,'02'!$G$3:$G$100,'02'!$R$3:$R$100,"-")</f>
        <v/>
      </c>
      <c r="E24" s="68">
        <f>_xlfn.XLOOKUP($A24,'03'!$G$3:$G$100,'03'!$R$3:$R$100,"-")</f>
        <v/>
      </c>
      <c r="F24" s="68">
        <f>_xlfn.XLOOKUP($A24,'04'!$G$3:$G$100,'04'!$R$3:$R$100,"-")</f>
        <v/>
      </c>
      <c r="G24" s="68">
        <f>_xlfn.XLOOKUP($A24,'05'!$G$3:$G$100,'05'!$R$3:$R$100,"-")</f>
        <v/>
      </c>
      <c r="H24" s="68">
        <f>_xlfn.XLOOKUP($A24,'06'!$G$3:$G$100,'06'!$R$3:$R$100,"-")</f>
        <v/>
      </c>
      <c r="I24" s="68">
        <f>_xlfn.XLOOKUP($A24,'07'!$G$3:$G$100,'07'!$R$3:$R$100,"-")</f>
        <v/>
      </c>
      <c r="J24" s="68">
        <f>_xlfn.XLOOKUP($A24,'08'!$G$3:$G$100,'08'!$R$3:$R$100,"-")</f>
        <v/>
      </c>
      <c r="K24" s="68">
        <f>_xlfn.XLOOKUP($A24,'09'!$G$3:$G$100,'09'!$R$3:$R$100,"-")</f>
        <v/>
      </c>
      <c r="L24" s="68">
        <f>_xlfn.XLOOKUP($A24,'10'!$G$3:$G$100,'10'!$R$3:$R$100,"-")</f>
        <v/>
      </c>
      <c r="M24" s="68">
        <f>_xlfn.XLOOKUP($A24,'11'!$G$3:$G$100,'11'!$R$3:$R$100,"-")</f>
        <v/>
      </c>
      <c r="N24" s="68">
        <f>_xlfn.XLOOKUP($A24,'12'!$G$3:$G$100,'12'!$R$3:$R$100,"-")</f>
        <v/>
      </c>
      <c r="O24" s="79">
        <f>SUM(C24:N24)</f>
        <v/>
      </c>
      <c r="P24" s="74" t="n"/>
      <c r="Q24" s="82" t="n">
        <v>22</v>
      </c>
      <c r="R24" s="38" t="n"/>
      <c r="S24" s="61" t="n">
        <v>0</v>
      </c>
      <c r="T24" s="68" t="n">
        <v>0</v>
      </c>
      <c r="U24" s="68" t="n">
        <v>0</v>
      </c>
      <c r="V24" s="68" t="n">
        <v>0</v>
      </c>
      <c r="W24" s="68" t="n">
        <v>0</v>
      </c>
      <c r="X24" s="68" t="n">
        <v>0</v>
      </c>
      <c r="Y24" s="68" t="n">
        <v>0</v>
      </c>
      <c r="Z24" s="68" t="n">
        <v>0</v>
      </c>
      <c r="AA24" s="68" t="n">
        <v>0</v>
      </c>
      <c r="AB24" s="68" t="n">
        <v>0</v>
      </c>
      <c r="AC24" s="68" t="n">
        <v>0</v>
      </c>
      <c r="AD24" s="68" t="n">
        <v>0</v>
      </c>
      <c r="AE24" s="68" t="n">
        <v>0</v>
      </c>
      <c r="AF24" s="79" t="n">
        <v>0</v>
      </c>
      <c r="AG24" s="74" t="n">
        <v>0</v>
      </c>
      <c r="AH24" s="82" t="n">
        <v>22</v>
      </c>
    </row>
    <row r="25" ht="18" customHeight="1">
      <c r="C25" s="68">
        <f>_xlfn.XLOOKUP($A25,'01'!$G$3:$G$100,'01'!$R$3:$R$100,"-")</f>
        <v/>
      </c>
      <c r="D25" s="68">
        <f>_xlfn.XLOOKUP($A25,'02'!$G$3:$G$100,'02'!$R$3:$R$100,"-")</f>
        <v/>
      </c>
      <c r="E25" s="68">
        <f>_xlfn.XLOOKUP($A25,'03'!$G$3:$G$100,'03'!$R$3:$R$100,"-")</f>
        <v/>
      </c>
      <c r="F25" s="68">
        <f>_xlfn.XLOOKUP($A25,'04'!$G$3:$G$100,'04'!$R$3:$R$100,"-")</f>
        <v/>
      </c>
      <c r="G25" s="68">
        <f>_xlfn.XLOOKUP($A25,'05'!$G$3:$G$100,'05'!$R$3:$R$100,"-")</f>
        <v/>
      </c>
      <c r="H25" s="68">
        <f>_xlfn.XLOOKUP($A25,'06'!$G$3:$G$100,'06'!$R$3:$R$100,"-")</f>
        <v/>
      </c>
      <c r="I25" s="68">
        <f>_xlfn.XLOOKUP($A25,'07'!$G$3:$G$100,'07'!$R$3:$R$100,"-")</f>
        <v/>
      </c>
      <c r="J25" s="68">
        <f>_xlfn.XLOOKUP($A25,'08'!$G$3:$G$100,'08'!$R$3:$R$100,"-")</f>
        <v/>
      </c>
      <c r="K25" s="68">
        <f>_xlfn.XLOOKUP($A25,'09'!$G$3:$G$100,'09'!$R$3:$R$100,"-")</f>
        <v/>
      </c>
      <c r="L25" s="68">
        <f>_xlfn.XLOOKUP($A25,'10'!$G$3:$G$100,'10'!$R$3:$R$100,"-")</f>
        <v/>
      </c>
      <c r="M25" s="68">
        <f>_xlfn.XLOOKUP($A25,'11'!$G$3:$G$100,'11'!$R$3:$R$100,"-")</f>
        <v/>
      </c>
      <c r="N25" s="68">
        <f>_xlfn.XLOOKUP($A25,'12'!$G$3:$G$100,'12'!$R$3:$R$100,"-")</f>
        <v/>
      </c>
      <c r="O25" s="79">
        <f>SUM(C25:N25)</f>
        <v/>
      </c>
      <c r="P25" s="74" t="n"/>
      <c r="Q25" s="82" t="n">
        <v>23</v>
      </c>
      <c r="R25" s="38" t="n"/>
      <c r="S25" s="61" t="n">
        <v>0</v>
      </c>
      <c r="T25" s="68" t="n">
        <v>0</v>
      </c>
      <c r="U25" s="68" t="n">
        <v>0</v>
      </c>
      <c r="V25" s="68" t="n">
        <v>0</v>
      </c>
      <c r="W25" s="68" t="n">
        <v>0</v>
      </c>
      <c r="X25" s="68" t="n">
        <v>0</v>
      </c>
      <c r="Y25" s="68" t="n">
        <v>0</v>
      </c>
      <c r="Z25" s="68" t="n">
        <v>0</v>
      </c>
      <c r="AA25" s="68" t="n">
        <v>0</v>
      </c>
      <c r="AB25" s="68" t="n">
        <v>0</v>
      </c>
      <c r="AC25" s="68" t="n">
        <v>0</v>
      </c>
      <c r="AD25" s="68" t="n">
        <v>0</v>
      </c>
      <c r="AE25" s="68" t="n">
        <v>0</v>
      </c>
      <c r="AF25" s="79" t="n">
        <v>0</v>
      </c>
      <c r="AG25" s="74" t="n">
        <v>0</v>
      </c>
      <c r="AH25" s="82" t="n">
        <v>23</v>
      </c>
    </row>
    <row r="26" ht="18" customHeight="1">
      <c r="C26" s="68">
        <f>_xlfn.XLOOKUP($A26,'01'!$G$3:$G$100,'01'!$R$3:$R$100,"-")</f>
        <v/>
      </c>
      <c r="D26" s="68">
        <f>_xlfn.XLOOKUP($A26,'02'!$G$3:$G$100,'02'!$R$3:$R$100,"-")</f>
        <v/>
      </c>
      <c r="E26" s="68">
        <f>_xlfn.XLOOKUP($A26,'03'!$G$3:$G$100,'03'!$R$3:$R$100,"-")</f>
        <v/>
      </c>
      <c r="F26" s="68">
        <f>_xlfn.XLOOKUP($A26,'04'!$G$3:$G$100,'04'!$R$3:$R$100,"-")</f>
        <v/>
      </c>
      <c r="G26" s="68">
        <f>_xlfn.XLOOKUP($A26,'05'!$G$3:$G$100,'05'!$R$3:$R$100,"-")</f>
        <v/>
      </c>
      <c r="H26" s="68">
        <f>_xlfn.XLOOKUP($A26,'06'!$G$3:$G$100,'06'!$R$3:$R$100,"-")</f>
        <v/>
      </c>
      <c r="I26" s="68">
        <f>_xlfn.XLOOKUP($A26,'07'!$G$3:$G$100,'07'!$R$3:$R$100,"-")</f>
        <v/>
      </c>
      <c r="J26" s="68">
        <f>_xlfn.XLOOKUP($A26,'08'!$G$3:$G$100,'08'!$R$3:$R$100,"-")</f>
        <v/>
      </c>
      <c r="K26" s="68">
        <f>_xlfn.XLOOKUP($A26,'09'!$G$3:$G$100,'09'!$R$3:$R$100,"-")</f>
        <v/>
      </c>
      <c r="L26" s="68">
        <f>_xlfn.XLOOKUP($A26,'10'!$G$3:$G$100,'10'!$R$3:$R$100,"-")</f>
        <v/>
      </c>
      <c r="M26" s="68">
        <f>_xlfn.XLOOKUP($A26,'11'!$G$3:$G$100,'11'!$R$3:$R$100,"-")</f>
        <v/>
      </c>
      <c r="N26" s="68">
        <f>_xlfn.XLOOKUP($A26,'12'!$G$3:$G$100,'12'!$R$3:$R$100,"-")</f>
        <v/>
      </c>
      <c r="O26" s="79">
        <f>SUM(C26:N26)</f>
        <v/>
      </c>
      <c r="P26" s="74" t="n"/>
      <c r="Q26" s="82" t="n">
        <v>24</v>
      </c>
      <c r="R26" s="38" t="n"/>
      <c r="S26" s="61" t="n">
        <v>0</v>
      </c>
      <c r="T26" s="68" t="n">
        <v>0</v>
      </c>
      <c r="U26" s="68" t="n">
        <v>0</v>
      </c>
      <c r="V26" s="68" t="n">
        <v>0</v>
      </c>
      <c r="W26" s="68" t="n">
        <v>0</v>
      </c>
      <c r="X26" s="68" t="n">
        <v>0</v>
      </c>
      <c r="Y26" s="68" t="n">
        <v>0</v>
      </c>
      <c r="Z26" s="68" t="n">
        <v>0</v>
      </c>
      <c r="AA26" s="68" t="n">
        <v>0</v>
      </c>
      <c r="AB26" s="68" t="n">
        <v>0</v>
      </c>
      <c r="AC26" s="68" t="n">
        <v>0</v>
      </c>
      <c r="AD26" s="68" t="n">
        <v>0</v>
      </c>
      <c r="AE26" s="68" t="n">
        <v>0</v>
      </c>
      <c r="AF26" s="79" t="n">
        <v>0</v>
      </c>
      <c r="AG26" s="74" t="n">
        <v>0</v>
      </c>
      <c r="AH26" s="82" t="n">
        <v>24</v>
      </c>
    </row>
    <row r="27" ht="18" customHeight="1">
      <c r="C27" s="68">
        <f>_xlfn.XLOOKUP($A27,'01'!$G$3:$G$100,'01'!$R$3:$R$100,"-")</f>
        <v/>
      </c>
      <c r="D27" s="68">
        <f>_xlfn.XLOOKUP($A27,'02'!$G$3:$G$100,'02'!$R$3:$R$100,"-")</f>
        <v/>
      </c>
      <c r="E27" s="68">
        <f>_xlfn.XLOOKUP($A27,'03'!$G$3:$G$100,'03'!$R$3:$R$100,"-")</f>
        <v/>
      </c>
      <c r="F27" s="68">
        <f>_xlfn.XLOOKUP($A27,'04'!$G$3:$G$100,'04'!$R$3:$R$100,"-")</f>
        <v/>
      </c>
      <c r="G27" s="68">
        <f>_xlfn.XLOOKUP($A27,'05'!$G$3:$G$100,'05'!$R$3:$R$100,"-")</f>
        <v/>
      </c>
      <c r="H27" s="68">
        <f>_xlfn.XLOOKUP($A27,'06'!$G$3:$G$100,'06'!$R$3:$R$100,"-")</f>
        <v/>
      </c>
      <c r="I27" s="68">
        <f>_xlfn.XLOOKUP($A27,'07'!$G$3:$G$100,'07'!$R$3:$R$100,"-")</f>
        <v/>
      </c>
      <c r="J27" s="68">
        <f>_xlfn.XLOOKUP($A27,'08'!$G$3:$G$100,'08'!$R$3:$R$100,"-")</f>
        <v/>
      </c>
      <c r="K27" s="68">
        <f>_xlfn.XLOOKUP($A27,'09'!$G$3:$G$100,'09'!$R$3:$R$100,"-")</f>
        <v/>
      </c>
      <c r="L27" s="68">
        <f>_xlfn.XLOOKUP($A27,'10'!$G$3:$G$100,'10'!$R$3:$R$100,"-")</f>
        <v/>
      </c>
      <c r="M27" s="68">
        <f>_xlfn.XLOOKUP($A27,'11'!$G$3:$G$100,'11'!$R$3:$R$100,"-")</f>
        <v/>
      </c>
      <c r="N27" s="68">
        <f>_xlfn.XLOOKUP($A27,'12'!$G$3:$G$100,'12'!$R$3:$R$100,"-")</f>
        <v/>
      </c>
      <c r="O27" s="79">
        <f>SUM(C27:N27)</f>
        <v/>
      </c>
      <c r="P27" s="74" t="n"/>
      <c r="Q27" s="83" t="n">
        <v>25</v>
      </c>
      <c r="R27" s="38" t="n"/>
      <c r="S27" s="61" t="n">
        <v>0</v>
      </c>
      <c r="T27" s="68" t="n">
        <v>0</v>
      </c>
      <c r="U27" s="68" t="n">
        <v>0</v>
      </c>
      <c r="V27" s="68" t="n">
        <v>0</v>
      </c>
      <c r="W27" s="68" t="n">
        <v>0</v>
      </c>
      <c r="X27" s="68" t="n">
        <v>0</v>
      </c>
      <c r="Y27" s="68" t="n">
        <v>0</v>
      </c>
      <c r="Z27" s="68" t="n">
        <v>0</v>
      </c>
      <c r="AA27" s="68" t="n">
        <v>0</v>
      </c>
      <c r="AB27" s="68" t="n">
        <v>0</v>
      </c>
      <c r="AC27" s="68" t="n">
        <v>0</v>
      </c>
      <c r="AD27" s="68" t="n">
        <v>0</v>
      </c>
      <c r="AE27" s="68" t="n">
        <v>0</v>
      </c>
      <c r="AF27" s="79" t="n">
        <v>0</v>
      </c>
      <c r="AG27" s="74" t="n">
        <v>0</v>
      </c>
      <c r="AH27" s="83" t="n">
        <v>25</v>
      </c>
    </row>
    <row r="28" ht="18" customHeight="1">
      <c r="C28" s="68">
        <f>_xlfn.XLOOKUP($A28,'01'!$G$3:$G$100,'01'!$R$3:$R$100,"-")</f>
        <v/>
      </c>
      <c r="D28" s="68">
        <f>_xlfn.XLOOKUP($A28,'02'!$G$3:$G$100,'02'!$R$3:$R$100,"-")</f>
        <v/>
      </c>
      <c r="E28" s="68">
        <f>_xlfn.XLOOKUP($A28,'03'!$G$3:$G$100,'03'!$R$3:$R$100,"-")</f>
        <v/>
      </c>
      <c r="F28" s="68">
        <f>_xlfn.XLOOKUP($A28,'04'!$G$3:$G$100,'04'!$R$3:$R$100,"-")</f>
        <v/>
      </c>
      <c r="G28" s="68">
        <f>_xlfn.XLOOKUP($A28,'05'!$G$3:$G$100,'05'!$R$3:$R$100,"-")</f>
        <v/>
      </c>
      <c r="H28" s="68">
        <f>_xlfn.XLOOKUP($A28,'06'!$G$3:$G$100,'06'!$R$3:$R$100,"-")</f>
        <v/>
      </c>
      <c r="I28" s="68">
        <f>_xlfn.XLOOKUP($A28,'07'!$G$3:$G$100,'07'!$R$3:$R$100,"-")</f>
        <v/>
      </c>
      <c r="J28" s="68">
        <f>_xlfn.XLOOKUP($A28,'08'!$G$3:$G$100,'08'!$R$3:$R$100,"-")</f>
        <v/>
      </c>
      <c r="K28" s="68">
        <f>_xlfn.XLOOKUP($A28,'09'!$G$3:$G$100,'09'!$R$3:$R$100,"-")</f>
        <v/>
      </c>
      <c r="L28" s="68">
        <f>_xlfn.XLOOKUP($A28,'10'!$G$3:$G$100,'10'!$R$3:$R$100,"-")</f>
        <v/>
      </c>
      <c r="M28" s="68">
        <f>_xlfn.XLOOKUP($A28,'11'!$G$3:$G$100,'11'!$R$3:$R$100,"-")</f>
        <v/>
      </c>
      <c r="N28" s="68">
        <f>_xlfn.XLOOKUP($A28,'12'!$G$3:$G$100,'12'!$R$3:$R$100,"-")</f>
        <v/>
      </c>
      <c r="O28" s="79">
        <f>SUM(C28:N28)</f>
        <v/>
      </c>
      <c r="P28" s="74" t="n"/>
      <c r="Q28" s="82" t="n">
        <v>26</v>
      </c>
      <c r="R28" s="38" t="n"/>
      <c r="S28" s="61" t="n">
        <v>0</v>
      </c>
      <c r="T28" s="68" t="n">
        <v>0</v>
      </c>
      <c r="U28" s="68" t="n">
        <v>0</v>
      </c>
      <c r="V28" s="68" t="n">
        <v>0</v>
      </c>
      <c r="W28" s="68" t="n">
        <v>0</v>
      </c>
      <c r="X28" s="68" t="n">
        <v>0</v>
      </c>
      <c r="Y28" s="68" t="n">
        <v>0</v>
      </c>
      <c r="Z28" s="68" t="n">
        <v>0</v>
      </c>
      <c r="AA28" s="68" t="n">
        <v>0</v>
      </c>
      <c r="AB28" s="68" t="n">
        <v>0</v>
      </c>
      <c r="AC28" s="68" t="n">
        <v>0</v>
      </c>
      <c r="AD28" s="68" t="n">
        <v>0</v>
      </c>
      <c r="AE28" s="68" t="n">
        <v>0</v>
      </c>
      <c r="AF28" s="79" t="n">
        <v>0</v>
      </c>
      <c r="AG28" s="74" t="n">
        <v>0</v>
      </c>
      <c r="AH28" s="82" t="n">
        <v>26</v>
      </c>
    </row>
    <row r="29" ht="18" customHeight="1">
      <c r="C29" s="68">
        <f>_xlfn.XLOOKUP($A29,'01'!$G$3:$G$100,'01'!$R$3:$R$100,"-")</f>
        <v/>
      </c>
      <c r="D29" s="68">
        <f>_xlfn.XLOOKUP($A29,'02'!$G$3:$G$100,'02'!$R$3:$R$100,"-")</f>
        <v/>
      </c>
      <c r="E29" s="68">
        <f>_xlfn.XLOOKUP($A29,'03'!$G$3:$G$100,'03'!$R$3:$R$100,"-")</f>
        <v/>
      </c>
      <c r="F29" s="68">
        <f>_xlfn.XLOOKUP($A29,'04'!$G$3:$G$100,'04'!$R$3:$R$100,"-")</f>
        <v/>
      </c>
      <c r="G29" s="68">
        <f>_xlfn.XLOOKUP($A29,'05'!$G$3:$G$100,'05'!$R$3:$R$100,"-")</f>
        <v/>
      </c>
      <c r="H29" s="68">
        <f>_xlfn.XLOOKUP($A29,'06'!$G$3:$G$100,'06'!$R$3:$R$100,"-")</f>
        <v/>
      </c>
      <c r="I29" s="68">
        <f>_xlfn.XLOOKUP($A29,'07'!$G$3:$G$100,'07'!$R$3:$R$100,"-")</f>
        <v/>
      </c>
      <c r="J29" s="68">
        <f>_xlfn.XLOOKUP($A29,'08'!$G$3:$G$100,'08'!$R$3:$R$100,"-")</f>
        <v/>
      </c>
      <c r="K29" s="68">
        <f>_xlfn.XLOOKUP($A29,'09'!$G$3:$G$100,'09'!$R$3:$R$100,"-")</f>
        <v/>
      </c>
      <c r="L29" s="68">
        <f>_xlfn.XLOOKUP($A29,'10'!$G$3:$G$100,'10'!$R$3:$R$100,"-")</f>
        <v/>
      </c>
      <c r="M29" s="68">
        <f>_xlfn.XLOOKUP($A29,'11'!$G$3:$G$100,'11'!$R$3:$R$100,"-")</f>
        <v/>
      </c>
      <c r="N29" s="68">
        <f>_xlfn.XLOOKUP($A29,'12'!$G$3:$G$100,'12'!$R$3:$R$100,"-")</f>
        <v/>
      </c>
      <c r="O29" s="79">
        <f>SUM(C29:N29)</f>
        <v/>
      </c>
      <c r="P29" s="74" t="n"/>
      <c r="Q29" s="82" t="n">
        <v>27</v>
      </c>
      <c r="R29" s="38" t="n"/>
      <c r="S29" s="61" t="n">
        <v>0</v>
      </c>
      <c r="T29" s="68" t="n">
        <v>0</v>
      </c>
      <c r="U29" s="68" t="n">
        <v>0</v>
      </c>
      <c r="V29" s="68" t="n">
        <v>0</v>
      </c>
      <c r="W29" s="68" t="n">
        <v>0</v>
      </c>
      <c r="X29" s="68" t="n">
        <v>0</v>
      </c>
      <c r="Y29" s="68" t="n">
        <v>0</v>
      </c>
      <c r="Z29" s="68" t="n">
        <v>0</v>
      </c>
      <c r="AA29" s="68" t="n">
        <v>0</v>
      </c>
      <c r="AB29" s="68" t="n">
        <v>0</v>
      </c>
      <c r="AC29" s="68" t="n">
        <v>0</v>
      </c>
      <c r="AD29" s="68" t="n">
        <v>0</v>
      </c>
      <c r="AE29" s="68" t="n">
        <v>0</v>
      </c>
      <c r="AF29" s="79" t="n">
        <v>0</v>
      </c>
      <c r="AG29" s="74" t="n">
        <v>0</v>
      </c>
      <c r="AH29" s="82" t="n">
        <v>27</v>
      </c>
    </row>
    <row r="30" ht="18" customHeight="1">
      <c r="C30" s="68">
        <f>_xlfn.XLOOKUP($A30,'01'!$G$3:$G$100,'01'!$R$3:$R$100,"-")</f>
        <v/>
      </c>
      <c r="D30" s="68">
        <f>_xlfn.XLOOKUP($A30,'02'!$G$3:$G$100,'02'!$R$3:$R$100,"-")</f>
        <v/>
      </c>
      <c r="E30" s="68">
        <f>_xlfn.XLOOKUP($A30,'03'!$G$3:$G$100,'03'!$R$3:$R$100,"-")</f>
        <v/>
      </c>
      <c r="F30" s="68">
        <f>_xlfn.XLOOKUP($A30,'04'!$G$3:$G$100,'04'!$R$3:$R$100,"-")</f>
        <v/>
      </c>
      <c r="G30" s="68">
        <f>_xlfn.XLOOKUP($A30,'05'!$G$3:$G$100,'05'!$R$3:$R$100,"-")</f>
        <v/>
      </c>
      <c r="H30" s="68">
        <f>_xlfn.XLOOKUP($A30,'06'!$G$3:$G$100,'06'!$R$3:$R$100,"-")</f>
        <v/>
      </c>
      <c r="I30" s="68">
        <f>_xlfn.XLOOKUP($A30,'07'!$G$3:$G$100,'07'!$R$3:$R$100,"-")</f>
        <v/>
      </c>
      <c r="J30" s="68">
        <f>_xlfn.XLOOKUP($A30,'08'!$G$3:$G$100,'08'!$R$3:$R$100,"-")</f>
        <v/>
      </c>
      <c r="K30" s="68">
        <f>_xlfn.XLOOKUP($A30,'09'!$G$3:$G$100,'09'!$R$3:$R$100,"-")</f>
        <v/>
      </c>
      <c r="L30" s="68">
        <f>_xlfn.XLOOKUP($A30,'10'!$G$3:$G$100,'10'!$R$3:$R$100,"-")</f>
        <v/>
      </c>
      <c r="M30" s="68">
        <f>_xlfn.XLOOKUP($A30,'11'!$G$3:$G$100,'11'!$R$3:$R$100,"-")</f>
        <v/>
      </c>
      <c r="N30" s="68">
        <f>_xlfn.XLOOKUP($A30,'12'!$G$3:$G$100,'12'!$R$3:$R$100,"-")</f>
        <v/>
      </c>
      <c r="O30" s="79">
        <f>SUM(C30:N30)</f>
        <v/>
      </c>
      <c r="P30" s="74" t="n"/>
      <c r="Q30" s="82" t="n">
        <v>28</v>
      </c>
      <c r="R30" s="38" t="n"/>
      <c r="S30" s="61" t="n">
        <v>0</v>
      </c>
      <c r="T30" s="68" t="n">
        <v>0</v>
      </c>
      <c r="U30" s="68" t="n">
        <v>0</v>
      </c>
      <c r="V30" s="68" t="n">
        <v>0</v>
      </c>
      <c r="W30" s="68" t="n">
        <v>0</v>
      </c>
      <c r="X30" s="68" t="n">
        <v>0</v>
      </c>
      <c r="Y30" s="68" t="n">
        <v>0</v>
      </c>
      <c r="Z30" s="68" t="n">
        <v>0</v>
      </c>
      <c r="AA30" s="68" t="n">
        <v>0</v>
      </c>
      <c r="AB30" s="68" t="n">
        <v>0</v>
      </c>
      <c r="AC30" s="68" t="n">
        <v>0</v>
      </c>
      <c r="AD30" s="68" t="n">
        <v>0</v>
      </c>
      <c r="AE30" s="68" t="n">
        <v>0</v>
      </c>
      <c r="AF30" s="79" t="n">
        <v>0</v>
      </c>
      <c r="AG30" s="74" t="n">
        <v>0</v>
      </c>
      <c r="AH30" s="82" t="n">
        <v>28</v>
      </c>
    </row>
    <row r="31" ht="18" customHeight="1">
      <c r="C31" s="68">
        <f>_xlfn.XLOOKUP($A31,'01'!$G$3:$G$100,'01'!$R$3:$R$100,"-")</f>
        <v/>
      </c>
      <c r="D31" s="68">
        <f>_xlfn.XLOOKUP($A31,'02'!$G$3:$G$100,'02'!$R$3:$R$100,"-")</f>
        <v/>
      </c>
      <c r="E31" s="68">
        <f>_xlfn.XLOOKUP($A31,'03'!$G$3:$G$100,'03'!$R$3:$R$100,"-")</f>
        <v/>
      </c>
      <c r="F31" s="68">
        <f>_xlfn.XLOOKUP($A31,'04'!$G$3:$G$100,'04'!$R$3:$R$100,"-")</f>
        <v/>
      </c>
      <c r="G31" s="68">
        <f>_xlfn.XLOOKUP($A31,'05'!$G$3:$G$100,'05'!$R$3:$R$100,"-")</f>
        <v/>
      </c>
      <c r="H31" s="68">
        <f>_xlfn.XLOOKUP($A31,'06'!$G$3:$G$100,'06'!$R$3:$R$100,"-")</f>
        <v/>
      </c>
      <c r="I31" s="68">
        <f>_xlfn.XLOOKUP($A31,'07'!$G$3:$G$100,'07'!$R$3:$R$100,"-")</f>
        <v/>
      </c>
      <c r="J31" s="68">
        <f>_xlfn.XLOOKUP($A31,'08'!$G$3:$G$100,'08'!$R$3:$R$100,"-")</f>
        <v/>
      </c>
      <c r="K31" s="68">
        <f>_xlfn.XLOOKUP($A31,'09'!$G$3:$G$100,'09'!$R$3:$R$100,"-")</f>
        <v/>
      </c>
      <c r="L31" s="68">
        <f>_xlfn.XLOOKUP($A31,'10'!$G$3:$G$100,'10'!$R$3:$R$100,"-")</f>
        <v/>
      </c>
      <c r="M31" s="68">
        <f>_xlfn.XLOOKUP($A31,'11'!$G$3:$G$100,'11'!$R$3:$R$100,"-")</f>
        <v/>
      </c>
      <c r="N31" s="68">
        <f>_xlfn.XLOOKUP($A31,'12'!$G$3:$G$100,'12'!$R$3:$R$100,"-")</f>
        <v/>
      </c>
      <c r="O31" s="79">
        <f>SUM(C31:N31)</f>
        <v/>
      </c>
      <c r="P31" s="74" t="n"/>
      <c r="Q31" s="82" t="n">
        <v>29</v>
      </c>
      <c r="R31" s="38" t="n"/>
      <c r="S31" s="61" t="n">
        <v>0</v>
      </c>
      <c r="T31" s="68" t="n">
        <v>0</v>
      </c>
      <c r="U31" s="68" t="n">
        <v>0</v>
      </c>
      <c r="V31" s="68" t="n">
        <v>0</v>
      </c>
      <c r="W31" s="68" t="n">
        <v>0</v>
      </c>
      <c r="X31" s="68" t="n">
        <v>0</v>
      </c>
      <c r="Y31" s="68" t="n">
        <v>0</v>
      </c>
      <c r="Z31" s="68" t="n">
        <v>0</v>
      </c>
      <c r="AA31" s="68" t="n">
        <v>0</v>
      </c>
      <c r="AB31" s="68" t="n">
        <v>0</v>
      </c>
      <c r="AC31" s="68" t="n">
        <v>0</v>
      </c>
      <c r="AD31" s="68" t="n">
        <v>0</v>
      </c>
      <c r="AE31" s="68" t="n">
        <v>0</v>
      </c>
      <c r="AF31" s="79" t="n">
        <v>0</v>
      </c>
      <c r="AG31" s="74" t="n">
        <v>0</v>
      </c>
      <c r="AH31" s="82" t="n">
        <v>29</v>
      </c>
    </row>
    <row r="32" ht="18" customHeight="1">
      <c r="C32" s="68">
        <f>_xlfn.XLOOKUP($A32,'01'!$G$3:$G$100,'01'!$R$3:$R$100,"-")</f>
        <v/>
      </c>
      <c r="D32" s="68">
        <f>_xlfn.XLOOKUP($A32,'02'!$G$3:$G$100,'02'!$R$3:$R$100,"-")</f>
        <v/>
      </c>
      <c r="E32" s="68">
        <f>_xlfn.XLOOKUP($A32,'03'!$G$3:$G$100,'03'!$R$3:$R$100,"-")</f>
        <v/>
      </c>
      <c r="F32" s="68">
        <f>_xlfn.XLOOKUP($A32,'04'!$G$3:$G$100,'04'!$R$3:$R$100,"-")</f>
        <v/>
      </c>
      <c r="G32" s="68">
        <f>_xlfn.XLOOKUP($A32,'05'!$G$3:$G$100,'05'!$R$3:$R$100,"-")</f>
        <v/>
      </c>
      <c r="H32" s="68">
        <f>_xlfn.XLOOKUP($A32,'06'!$G$3:$G$100,'06'!$R$3:$R$100,"-")</f>
        <v/>
      </c>
      <c r="I32" s="68">
        <f>_xlfn.XLOOKUP($A32,'07'!$G$3:$G$100,'07'!$R$3:$R$100,"-")</f>
        <v/>
      </c>
      <c r="J32" s="68">
        <f>_xlfn.XLOOKUP($A32,'08'!$G$3:$G$100,'08'!$R$3:$R$100,"-")</f>
        <v/>
      </c>
      <c r="K32" s="68">
        <f>_xlfn.XLOOKUP($A32,'09'!$G$3:$G$100,'09'!$R$3:$R$100,"-")</f>
        <v/>
      </c>
      <c r="L32" s="68">
        <f>_xlfn.XLOOKUP($A32,'10'!$G$3:$G$100,'10'!$R$3:$R$100,"-")</f>
        <v/>
      </c>
      <c r="M32" s="68">
        <f>_xlfn.XLOOKUP($A32,'11'!$G$3:$G$100,'11'!$R$3:$R$100,"-")</f>
        <v/>
      </c>
      <c r="N32" s="68">
        <f>_xlfn.XLOOKUP($A32,'12'!$G$3:$G$100,'12'!$R$3:$R$100,"-")</f>
        <v/>
      </c>
      <c r="O32" s="79">
        <f>SUM(C32:N32)</f>
        <v/>
      </c>
      <c r="P32" s="74" t="n"/>
      <c r="Q32" s="82" t="n">
        <v>30</v>
      </c>
      <c r="R32" s="38" t="n"/>
      <c r="S32" s="61" t="n">
        <v>0</v>
      </c>
      <c r="T32" s="68" t="n">
        <v>0</v>
      </c>
      <c r="U32" s="68" t="n">
        <v>0</v>
      </c>
      <c r="V32" s="68" t="n">
        <v>0</v>
      </c>
      <c r="W32" s="68" t="n">
        <v>0</v>
      </c>
      <c r="X32" s="68" t="n">
        <v>0</v>
      </c>
      <c r="Y32" s="68" t="n">
        <v>0</v>
      </c>
      <c r="Z32" s="68" t="n">
        <v>0</v>
      </c>
      <c r="AA32" s="68" t="n">
        <v>0</v>
      </c>
      <c r="AB32" s="68" t="n">
        <v>0</v>
      </c>
      <c r="AC32" s="68" t="n">
        <v>0</v>
      </c>
      <c r="AD32" s="68" t="n">
        <v>0</v>
      </c>
      <c r="AE32" s="68" t="n">
        <v>0</v>
      </c>
      <c r="AF32" s="79" t="n">
        <v>0</v>
      </c>
      <c r="AG32" s="74" t="n">
        <v>0</v>
      </c>
      <c r="AH32" s="82" t="n">
        <v>30</v>
      </c>
    </row>
    <row r="33" ht="18" customHeight="1">
      <c r="C33" s="68">
        <f>_xlfn.XLOOKUP($A33,'01'!$G$3:$G$100,'01'!$R$3:$R$100,"-")</f>
        <v/>
      </c>
      <c r="D33" s="68">
        <f>_xlfn.XLOOKUP($A33,'02'!$G$3:$G$100,'02'!$R$3:$R$100,"-")</f>
        <v/>
      </c>
      <c r="E33" s="68">
        <f>_xlfn.XLOOKUP($A33,'03'!$G$3:$G$100,'03'!$R$3:$R$100,"-")</f>
        <v/>
      </c>
      <c r="F33" s="68">
        <f>_xlfn.XLOOKUP($A33,'04'!$G$3:$G$100,'04'!$R$3:$R$100,"-")</f>
        <v/>
      </c>
      <c r="G33" s="68">
        <f>_xlfn.XLOOKUP($A33,'05'!$G$3:$G$100,'05'!$R$3:$R$100,"-")</f>
        <v/>
      </c>
      <c r="H33" s="68">
        <f>_xlfn.XLOOKUP($A33,'06'!$G$3:$G$100,'06'!$R$3:$R$100,"-")</f>
        <v/>
      </c>
      <c r="I33" s="68">
        <f>_xlfn.XLOOKUP($A33,'07'!$G$3:$G$100,'07'!$R$3:$R$100,"-")</f>
        <v/>
      </c>
      <c r="J33" s="68">
        <f>_xlfn.XLOOKUP($A33,'08'!$G$3:$G$100,'08'!$R$3:$R$100,"-")</f>
        <v/>
      </c>
      <c r="K33" s="68">
        <f>_xlfn.XLOOKUP($A33,'09'!$G$3:$G$100,'09'!$R$3:$R$100,"-")</f>
        <v/>
      </c>
      <c r="L33" s="68">
        <f>_xlfn.XLOOKUP($A33,'10'!$G$3:$G$100,'10'!$R$3:$R$100,"-")</f>
        <v/>
      </c>
      <c r="M33" s="68">
        <f>_xlfn.XLOOKUP($A33,'11'!$G$3:$G$100,'11'!$R$3:$R$100,"-")</f>
        <v/>
      </c>
      <c r="N33" s="68">
        <f>_xlfn.XLOOKUP($A33,'12'!$G$3:$G$100,'12'!$R$3:$R$100,"-")</f>
        <v/>
      </c>
      <c r="O33" s="79">
        <f>SUM(C33:N33)</f>
        <v/>
      </c>
      <c r="P33" s="74" t="n"/>
      <c r="Q33" s="82" t="n">
        <v>31</v>
      </c>
      <c r="R33" s="38" t="n"/>
      <c r="S33" s="61" t="n">
        <v>0</v>
      </c>
      <c r="T33" s="68" t="n">
        <v>0</v>
      </c>
      <c r="U33" s="68" t="n">
        <v>0</v>
      </c>
      <c r="V33" s="68" t="n">
        <v>0</v>
      </c>
      <c r="W33" s="68" t="n">
        <v>0</v>
      </c>
      <c r="X33" s="68" t="n">
        <v>0</v>
      </c>
      <c r="Y33" s="68" t="n">
        <v>0</v>
      </c>
      <c r="Z33" s="68" t="n">
        <v>0</v>
      </c>
      <c r="AA33" s="68" t="n">
        <v>0</v>
      </c>
      <c r="AB33" s="68" t="n">
        <v>0</v>
      </c>
      <c r="AC33" s="68" t="n">
        <v>0</v>
      </c>
      <c r="AD33" s="68" t="n">
        <v>0</v>
      </c>
      <c r="AE33" s="68" t="n">
        <v>0</v>
      </c>
      <c r="AF33" s="79" t="n">
        <v>0</v>
      </c>
      <c r="AG33" s="74" t="n">
        <v>0</v>
      </c>
      <c r="AH33" s="82" t="n">
        <v>31</v>
      </c>
    </row>
    <row r="34" ht="18" customHeight="1">
      <c r="C34" s="68">
        <f>_xlfn.XLOOKUP($A34,'01'!$G$3:$G$100,'01'!$R$3:$R$100,"-")</f>
        <v/>
      </c>
      <c r="D34" s="68">
        <f>_xlfn.XLOOKUP($A34,'02'!$G$3:$G$100,'02'!$R$3:$R$100,"-")</f>
        <v/>
      </c>
      <c r="E34" s="68">
        <f>_xlfn.XLOOKUP($A34,'03'!$G$3:$G$100,'03'!$R$3:$R$100,"-")</f>
        <v/>
      </c>
      <c r="F34" s="68">
        <f>_xlfn.XLOOKUP($A34,'04'!$G$3:$G$100,'04'!$R$3:$R$100,"-")</f>
        <v/>
      </c>
      <c r="G34" s="68">
        <f>_xlfn.XLOOKUP($A34,'05'!$G$3:$G$100,'05'!$R$3:$R$100,"-")</f>
        <v/>
      </c>
      <c r="H34" s="68">
        <f>_xlfn.XLOOKUP($A34,'06'!$G$3:$G$100,'06'!$R$3:$R$100,"-")</f>
        <v/>
      </c>
      <c r="I34" s="68">
        <f>_xlfn.XLOOKUP($A34,'07'!$G$3:$G$100,'07'!$R$3:$R$100,"-")</f>
        <v/>
      </c>
      <c r="J34" s="68">
        <f>_xlfn.XLOOKUP($A34,'08'!$G$3:$G$100,'08'!$R$3:$R$100,"-")</f>
        <v/>
      </c>
      <c r="K34" s="68">
        <f>_xlfn.XLOOKUP($A34,'09'!$G$3:$G$100,'09'!$R$3:$R$100,"-")</f>
        <v/>
      </c>
      <c r="L34" s="68">
        <f>_xlfn.XLOOKUP($A34,'10'!$G$3:$G$100,'10'!$R$3:$R$100,"-")</f>
        <v/>
      </c>
      <c r="M34" s="68">
        <f>_xlfn.XLOOKUP($A34,'11'!$G$3:$G$100,'11'!$R$3:$R$100,"-")</f>
        <v/>
      </c>
      <c r="N34" s="68">
        <f>_xlfn.XLOOKUP($A34,'12'!$G$3:$G$100,'12'!$R$3:$R$100,"-")</f>
        <v/>
      </c>
      <c r="O34" s="79">
        <f>SUM(C34:N34)</f>
        <v/>
      </c>
      <c r="P34" s="74" t="n"/>
      <c r="Q34" s="82" t="n">
        <v>32</v>
      </c>
      <c r="R34" s="38" t="n"/>
      <c r="S34" s="61" t="n">
        <v>0</v>
      </c>
      <c r="T34" s="68" t="n">
        <v>0</v>
      </c>
      <c r="U34" s="68" t="n">
        <v>0</v>
      </c>
      <c r="V34" s="68" t="n">
        <v>0</v>
      </c>
      <c r="W34" s="68" t="n">
        <v>0</v>
      </c>
      <c r="X34" s="68" t="n">
        <v>0</v>
      </c>
      <c r="Y34" s="68" t="n">
        <v>0</v>
      </c>
      <c r="Z34" s="68" t="n">
        <v>0</v>
      </c>
      <c r="AA34" s="68" t="n">
        <v>0</v>
      </c>
      <c r="AB34" s="68" t="n">
        <v>0</v>
      </c>
      <c r="AC34" s="68" t="n">
        <v>0</v>
      </c>
      <c r="AD34" s="68" t="n">
        <v>0</v>
      </c>
      <c r="AE34" s="68" t="n">
        <v>0</v>
      </c>
      <c r="AF34" s="79" t="n">
        <v>0</v>
      </c>
      <c r="AG34" s="74" t="n">
        <v>0</v>
      </c>
      <c r="AH34" s="82" t="n">
        <v>32</v>
      </c>
    </row>
    <row r="35" ht="15" customHeight="1">
      <c r="C35" s="68">
        <f>_xlfn.XLOOKUP($A35,'01'!$G$3:$G$100,'01'!$R$3:$R$100,"-")</f>
        <v/>
      </c>
      <c r="D35" s="68">
        <f>_xlfn.XLOOKUP($A35,'02'!$G$3:$G$100,'02'!$R$3:$R$100,"-")</f>
        <v/>
      </c>
      <c r="E35" s="68">
        <f>_xlfn.XLOOKUP($A35,'03'!$G$3:$G$100,'03'!$R$3:$R$100,"-")</f>
        <v/>
      </c>
      <c r="F35" s="68">
        <f>_xlfn.XLOOKUP($A35,'04'!$G$3:$G$100,'04'!$R$3:$R$100,"-")</f>
        <v/>
      </c>
      <c r="G35" s="68">
        <f>_xlfn.XLOOKUP($A35,'05'!$G$3:$G$100,'05'!$R$3:$R$100,"-")</f>
        <v/>
      </c>
      <c r="H35" s="68">
        <f>_xlfn.XLOOKUP($A35,'06'!$G$3:$G$100,'06'!$R$3:$R$100,"-")</f>
        <v/>
      </c>
      <c r="I35" s="68">
        <f>_xlfn.XLOOKUP($A35,'07'!$G$3:$G$100,'07'!$R$3:$R$100,"-")</f>
        <v/>
      </c>
      <c r="J35" s="68">
        <f>_xlfn.XLOOKUP($A35,'08'!$G$3:$G$100,'08'!$R$3:$R$100,"-")</f>
        <v/>
      </c>
      <c r="K35" s="68">
        <f>_xlfn.XLOOKUP($A35,'09'!$G$3:$G$100,'09'!$R$3:$R$100,"-")</f>
        <v/>
      </c>
      <c r="L35" s="68">
        <f>_xlfn.XLOOKUP($A35,'10'!$G$3:$G$100,'10'!$R$3:$R$100,"-")</f>
        <v/>
      </c>
      <c r="M35" s="68">
        <f>_xlfn.XLOOKUP($A35,'11'!$G$3:$G$100,'11'!$R$3:$R$100,"-")</f>
        <v/>
      </c>
      <c r="N35" s="68">
        <f>_xlfn.XLOOKUP($A35,'12'!$G$3:$G$100,'12'!$R$3:$R$100,"-")</f>
        <v/>
      </c>
      <c r="O35" s="79">
        <f>SUM(C35:N35)</f>
        <v/>
      </c>
      <c r="P35" s="74" t="n"/>
      <c r="Q35" s="82" t="n">
        <v>33</v>
      </c>
      <c r="R35" s="38" t="n"/>
      <c r="S35" s="61" t="n">
        <v>0</v>
      </c>
      <c r="T35" s="68" t="n">
        <v>0</v>
      </c>
      <c r="U35" s="68" t="n">
        <v>0</v>
      </c>
      <c r="V35" s="68" t="n">
        <v>0</v>
      </c>
      <c r="W35" s="68" t="n">
        <v>0</v>
      </c>
      <c r="X35" s="68" t="n">
        <v>0</v>
      </c>
      <c r="Y35" s="68" t="n">
        <v>0</v>
      </c>
      <c r="Z35" s="68" t="n">
        <v>0</v>
      </c>
      <c r="AA35" s="68" t="n">
        <v>0</v>
      </c>
      <c r="AB35" s="68" t="n">
        <v>0</v>
      </c>
      <c r="AC35" s="68" t="n">
        <v>0</v>
      </c>
      <c r="AD35" s="68" t="n">
        <v>0</v>
      </c>
      <c r="AE35" s="68" t="n">
        <v>0</v>
      </c>
      <c r="AF35" s="79" t="n">
        <v>0</v>
      </c>
      <c r="AG35" s="74" t="n">
        <v>0</v>
      </c>
      <c r="AH35" s="82" t="n">
        <v>33</v>
      </c>
    </row>
    <row r="36" ht="18" customHeight="1">
      <c r="C36" s="68">
        <f>_xlfn.XLOOKUP($A36,'01'!$G$3:$G$100,'01'!$R$3:$R$100,"-")</f>
        <v/>
      </c>
      <c r="D36" s="68">
        <f>_xlfn.XLOOKUP($A36,'02'!$G$3:$G$100,'02'!$R$3:$R$100,"-")</f>
        <v/>
      </c>
      <c r="E36" s="68">
        <f>_xlfn.XLOOKUP($A36,'03'!$G$3:$G$100,'03'!$R$3:$R$100,"-")</f>
        <v/>
      </c>
      <c r="F36" s="68">
        <f>_xlfn.XLOOKUP($A36,'04'!$G$3:$G$100,'04'!$R$3:$R$100,"-")</f>
        <v/>
      </c>
      <c r="G36" s="68">
        <f>_xlfn.XLOOKUP($A36,'05'!$G$3:$G$100,'05'!$R$3:$R$100,"-")</f>
        <v/>
      </c>
      <c r="H36" s="68">
        <f>_xlfn.XLOOKUP($A36,'06'!$G$3:$G$100,'06'!$R$3:$R$100,"-")</f>
        <v/>
      </c>
      <c r="I36" s="68">
        <f>_xlfn.XLOOKUP($A36,'07'!$G$3:$G$100,'07'!$R$3:$R$100,"-")</f>
        <v/>
      </c>
      <c r="J36" s="68">
        <f>_xlfn.XLOOKUP($A36,'08'!$G$3:$G$100,'08'!$R$3:$R$100,"-")</f>
        <v/>
      </c>
      <c r="K36" s="68">
        <f>_xlfn.XLOOKUP($A36,'09'!$G$3:$G$100,'09'!$R$3:$R$100,"-")</f>
        <v/>
      </c>
      <c r="L36" s="68">
        <f>_xlfn.XLOOKUP($A36,'10'!$G$3:$G$100,'10'!$R$3:$R$100,"-")</f>
        <v/>
      </c>
      <c r="M36" s="68">
        <f>_xlfn.XLOOKUP($A36,'11'!$G$3:$G$100,'11'!$R$3:$R$100,"-")</f>
        <v/>
      </c>
      <c r="N36" s="68">
        <f>_xlfn.XLOOKUP($A36,'12'!$G$3:$G$100,'12'!$R$3:$R$100,"-")</f>
        <v/>
      </c>
      <c r="O36" s="79">
        <f>SUM(C36:N36)</f>
        <v/>
      </c>
      <c r="P36" s="74" t="n"/>
      <c r="Q36" s="82" t="n">
        <v>34</v>
      </c>
      <c r="R36" s="38" t="n"/>
      <c r="S36" s="61" t="n">
        <v>0</v>
      </c>
      <c r="T36" s="68" t="n">
        <v>0</v>
      </c>
      <c r="U36" s="68" t="n">
        <v>0</v>
      </c>
      <c r="V36" s="68" t="n">
        <v>0</v>
      </c>
      <c r="W36" s="68" t="n">
        <v>0</v>
      </c>
      <c r="X36" s="68" t="n">
        <v>0</v>
      </c>
      <c r="Y36" s="68" t="n">
        <v>0</v>
      </c>
      <c r="Z36" s="68" t="n">
        <v>0</v>
      </c>
      <c r="AA36" s="68" t="n">
        <v>0</v>
      </c>
      <c r="AB36" s="68" t="n">
        <v>0</v>
      </c>
      <c r="AC36" s="68" t="n">
        <v>0</v>
      </c>
      <c r="AD36" s="68" t="n">
        <v>0</v>
      </c>
      <c r="AE36" s="68" t="n">
        <v>0</v>
      </c>
      <c r="AF36" s="79" t="n">
        <v>0</v>
      </c>
      <c r="AG36" s="74" t="n">
        <v>0</v>
      </c>
      <c r="AH36" s="82" t="n">
        <v>34</v>
      </c>
    </row>
    <row r="37" ht="18" customHeight="1">
      <c r="C37" s="68">
        <f>_xlfn.XLOOKUP($A37,'01'!$G$3:$G$100,'01'!$R$3:$R$100,"-")</f>
        <v/>
      </c>
      <c r="D37" s="68">
        <f>_xlfn.XLOOKUP($A37,'02'!$G$3:$G$100,'02'!$R$3:$R$100,"-")</f>
        <v/>
      </c>
      <c r="E37" s="68">
        <f>_xlfn.XLOOKUP($A37,'03'!$G$3:$G$100,'03'!$R$3:$R$100,"-")</f>
        <v/>
      </c>
      <c r="F37" s="68">
        <f>_xlfn.XLOOKUP($A37,'04'!$G$3:$G$100,'04'!$R$3:$R$100,"-")</f>
        <v/>
      </c>
      <c r="G37" s="68">
        <f>_xlfn.XLOOKUP($A37,'05'!$G$3:$G$100,'05'!$R$3:$R$100,"-")</f>
        <v/>
      </c>
      <c r="H37" s="68">
        <f>_xlfn.XLOOKUP($A37,'06'!$G$3:$G$100,'06'!$R$3:$R$100,"-")</f>
        <v/>
      </c>
      <c r="I37" s="68">
        <f>_xlfn.XLOOKUP($A37,'07'!$G$3:$G$100,'07'!$R$3:$R$100,"-")</f>
        <v/>
      </c>
      <c r="J37" s="68">
        <f>_xlfn.XLOOKUP($A37,'08'!$G$3:$G$100,'08'!$R$3:$R$100,"-")</f>
        <v/>
      </c>
      <c r="K37" s="68">
        <f>_xlfn.XLOOKUP($A37,'09'!$G$3:$G$100,'09'!$R$3:$R$100,"-")</f>
        <v/>
      </c>
      <c r="L37" s="68">
        <f>_xlfn.XLOOKUP($A37,'10'!$G$3:$G$100,'10'!$R$3:$R$100,"-")</f>
        <v/>
      </c>
      <c r="M37" s="68">
        <f>_xlfn.XLOOKUP($A37,'11'!$G$3:$G$100,'11'!$R$3:$R$100,"-")</f>
        <v/>
      </c>
      <c r="N37" s="68">
        <f>_xlfn.XLOOKUP($A37,'12'!$G$3:$G$100,'12'!$R$3:$R$100,"-")</f>
        <v/>
      </c>
      <c r="O37" s="79">
        <f>SUM(C37:N37)</f>
        <v/>
      </c>
      <c r="P37" s="74" t="n"/>
      <c r="Q37" s="83" t="n">
        <v>35</v>
      </c>
      <c r="R37" s="38" t="n"/>
      <c r="S37" s="61" t="n">
        <v>0</v>
      </c>
      <c r="T37" s="68" t="n">
        <v>0</v>
      </c>
      <c r="U37" s="68" t="n">
        <v>0</v>
      </c>
      <c r="V37" s="68" t="n">
        <v>0</v>
      </c>
      <c r="W37" s="68" t="n">
        <v>0</v>
      </c>
      <c r="X37" s="68" t="n">
        <v>0</v>
      </c>
      <c r="Y37" s="68" t="n">
        <v>0</v>
      </c>
      <c r="Z37" s="68" t="n">
        <v>0</v>
      </c>
      <c r="AA37" s="68" t="n">
        <v>0</v>
      </c>
      <c r="AB37" s="68" t="n">
        <v>0</v>
      </c>
      <c r="AC37" s="68" t="n">
        <v>0</v>
      </c>
      <c r="AD37" s="68" t="n">
        <v>0</v>
      </c>
      <c r="AE37" s="68" t="n">
        <v>0</v>
      </c>
      <c r="AF37" s="79" t="n">
        <v>0</v>
      </c>
      <c r="AG37" s="74" t="n">
        <v>0</v>
      </c>
      <c r="AH37" s="83" t="n">
        <v>35</v>
      </c>
    </row>
    <row r="38" ht="18" customHeight="1">
      <c r="C38" s="68">
        <f>_xlfn.XLOOKUP($A38,'01'!$G$3:$G$100,'01'!$R$3:$R$100,"-")</f>
        <v/>
      </c>
      <c r="D38" s="68">
        <f>_xlfn.XLOOKUP($A38,'02'!$G$3:$G$100,'02'!$R$3:$R$100,"-")</f>
        <v/>
      </c>
      <c r="E38" s="68">
        <f>_xlfn.XLOOKUP($A38,'03'!$G$3:$G$100,'03'!$R$3:$R$100,"-")</f>
        <v/>
      </c>
      <c r="F38" s="68">
        <f>_xlfn.XLOOKUP($A38,'04'!$G$3:$G$100,'04'!$R$3:$R$100,"-")</f>
        <v/>
      </c>
      <c r="G38" s="68">
        <f>_xlfn.XLOOKUP($A38,'05'!$G$3:$G$100,'05'!$R$3:$R$100,"-")</f>
        <v/>
      </c>
      <c r="H38" s="68">
        <f>_xlfn.XLOOKUP($A38,'06'!$G$3:$G$100,'06'!$R$3:$R$100,"-")</f>
        <v/>
      </c>
      <c r="I38" s="68">
        <f>_xlfn.XLOOKUP($A38,'07'!$G$3:$G$100,'07'!$R$3:$R$100,"-")</f>
        <v/>
      </c>
      <c r="J38" s="68">
        <f>_xlfn.XLOOKUP($A38,'08'!$G$3:$G$100,'08'!$R$3:$R$100,"-")</f>
        <v/>
      </c>
      <c r="K38" s="68">
        <f>_xlfn.XLOOKUP($A38,'09'!$G$3:$G$100,'09'!$R$3:$R$100,"-")</f>
        <v/>
      </c>
      <c r="L38" s="68">
        <f>_xlfn.XLOOKUP($A38,'10'!$G$3:$G$100,'10'!$R$3:$R$100,"-")</f>
        <v/>
      </c>
      <c r="M38" s="68">
        <f>_xlfn.XLOOKUP($A38,'11'!$G$3:$G$100,'11'!$R$3:$R$100,"-")</f>
        <v/>
      </c>
      <c r="N38" s="68">
        <f>_xlfn.XLOOKUP($A38,'12'!$G$3:$G$100,'12'!$R$3:$R$100,"-")</f>
        <v/>
      </c>
      <c r="O38" s="79">
        <f>SUM(C38:N38)</f>
        <v/>
      </c>
      <c r="P38" s="74" t="n"/>
      <c r="Q38" s="82" t="n">
        <v>36</v>
      </c>
      <c r="R38" s="38" t="n"/>
      <c r="S38" s="61" t="n">
        <v>0</v>
      </c>
      <c r="T38" s="68" t="n">
        <v>0</v>
      </c>
      <c r="U38" s="68" t="n">
        <v>0</v>
      </c>
      <c r="V38" s="68" t="n">
        <v>0</v>
      </c>
      <c r="W38" s="68" t="n">
        <v>0</v>
      </c>
      <c r="X38" s="68" t="n">
        <v>0</v>
      </c>
      <c r="Y38" s="68" t="n">
        <v>0</v>
      </c>
      <c r="Z38" s="68" t="n">
        <v>0</v>
      </c>
      <c r="AA38" s="68" t="n">
        <v>0</v>
      </c>
      <c r="AB38" s="68" t="n">
        <v>0</v>
      </c>
      <c r="AC38" s="68" t="n">
        <v>0</v>
      </c>
      <c r="AD38" s="68" t="n">
        <v>0</v>
      </c>
      <c r="AE38" s="68" t="n">
        <v>0</v>
      </c>
      <c r="AF38" s="79" t="n">
        <v>0</v>
      </c>
      <c r="AG38" s="74" t="n">
        <v>0</v>
      </c>
      <c r="AH38" s="82" t="n">
        <v>36</v>
      </c>
    </row>
    <row r="39" ht="18" customHeight="1">
      <c r="C39" s="68">
        <f>_xlfn.XLOOKUP($A39,'01'!$G$3:$G$100,'01'!$R$3:$R$100,"-")</f>
        <v/>
      </c>
      <c r="D39" s="68">
        <f>_xlfn.XLOOKUP($A39,'02'!$G$3:$G$100,'02'!$R$3:$R$100,"-")</f>
        <v/>
      </c>
      <c r="E39" s="68">
        <f>_xlfn.XLOOKUP($A39,'03'!$G$3:$G$100,'03'!$R$3:$R$100,"-")</f>
        <v/>
      </c>
      <c r="F39" s="68">
        <f>_xlfn.XLOOKUP($A39,'04'!$G$3:$G$100,'04'!$R$3:$R$100,"-")</f>
        <v/>
      </c>
      <c r="G39" s="68">
        <f>_xlfn.XLOOKUP($A39,'05'!$G$3:$G$100,'05'!$R$3:$R$100,"-")</f>
        <v/>
      </c>
      <c r="H39" s="68">
        <f>_xlfn.XLOOKUP($A39,'06'!$G$3:$G$100,'06'!$R$3:$R$100,"-")</f>
        <v/>
      </c>
      <c r="I39" s="68">
        <f>_xlfn.XLOOKUP($A39,'07'!$G$3:$G$100,'07'!$R$3:$R$100,"-")</f>
        <v/>
      </c>
      <c r="J39" s="68">
        <f>_xlfn.XLOOKUP($A39,'08'!$G$3:$G$100,'08'!$R$3:$R$100,"-")</f>
        <v/>
      </c>
      <c r="K39" s="68">
        <f>_xlfn.XLOOKUP($A39,'09'!$G$3:$G$100,'09'!$R$3:$R$100,"-")</f>
        <v/>
      </c>
      <c r="L39" s="68">
        <f>_xlfn.XLOOKUP($A39,'10'!$G$3:$G$100,'10'!$R$3:$R$100,"-")</f>
        <v/>
      </c>
      <c r="M39" s="68">
        <f>_xlfn.XLOOKUP($A39,'11'!$G$3:$G$100,'11'!$R$3:$R$100,"-")</f>
        <v/>
      </c>
      <c r="N39" s="68">
        <f>_xlfn.XLOOKUP($A39,'12'!$G$3:$G$100,'12'!$R$3:$R$100,"-")</f>
        <v/>
      </c>
      <c r="O39" s="79">
        <f>SUM(C39:N39)</f>
        <v/>
      </c>
      <c r="P39" s="74" t="n"/>
      <c r="Q39" s="82" t="n">
        <v>37</v>
      </c>
      <c r="R39" s="38" t="n"/>
      <c r="S39" s="61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79" t="n">
        <v>0</v>
      </c>
      <c r="AG39" s="74" t="n">
        <v>0</v>
      </c>
      <c r="AH39" s="82" t="n">
        <v>37</v>
      </c>
    </row>
    <row r="40" ht="18" customHeight="1">
      <c r="C40" s="68">
        <f>_xlfn.XLOOKUP($A40,'01'!$G$3:$G$100,'01'!$R$3:$R$100,"-")</f>
        <v/>
      </c>
      <c r="D40" s="68">
        <f>_xlfn.XLOOKUP($A40,'02'!$G$3:$G$100,'02'!$R$3:$R$100,"-")</f>
        <v/>
      </c>
      <c r="E40" s="68">
        <f>_xlfn.XLOOKUP($A40,'03'!$G$3:$G$100,'03'!$R$3:$R$100,"-")</f>
        <v/>
      </c>
      <c r="F40" s="68">
        <f>_xlfn.XLOOKUP($A40,'04'!$G$3:$G$100,'04'!$R$3:$R$100,"-")</f>
        <v/>
      </c>
      <c r="G40" s="68">
        <f>_xlfn.XLOOKUP($A40,'05'!$G$3:$G$100,'05'!$R$3:$R$100,"-")</f>
        <v/>
      </c>
      <c r="H40" s="68">
        <f>_xlfn.XLOOKUP($A40,'06'!$G$3:$G$100,'06'!$R$3:$R$100,"-")</f>
        <v/>
      </c>
      <c r="I40" s="68">
        <f>_xlfn.XLOOKUP($A40,'07'!$G$3:$G$100,'07'!$R$3:$R$100,"-")</f>
        <v/>
      </c>
      <c r="J40" s="68">
        <f>_xlfn.XLOOKUP($A40,'08'!$G$3:$G$100,'08'!$R$3:$R$100,"-")</f>
        <v/>
      </c>
      <c r="K40" s="68">
        <f>_xlfn.XLOOKUP($A40,'09'!$G$3:$G$100,'09'!$R$3:$R$100,"-")</f>
        <v/>
      </c>
      <c r="L40" s="68">
        <f>_xlfn.XLOOKUP($A40,'10'!$G$3:$G$100,'10'!$R$3:$R$100,"-")</f>
        <v/>
      </c>
      <c r="M40" s="68">
        <f>_xlfn.XLOOKUP($A40,'11'!$G$3:$G$100,'11'!$R$3:$R$100,"-")</f>
        <v/>
      </c>
      <c r="N40" s="68">
        <f>_xlfn.XLOOKUP($A40,'12'!$G$3:$G$100,'12'!$R$3:$R$100,"-")</f>
        <v/>
      </c>
      <c r="O40" s="79">
        <f>SUM(C40:N40)</f>
        <v/>
      </c>
      <c r="P40" s="74" t="n"/>
      <c r="Q40" s="82" t="n">
        <v>38</v>
      </c>
      <c r="R40" s="38" t="n"/>
      <c r="S40" s="61" t="n">
        <v>0</v>
      </c>
      <c r="T40" s="68" t="n">
        <v>0</v>
      </c>
      <c r="U40" s="68" t="n">
        <v>0</v>
      </c>
      <c r="V40" s="68" t="n">
        <v>0</v>
      </c>
      <c r="W40" s="68" t="n">
        <v>0</v>
      </c>
      <c r="X40" s="68" t="n">
        <v>0</v>
      </c>
      <c r="Y40" s="68" t="n">
        <v>0</v>
      </c>
      <c r="Z40" s="68" t="n">
        <v>0</v>
      </c>
      <c r="AA40" s="68" t="n">
        <v>0</v>
      </c>
      <c r="AB40" s="68" t="n">
        <v>0</v>
      </c>
      <c r="AC40" s="68" t="n">
        <v>0</v>
      </c>
      <c r="AD40" s="68" t="n">
        <v>0</v>
      </c>
      <c r="AE40" s="68" t="n">
        <v>0</v>
      </c>
      <c r="AF40" s="79" t="n">
        <v>0</v>
      </c>
      <c r="AG40" s="74" t="n">
        <v>0</v>
      </c>
      <c r="AH40" s="82" t="n">
        <v>38</v>
      </c>
    </row>
    <row r="41" ht="18" customHeight="1">
      <c r="C41" s="68">
        <f>_xlfn.XLOOKUP($A41,'01'!$G$3:$G$100,'01'!$R$3:$R$100,"-")</f>
        <v/>
      </c>
      <c r="D41" s="68">
        <f>_xlfn.XLOOKUP($A41,'02'!$G$3:$G$100,'02'!$R$3:$R$100,"-")</f>
        <v/>
      </c>
      <c r="E41" s="68">
        <f>_xlfn.XLOOKUP($A41,'03'!$G$3:$G$100,'03'!$R$3:$R$100,"-")</f>
        <v/>
      </c>
      <c r="F41" s="68">
        <f>_xlfn.XLOOKUP($A41,'04'!$G$3:$G$100,'04'!$R$3:$R$100,"-")</f>
        <v/>
      </c>
      <c r="G41" s="68">
        <f>_xlfn.XLOOKUP($A41,'05'!$G$3:$G$100,'05'!$R$3:$R$100,"-")</f>
        <v/>
      </c>
      <c r="H41" s="68">
        <f>_xlfn.XLOOKUP($A41,'06'!$G$3:$G$100,'06'!$R$3:$R$100,"-")</f>
        <v/>
      </c>
      <c r="I41" s="68">
        <f>_xlfn.XLOOKUP($A41,'07'!$G$3:$G$100,'07'!$R$3:$R$100,"-")</f>
        <v/>
      </c>
      <c r="J41" s="68">
        <f>_xlfn.XLOOKUP($A41,'08'!$G$3:$G$100,'08'!$R$3:$R$100,"-")</f>
        <v/>
      </c>
      <c r="K41" s="68">
        <f>_xlfn.XLOOKUP($A41,'09'!$G$3:$G$100,'09'!$R$3:$R$100,"-")</f>
        <v/>
      </c>
      <c r="L41" s="68">
        <f>_xlfn.XLOOKUP($A41,'10'!$G$3:$G$100,'10'!$R$3:$R$100,"-")</f>
        <v/>
      </c>
      <c r="M41" s="68">
        <f>_xlfn.XLOOKUP($A41,'11'!$G$3:$G$100,'11'!$R$3:$R$100,"-")</f>
        <v/>
      </c>
      <c r="N41" s="68">
        <f>_xlfn.XLOOKUP($A41,'12'!$G$3:$G$100,'12'!$R$3:$R$100,"-")</f>
        <v/>
      </c>
      <c r="O41" s="79">
        <f>SUM(C41:N41)</f>
        <v/>
      </c>
      <c r="P41" s="74" t="n"/>
      <c r="Q41" s="82" t="n">
        <v>39</v>
      </c>
      <c r="R41" s="38" t="n"/>
      <c r="S41" s="61" t="n">
        <v>0</v>
      </c>
      <c r="T41" s="68" t="n">
        <v>0</v>
      </c>
      <c r="U41" s="68" t="n">
        <v>0</v>
      </c>
      <c r="V41" s="68" t="n">
        <v>0</v>
      </c>
      <c r="W41" s="68" t="n">
        <v>0</v>
      </c>
      <c r="X41" s="68" t="n">
        <v>0</v>
      </c>
      <c r="Y41" s="68" t="n">
        <v>0</v>
      </c>
      <c r="Z41" s="68" t="n">
        <v>0</v>
      </c>
      <c r="AA41" s="68" t="n">
        <v>0</v>
      </c>
      <c r="AB41" s="68" t="n">
        <v>0</v>
      </c>
      <c r="AC41" s="68" t="n">
        <v>0</v>
      </c>
      <c r="AD41" s="68" t="n">
        <v>0</v>
      </c>
      <c r="AE41" s="68" t="n">
        <v>0</v>
      </c>
      <c r="AF41" s="79" t="n">
        <v>0</v>
      </c>
      <c r="AG41" s="74" t="n">
        <v>0</v>
      </c>
      <c r="AH41" s="82" t="n">
        <v>39</v>
      </c>
    </row>
    <row r="42" ht="18" customHeight="1">
      <c r="C42" s="68">
        <f>_xlfn.XLOOKUP($A42,'01'!$G$3:$G$100,'01'!$R$3:$R$100,"-")</f>
        <v/>
      </c>
      <c r="D42" s="68">
        <f>_xlfn.XLOOKUP($A42,'02'!$G$3:$G$100,'02'!$R$3:$R$100,"-")</f>
        <v/>
      </c>
      <c r="E42" s="68">
        <f>_xlfn.XLOOKUP($A42,'03'!$G$3:$G$100,'03'!$R$3:$R$100,"-")</f>
        <v/>
      </c>
      <c r="F42" s="68">
        <f>_xlfn.XLOOKUP($A42,'04'!$G$3:$G$100,'04'!$R$3:$R$100,"-")</f>
        <v/>
      </c>
      <c r="G42" s="68">
        <f>_xlfn.XLOOKUP($A42,'05'!$G$3:$G$100,'05'!$R$3:$R$100,"-")</f>
        <v/>
      </c>
      <c r="H42" s="68">
        <f>_xlfn.XLOOKUP($A42,'06'!$G$3:$G$100,'06'!$R$3:$R$100,"-")</f>
        <v/>
      </c>
      <c r="I42" s="68">
        <f>_xlfn.XLOOKUP($A42,'07'!$G$3:$G$100,'07'!$R$3:$R$100,"-")</f>
        <v/>
      </c>
      <c r="J42" s="68">
        <f>_xlfn.XLOOKUP($A42,'08'!$G$3:$G$100,'08'!$R$3:$R$100,"-")</f>
        <v/>
      </c>
      <c r="K42" s="68">
        <f>_xlfn.XLOOKUP($A42,'09'!$G$3:$G$100,'09'!$R$3:$R$100,"-")</f>
        <v/>
      </c>
      <c r="L42" s="68">
        <f>_xlfn.XLOOKUP($A42,'10'!$G$3:$G$100,'10'!$R$3:$R$100,"-")</f>
        <v/>
      </c>
      <c r="M42" s="68">
        <f>_xlfn.XLOOKUP($A42,'11'!$G$3:$G$100,'11'!$R$3:$R$100,"-")</f>
        <v/>
      </c>
      <c r="N42" s="68">
        <f>_xlfn.XLOOKUP($A42,'12'!$G$3:$G$100,'12'!$R$3:$R$100,"-")</f>
        <v/>
      </c>
      <c r="O42" s="79">
        <f>SUM(C42:N42)</f>
        <v/>
      </c>
      <c r="P42" s="74" t="n"/>
      <c r="Q42" s="82" t="n">
        <v>40</v>
      </c>
      <c r="R42" s="38" t="n"/>
      <c r="S42" s="61" t="n">
        <v>0</v>
      </c>
      <c r="T42" s="68" t="n">
        <v>0</v>
      </c>
      <c r="U42" s="68" t="n">
        <v>0</v>
      </c>
      <c r="V42" s="68" t="n">
        <v>0</v>
      </c>
      <c r="W42" s="68" t="n">
        <v>0</v>
      </c>
      <c r="X42" s="68" t="n">
        <v>0</v>
      </c>
      <c r="Y42" s="68" t="n">
        <v>0</v>
      </c>
      <c r="Z42" s="68" t="n">
        <v>0</v>
      </c>
      <c r="AA42" s="68" t="n">
        <v>0</v>
      </c>
      <c r="AB42" s="68" t="n">
        <v>0</v>
      </c>
      <c r="AC42" s="68" t="n">
        <v>0</v>
      </c>
      <c r="AD42" s="68" t="n">
        <v>0</v>
      </c>
      <c r="AE42" s="68" t="n">
        <v>0</v>
      </c>
      <c r="AF42" s="79" t="n">
        <v>0</v>
      </c>
      <c r="AG42" s="74" t="n">
        <v>0</v>
      </c>
      <c r="AH42" s="82" t="n">
        <v>40</v>
      </c>
    </row>
    <row r="43" ht="18" customHeight="1">
      <c r="C43" s="68">
        <f>_xlfn.XLOOKUP($A43,'01'!$G$3:$G$100,'01'!$R$3:$R$100,"-")</f>
        <v/>
      </c>
      <c r="D43" s="68">
        <f>_xlfn.XLOOKUP($A43,'02'!$G$3:$G$100,'02'!$R$3:$R$100,"-")</f>
        <v/>
      </c>
      <c r="E43" s="68">
        <f>_xlfn.XLOOKUP($A43,'03'!$G$3:$G$100,'03'!$R$3:$R$100,"-")</f>
        <v/>
      </c>
      <c r="F43" s="68">
        <f>_xlfn.XLOOKUP($A43,'04'!$G$3:$G$100,'04'!$R$3:$R$100,"-")</f>
        <v/>
      </c>
      <c r="G43" s="68">
        <f>_xlfn.XLOOKUP($A43,'05'!$G$3:$G$100,'05'!$R$3:$R$100,"-")</f>
        <v/>
      </c>
      <c r="H43" s="68">
        <f>_xlfn.XLOOKUP($A43,'06'!$G$3:$G$100,'06'!$R$3:$R$100,"-")</f>
        <v/>
      </c>
      <c r="I43" s="68">
        <f>_xlfn.XLOOKUP($A43,'07'!$G$3:$G$100,'07'!$R$3:$R$100,"-")</f>
        <v/>
      </c>
      <c r="J43" s="68">
        <f>_xlfn.XLOOKUP($A43,'08'!$G$3:$G$100,'08'!$R$3:$R$100,"-")</f>
        <v/>
      </c>
      <c r="K43" s="68">
        <f>_xlfn.XLOOKUP($A43,'09'!$G$3:$G$100,'09'!$R$3:$R$100,"-")</f>
        <v/>
      </c>
      <c r="L43" s="68">
        <f>_xlfn.XLOOKUP($A43,'10'!$G$3:$G$100,'10'!$R$3:$R$100,"-")</f>
        <v/>
      </c>
      <c r="M43" s="68">
        <f>_xlfn.XLOOKUP($A43,'11'!$G$3:$G$100,'11'!$R$3:$R$100,"-")</f>
        <v/>
      </c>
      <c r="N43" s="68">
        <f>_xlfn.XLOOKUP($A43,'12'!$G$3:$G$100,'12'!$R$3:$R$100,"-")</f>
        <v/>
      </c>
      <c r="O43" s="79">
        <f>SUM(C43:N43)</f>
        <v/>
      </c>
      <c r="P43" s="74" t="n"/>
      <c r="Q43" s="82" t="n">
        <v>41</v>
      </c>
      <c r="R43" s="38" t="n"/>
      <c r="S43" s="61" t="n">
        <v>0</v>
      </c>
      <c r="T43" s="68" t="n">
        <v>0</v>
      </c>
      <c r="U43" s="68" t="n">
        <v>0</v>
      </c>
      <c r="V43" s="68" t="n">
        <v>0</v>
      </c>
      <c r="W43" s="68" t="n">
        <v>0</v>
      </c>
      <c r="X43" s="68" t="n">
        <v>0</v>
      </c>
      <c r="Y43" s="68" t="n">
        <v>0</v>
      </c>
      <c r="Z43" s="68" t="n">
        <v>0</v>
      </c>
      <c r="AA43" s="68" t="n">
        <v>0</v>
      </c>
      <c r="AB43" s="68" t="n">
        <v>0</v>
      </c>
      <c r="AC43" s="68" t="n">
        <v>0</v>
      </c>
      <c r="AD43" s="68" t="n">
        <v>0</v>
      </c>
      <c r="AE43" s="68" t="n">
        <v>0</v>
      </c>
      <c r="AF43" s="79" t="n">
        <v>0</v>
      </c>
      <c r="AG43" s="74" t="n">
        <v>0</v>
      </c>
      <c r="AH43" s="82" t="n">
        <v>41</v>
      </c>
    </row>
    <row r="44" ht="18" customHeight="1">
      <c r="C44" s="68">
        <f>_xlfn.XLOOKUP($A44,'01'!$G$3:$G$100,'01'!$R$3:$R$100,"-")</f>
        <v/>
      </c>
      <c r="D44" s="68">
        <f>_xlfn.XLOOKUP($A44,'02'!$G$3:$G$100,'02'!$R$3:$R$100,"-")</f>
        <v/>
      </c>
      <c r="E44" s="68">
        <f>_xlfn.XLOOKUP($A44,'03'!$G$3:$G$100,'03'!$R$3:$R$100,"-")</f>
        <v/>
      </c>
      <c r="F44" s="68">
        <f>_xlfn.XLOOKUP($A44,'04'!$G$3:$G$100,'04'!$R$3:$R$100,"-")</f>
        <v/>
      </c>
      <c r="G44" s="68">
        <f>_xlfn.XLOOKUP($A44,'05'!$G$3:$G$100,'05'!$R$3:$R$100,"-")</f>
        <v/>
      </c>
      <c r="H44" s="68">
        <f>_xlfn.XLOOKUP($A44,'06'!$G$3:$G$100,'06'!$R$3:$R$100,"-")</f>
        <v/>
      </c>
      <c r="I44" s="68">
        <f>_xlfn.XLOOKUP($A44,'07'!$G$3:$G$100,'07'!$R$3:$R$100,"-")</f>
        <v/>
      </c>
      <c r="J44" s="68">
        <f>_xlfn.XLOOKUP($A44,'08'!$G$3:$G$100,'08'!$R$3:$R$100,"-")</f>
        <v/>
      </c>
      <c r="K44" s="68">
        <f>_xlfn.XLOOKUP($A44,'09'!$G$3:$G$100,'09'!$R$3:$R$100,"-")</f>
        <v/>
      </c>
      <c r="L44" s="68">
        <f>_xlfn.XLOOKUP($A44,'10'!$G$3:$G$100,'10'!$R$3:$R$100,"-")</f>
        <v/>
      </c>
      <c r="M44" s="68">
        <f>_xlfn.XLOOKUP($A44,'11'!$G$3:$G$100,'11'!$R$3:$R$100,"-")</f>
        <v/>
      </c>
      <c r="N44" s="68">
        <f>_xlfn.XLOOKUP($A44,'12'!$G$3:$G$100,'12'!$R$3:$R$100,"-")</f>
        <v/>
      </c>
      <c r="O44" s="79">
        <f>SUM(C44:N44)</f>
        <v/>
      </c>
      <c r="P44" s="74" t="n"/>
      <c r="Q44" s="82" t="n">
        <v>42</v>
      </c>
      <c r="R44" s="38" t="n"/>
      <c r="S44" s="61" t="n">
        <v>0</v>
      </c>
      <c r="T44" s="68" t="n">
        <v>0</v>
      </c>
      <c r="U44" s="68" t="n">
        <v>0</v>
      </c>
      <c r="V44" s="68" t="n">
        <v>0</v>
      </c>
      <c r="W44" s="68" t="n">
        <v>0</v>
      </c>
      <c r="X44" s="68" t="n">
        <v>0</v>
      </c>
      <c r="Y44" s="68" t="n">
        <v>0</v>
      </c>
      <c r="Z44" s="68" t="n">
        <v>0</v>
      </c>
      <c r="AA44" s="68" t="n">
        <v>0</v>
      </c>
      <c r="AB44" s="68" t="n">
        <v>0</v>
      </c>
      <c r="AC44" s="68" t="n">
        <v>0</v>
      </c>
      <c r="AD44" s="68" t="n">
        <v>0</v>
      </c>
      <c r="AE44" s="68" t="n">
        <v>0</v>
      </c>
      <c r="AF44" s="79" t="n">
        <v>0</v>
      </c>
      <c r="AG44" s="74" t="n">
        <v>0</v>
      </c>
      <c r="AH44" s="82" t="n">
        <v>42</v>
      </c>
    </row>
    <row r="45" ht="18" customHeight="1">
      <c r="C45" s="68">
        <f>_xlfn.XLOOKUP($A45,'01'!$G$3:$G$100,'01'!$R$3:$R$100,"-")</f>
        <v/>
      </c>
      <c r="D45" s="68">
        <f>_xlfn.XLOOKUP($A45,'02'!$G$3:$G$100,'02'!$R$3:$R$100,"-")</f>
        <v/>
      </c>
      <c r="E45" s="68">
        <f>_xlfn.XLOOKUP($A45,'03'!$G$3:$G$100,'03'!$R$3:$R$100,"-")</f>
        <v/>
      </c>
      <c r="F45" s="68">
        <f>_xlfn.XLOOKUP($A45,'04'!$G$3:$G$100,'04'!$R$3:$R$100,"-")</f>
        <v/>
      </c>
      <c r="G45" s="68">
        <f>_xlfn.XLOOKUP($A45,'05'!$G$3:$G$100,'05'!$R$3:$R$100,"-")</f>
        <v/>
      </c>
      <c r="H45" s="68">
        <f>_xlfn.XLOOKUP($A45,'06'!$G$3:$G$100,'06'!$R$3:$R$100,"-")</f>
        <v/>
      </c>
      <c r="I45" s="68">
        <f>_xlfn.XLOOKUP($A45,'07'!$G$3:$G$100,'07'!$R$3:$R$100,"-")</f>
        <v/>
      </c>
      <c r="J45" s="68">
        <f>_xlfn.XLOOKUP($A45,'08'!$G$3:$G$100,'08'!$R$3:$R$100,"-")</f>
        <v/>
      </c>
      <c r="K45" s="68">
        <f>_xlfn.XLOOKUP($A45,'09'!$G$3:$G$100,'09'!$R$3:$R$100,"-")</f>
        <v/>
      </c>
      <c r="L45" s="68">
        <f>_xlfn.XLOOKUP($A45,'10'!$G$3:$G$100,'10'!$R$3:$R$100,"-")</f>
        <v/>
      </c>
      <c r="M45" s="68">
        <f>_xlfn.XLOOKUP($A45,'11'!$G$3:$G$100,'11'!$R$3:$R$100,"-")</f>
        <v/>
      </c>
      <c r="N45" s="68">
        <f>_xlfn.XLOOKUP($A45,'12'!$G$3:$G$100,'12'!$R$3:$R$100,"-")</f>
        <v/>
      </c>
      <c r="O45" s="79">
        <f>SUM(C45:N45)</f>
        <v/>
      </c>
      <c r="P45" s="74" t="n"/>
      <c r="Q45" s="82" t="n">
        <v>43</v>
      </c>
      <c r="R45" s="38" t="n"/>
      <c r="S45" s="61" t="n">
        <v>0</v>
      </c>
      <c r="T45" s="68" t="n">
        <v>0</v>
      </c>
      <c r="U45" s="68" t="n">
        <v>0</v>
      </c>
      <c r="V45" s="68" t="n">
        <v>0</v>
      </c>
      <c r="W45" s="68" t="n">
        <v>0</v>
      </c>
      <c r="X45" s="68" t="n">
        <v>0</v>
      </c>
      <c r="Y45" s="68" t="n">
        <v>0</v>
      </c>
      <c r="Z45" s="68" t="n">
        <v>0</v>
      </c>
      <c r="AA45" s="68" t="n">
        <v>0</v>
      </c>
      <c r="AB45" s="68" t="n">
        <v>0</v>
      </c>
      <c r="AC45" s="68" t="n">
        <v>0</v>
      </c>
      <c r="AD45" s="68" t="n">
        <v>0</v>
      </c>
      <c r="AE45" s="68" t="n">
        <v>0</v>
      </c>
      <c r="AF45" s="79" t="n">
        <v>0</v>
      </c>
      <c r="AG45" s="74" t="n">
        <v>0</v>
      </c>
      <c r="AH45" s="82" t="n">
        <v>43</v>
      </c>
    </row>
    <row r="46" ht="18" customHeight="1">
      <c r="C46" s="68">
        <f>_xlfn.XLOOKUP($A46,'01'!$G$3:$G$100,'01'!$R$3:$R$100,"-")</f>
        <v/>
      </c>
      <c r="D46" s="68">
        <f>_xlfn.XLOOKUP($A46,'02'!$G$3:$G$100,'02'!$R$3:$R$100,"-")</f>
        <v/>
      </c>
      <c r="E46" s="68">
        <f>_xlfn.XLOOKUP($A46,'03'!$G$3:$G$100,'03'!$R$3:$R$100,"-")</f>
        <v/>
      </c>
      <c r="F46" s="68">
        <f>_xlfn.XLOOKUP($A46,'04'!$G$3:$G$100,'04'!$R$3:$R$100,"-")</f>
        <v/>
      </c>
      <c r="G46" s="68">
        <f>_xlfn.XLOOKUP($A46,'05'!$G$3:$G$100,'05'!$R$3:$R$100,"-")</f>
        <v/>
      </c>
      <c r="H46" s="68">
        <f>_xlfn.XLOOKUP($A46,'06'!$G$3:$G$100,'06'!$R$3:$R$100,"-")</f>
        <v/>
      </c>
      <c r="I46" s="68">
        <f>_xlfn.XLOOKUP($A46,'07'!$G$3:$G$100,'07'!$R$3:$R$100,"-")</f>
        <v/>
      </c>
      <c r="J46" s="68">
        <f>_xlfn.XLOOKUP($A46,'08'!$G$3:$G$100,'08'!$R$3:$R$100,"-")</f>
        <v/>
      </c>
      <c r="K46" s="68">
        <f>_xlfn.XLOOKUP($A46,'09'!$G$3:$G$100,'09'!$R$3:$R$100,"-")</f>
        <v/>
      </c>
      <c r="L46" s="68">
        <f>_xlfn.XLOOKUP($A46,'10'!$G$3:$G$100,'10'!$R$3:$R$100,"-")</f>
        <v/>
      </c>
      <c r="M46" s="68">
        <f>_xlfn.XLOOKUP($A46,'11'!$G$3:$G$100,'11'!$R$3:$R$100,"-")</f>
        <v/>
      </c>
      <c r="N46" s="68">
        <f>_xlfn.XLOOKUP($A46,'12'!$G$3:$G$100,'12'!$R$3:$R$100,"-")</f>
        <v/>
      </c>
      <c r="O46" s="79">
        <f>SUM(C46:N46)</f>
        <v/>
      </c>
      <c r="P46" s="74" t="n"/>
      <c r="Q46" s="82" t="n">
        <v>44</v>
      </c>
      <c r="R46" s="38" t="n"/>
      <c r="S46" s="61" t="n">
        <v>0</v>
      </c>
      <c r="T46" s="68" t="n">
        <v>0</v>
      </c>
      <c r="U46" s="68" t="n">
        <v>0</v>
      </c>
      <c r="V46" s="68" t="n">
        <v>0</v>
      </c>
      <c r="W46" s="68" t="n">
        <v>0</v>
      </c>
      <c r="X46" s="68" t="n">
        <v>0</v>
      </c>
      <c r="Y46" s="68" t="n">
        <v>0</v>
      </c>
      <c r="Z46" s="68" t="n">
        <v>0</v>
      </c>
      <c r="AA46" s="68" t="n">
        <v>0</v>
      </c>
      <c r="AB46" s="68" t="n">
        <v>0</v>
      </c>
      <c r="AC46" s="68" t="n">
        <v>0</v>
      </c>
      <c r="AD46" s="68" t="n">
        <v>0</v>
      </c>
      <c r="AE46" s="68" t="n">
        <v>0</v>
      </c>
      <c r="AF46" s="79" t="n">
        <v>0</v>
      </c>
      <c r="AG46" s="74" t="n">
        <v>0</v>
      </c>
      <c r="AH46" s="82" t="n">
        <v>44</v>
      </c>
    </row>
    <row r="47" ht="18" customHeight="1">
      <c r="C47" s="68">
        <f>_xlfn.XLOOKUP($A47,'01'!$G$3:$G$100,'01'!$R$3:$R$100,"-")</f>
        <v/>
      </c>
      <c r="D47" s="68">
        <f>_xlfn.XLOOKUP($A47,'02'!$G$3:$G$100,'02'!$R$3:$R$100,"-")</f>
        <v/>
      </c>
      <c r="E47" s="68">
        <f>_xlfn.XLOOKUP($A47,'03'!$G$3:$G$100,'03'!$R$3:$R$100,"-")</f>
        <v/>
      </c>
      <c r="F47" s="68">
        <f>_xlfn.XLOOKUP($A47,'04'!$G$3:$G$100,'04'!$R$3:$R$100,"-")</f>
        <v/>
      </c>
      <c r="G47" s="68">
        <f>_xlfn.XLOOKUP($A47,'05'!$G$3:$G$100,'05'!$R$3:$R$100,"-")</f>
        <v/>
      </c>
      <c r="H47" s="68">
        <f>_xlfn.XLOOKUP($A47,'06'!$G$3:$G$100,'06'!$R$3:$R$100,"-")</f>
        <v/>
      </c>
      <c r="I47" s="68">
        <f>_xlfn.XLOOKUP($A47,'07'!$G$3:$G$100,'07'!$R$3:$R$100,"-")</f>
        <v/>
      </c>
      <c r="J47" s="68">
        <f>_xlfn.XLOOKUP($A47,'08'!$G$3:$G$100,'08'!$R$3:$R$100,"-")</f>
        <v/>
      </c>
      <c r="K47" s="68">
        <f>_xlfn.XLOOKUP($A47,'09'!$G$3:$G$100,'09'!$R$3:$R$100,"-")</f>
        <v/>
      </c>
      <c r="L47" s="68">
        <f>_xlfn.XLOOKUP($A47,'10'!$G$3:$G$100,'10'!$R$3:$R$100,"-")</f>
        <v/>
      </c>
      <c r="M47" s="68">
        <f>_xlfn.XLOOKUP($A47,'11'!$G$3:$G$100,'11'!$R$3:$R$100,"-")</f>
        <v/>
      </c>
      <c r="N47" s="68">
        <f>_xlfn.XLOOKUP($A47,'12'!$G$3:$G$100,'12'!$R$3:$R$100,"-")</f>
        <v/>
      </c>
      <c r="O47" s="79">
        <f>SUM(C47:N47)</f>
        <v/>
      </c>
      <c r="P47" s="74" t="n"/>
      <c r="Q47" s="83" t="n">
        <v>45</v>
      </c>
      <c r="R47" s="38" t="n"/>
      <c r="S47" s="61" t="n">
        <v>0</v>
      </c>
      <c r="T47" s="68" t="n">
        <v>0</v>
      </c>
      <c r="U47" s="68" t="n">
        <v>0</v>
      </c>
      <c r="V47" s="68" t="n">
        <v>0</v>
      </c>
      <c r="W47" s="68" t="n">
        <v>0</v>
      </c>
      <c r="X47" s="68" t="n">
        <v>0</v>
      </c>
      <c r="Y47" s="68" t="n">
        <v>0</v>
      </c>
      <c r="Z47" s="68" t="n">
        <v>0</v>
      </c>
      <c r="AA47" s="68" t="n">
        <v>0</v>
      </c>
      <c r="AB47" s="68" t="n">
        <v>0</v>
      </c>
      <c r="AC47" s="68" t="n">
        <v>0</v>
      </c>
      <c r="AD47" s="68" t="n">
        <v>0</v>
      </c>
      <c r="AE47" s="68" t="n">
        <v>0</v>
      </c>
      <c r="AF47" s="79" t="n">
        <v>0</v>
      </c>
      <c r="AG47" s="74" t="n">
        <v>0</v>
      </c>
      <c r="AH47" s="83" t="n">
        <v>45</v>
      </c>
    </row>
    <row r="48" ht="18" customHeight="1">
      <c r="C48" s="68">
        <f>_xlfn.XLOOKUP($A48,'01'!$G$3:$G$100,'01'!$R$3:$R$100,"-")</f>
        <v/>
      </c>
      <c r="D48" s="68">
        <f>_xlfn.XLOOKUP($A48,'02'!$G$3:$G$100,'02'!$R$3:$R$100,"-")</f>
        <v/>
      </c>
      <c r="E48" s="68">
        <f>_xlfn.XLOOKUP($A48,'03'!$G$3:$G$100,'03'!$R$3:$R$100,"-")</f>
        <v/>
      </c>
      <c r="F48" s="68">
        <f>_xlfn.XLOOKUP($A48,'04'!$G$3:$G$100,'04'!$R$3:$R$100,"-")</f>
        <v/>
      </c>
      <c r="G48" s="68">
        <f>_xlfn.XLOOKUP($A48,'05'!$G$3:$G$100,'05'!$R$3:$R$100,"-")</f>
        <v/>
      </c>
      <c r="H48" s="68">
        <f>_xlfn.XLOOKUP($A48,'06'!$G$3:$G$100,'06'!$R$3:$R$100,"-")</f>
        <v/>
      </c>
      <c r="I48" s="68">
        <f>_xlfn.XLOOKUP($A48,'07'!$G$3:$G$100,'07'!$R$3:$R$100,"-")</f>
        <v/>
      </c>
      <c r="J48" s="68">
        <f>_xlfn.XLOOKUP($A48,'08'!$G$3:$G$100,'08'!$R$3:$R$100,"-")</f>
        <v/>
      </c>
      <c r="K48" s="68">
        <f>_xlfn.XLOOKUP($A48,'09'!$G$3:$G$100,'09'!$R$3:$R$100,"-")</f>
        <v/>
      </c>
      <c r="L48" s="68">
        <f>_xlfn.XLOOKUP($A48,'10'!$G$3:$G$100,'10'!$R$3:$R$100,"-")</f>
        <v/>
      </c>
      <c r="M48" s="68">
        <f>_xlfn.XLOOKUP($A48,'11'!$G$3:$G$100,'11'!$R$3:$R$100,"-")</f>
        <v/>
      </c>
      <c r="N48" s="68">
        <f>_xlfn.XLOOKUP($A48,'12'!$G$3:$G$100,'12'!$R$3:$R$100,"-")</f>
        <v/>
      </c>
      <c r="O48" s="79">
        <f>SUM(C48:N48)</f>
        <v/>
      </c>
      <c r="P48" s="74" t="n"/>
      <c r="Q48" s="82" t="n">
        <v>46</v>
      </c>
      <c r="R48" s="38" t="n"/>
      <c r="S48" s="61" t="n">
        <v>0</v>
      </c>
      <c r="T48" s="68" t="n">
        <v>0</v>
      </c>
      <c r="U48" s="68" t="n">
        <v>0</v>
      </c>
      <c r="V48" s="68" t="n">
        <v>0</v>
      </c>
      <c r="W48" s="68" t="n">
        <v>0</v>
      </c>
      <c r="X48" s="68" t="n">
        <v>0</v>
      </c>
      <c r="Y48" s="68" t="n">
        <v>0</v>
      </c>
      <c r="Z48" s="68" t="n">
        <v>0</v>
      </c>
      <c r="AA48" s="68" t="n">
        <v>0</v>
      </c>
      <c r="AB48" s="68" t="n">
        <v>0</v>
      </c>
      <c r="AC48" s="68" t="n">
        <v>0</v>
      </c>
      <c r="AD48" s="68" t="n">
        <v>0</v>
      </c>
      <c r="AE48" s="68" t="n">
        <v>0</v>
      </c>
      <c r="AF48" s="79" t="n">
        <v>0</v>
      </c>
      <c r="AG48" s="74" t="n">
        <v>0</v>
      </c>
      <c r="AH48" s="82" t="n">
        <v>46</v>
      </c>
    </row>
    <row r="49" ht="18" customHeight="1">
      <c r="C49" s="68">
        <f>_xlfn.XLOOKUP($A49,'01'!$G$3:$G$100,'01'!$R$3:$R$100,"-")</f>
        <v/>
      </c>
      <c r="D49" s="68">
        <f>_xlfn.XLOOKUP($A49,'02'!$G$3:$G$100,'02'!$R$3:$R$100,"-")</f>
        <v/>
      </c>
      <c r="E49" s="68">
        <f>_xlfn.XLOOKUP($A49,'03'!$G$3:$G$100,'03'!$R$3:$R$100,"-")</f>
        <v/>
      </c>
      <c r="F49" s="68">
        <f>_xlfn.XLOOKUP($A49,'04'!$G$3:$G$100,'04'!$R$3:$R$100,"-")</f>
        <v/>
      </c>
      <c r="G49" s="68">
        <f>_xlfn.XLOOKUP($A49,'05'!$G$3:$G$100,'05'!$R$3:$R$100,"-")</f>
        <v/>
      </c>
      <c r="H49" s="68">
        <f>_xlfn.XLOOKUP($A49,'06'!$G$3:$G$100,'06'!$R$3:$R$100,"-")</f>
        <v/>
      </c>
      <c r="I49" s="68">
        <f>_xlfn.XLOOKUP($A49,'07'!$G$3:$G$100,'07'!$R$3:$R$100,"-")</f>
        <v/>
      </c>
      <c r="J49" s="68">
        <f>_xlfn.XLOOKUP($A49,'08'!$G$3:$G$100,'08'!$R$3:$R$100,"-")</f>
        <v/>
      </c>
      <c r="K49" s="68">
        <f>_xlfn.XLOOKUP($A49,'09'!$G$3:$G$100,'09'!$R$3:$R$100,"-")</f>
        <v/>
      </c>
      <c r="L49" s="68">
        <f>_xlfn.XLOOKUP($A49,'10'!$G$3:$G$100,'10'!$R$3:$R$100,"-")</f>
        <v/>
      </c>
      <c r="M49" s="68">
        <f>_xlfn.XLOOKUP($A49,'11'!$G$3:$G$100,'11'!$R$3:$R$100,"-")</f>
        <v/>
      </c>
      <c r="N49" s="68">
        <f>_xlfn.XLOOKUP($A49,'12'!$G$3:$G$100,'12'!$R$3:$R$100,"-")</f>
        <v/>
      </c>
      <c r="O49" s="79">
        <f>SUM(C49:N49)</f>
        <v/>
      </c>
      <c r="P49" s="74" t="n"/>
      <c r="Q49" s="82" t="n">
        <v>47</v>
      </c>
      <c r="R49" s="38" t="n"/>
      <c r="S49" s="61" t="n">
        <v>0</v>
      </c>
      <c r="T49" s="68" t="n">
        <v>0</v>
      </c>
      <c r="U49" s="68" t="n">
        <v>0</v>
      </c>
      <c r="V49" s="68" t="n">
        <v>0</v>
      </c>
      <c r="W49" s="68" t="n">
        <v>0</v>
      </c>
      <c r="X49" s="68" t="n">
        <v>0</v>
      </c>
      <c r="Y49" s="68" t="n">
        <v>0</v>
      </c>
      <c r="Z49" s="68" t="n">
        <v>0</v>
      </c>
      <c r="AA49" s="68" t="n">
        <v>0</v>
      </c>
      <c r="AB49" s="68" t="n">
        <v>0</v>
      </c>
      <c r="AC49" s="68" t="n">
        <v>0</v>
      </c>
      <c r="AD49" s="68" t="n">
        <v>0</v>
      </c>
      <c r="AE49" s="68" t="n">
        <v>0</v>
      </c>
      <c r="AF49" s="79" t="n">
        <v>0</v>
      </c>
      <c r="AG49" s="74" t="n">
        <v>0</v>
      </c>
      <c r="AH49" s="82" t="n">
        <v>47</v>
      </c>
    </row>
    <row r="50" ht="18" customHeight="1">
      <c r="C50" s="68">
        <f>_xlfn.XLOOKUP($A50,'01'!$G$3:$G$100,'01'!$R$3:$R$100,"-")</f>
        <v/>
      </c>
      <c r="D50" s="68">
        <f>_xlfn.XLOOKUP($A50,'02'!$G$3:$G$100,'02'!$R$3:$R$100,"-")</f>
        <v/>
      </c>
      <c r="E50" s="68">
        <f>_xlfn.XLOOKUP($A50,'03'!$G$3:$G$100,'03'!$R$3:$R$100,"-")</f>
        <v/>
      </c>
      <c r="F50" s="68">
        <f>_xlfn.XLOOKUP($A50,'04'!$G$3:$G$100,'04'!$R$3:$R$100,"-")</f>
        <v/>
      </c>
      <c r="G50" s="68">
        <f>_xlfn.XLOOKUP($A50,'05'!$G$3:$G$100,'05'!$R$3:$R$100,"-")</f>
        <v/>
      </c>
      <c r="H50" s="68">
        <f>_xlfn.XLOOKUP($A50,'06'!$G$3:$G$100,'06'!$R$3:$R$100,"-")</f>
        <v/>
      </c>
      <c r="I50" s="68">
        <f>_xlfn.XLOOKUP($A50,'07'!$G$3:$G$100,'07'!$R$3:$R$100,"-")</f>
        <v/>
      </c>
      <c r="J50" s="68">
        <f>_xlfn.XLOOKUP($A50,'08'!$G$3:$G$100,'08'!$R$3:$R$100,"-")</f>
        <v/>
      </c>
      <c r="K50" s="68">
        <f>_xlfn.XLOOKUP($A50,'09'!$G$3:$G$100,'09'!$R$3:$R$100,"-")</f>
        <v/>
      </c>
      <c r="L50" s="68">
        <f>_xlfn.XLOOKUP($A50,'10'!$G$3:$G$100,'10'!$R$3:$R$100,"-")</f>
        <v/>
      </c>
      <c r="M50" s="68">
        <f>_xlfn.XLOOKUP($A50,'11'!$G$3:$G$100,'11'!$R$3:$R$100,"-")</f>
        <v/>
      </c>
      <c r="N50" s="68">
        <f>_xlfn.XLOOKUP($A50,'12'!$G$3:$G$100,'12'!$R$3:$R$100,"-")</f>
        <v/>
      </c>
      <c r="O50" s="79">
        <f>SUM(C50:N50)</f>
        <v/>
      </c>
      <c r="P50" s="74" t="n"/>
      <c r="Q50" s="82" t="n">
        <v>48</v>
      </c>
      <c r="R50" s="38" t="n"/>
      <c r="S50" s="61" t="n">
        <v>0</v>
      </c>
      <c r="T50" s="68" t="n">
        <v>0</v>
      </c>
      <c r="U50" s="68" t="n">
        <v>0</v>
      </c>
      <c r="V50" s="68" t="n">
        <v>0</v>
      </c>
      <c r="W50" s="68" t="n">
        <v>0</v>
      </c>
      <c r="X50" s="68" t="n">
        <v>0</v>
      </c>
      <c r="Y50" s="68" t="n">
        <v>0</v>
      </c>
      <c r="Z50" s="68" t="n">
        <v>0</v>
      </c>
      <c r="AA50" s="68" t="n">
        <v>0</v>
      </c>
      <c r="AB50" s="68" t="n">
        <v>0</v>
      </c>
      <c r="AC50" s="68" t="n">
        <v>0</v>
      </c>
      <c r="AD50" s="68" t="n">
        <v>0</v>
      </c>
      <c r="AE50" s="68" t="n">
        <v>0</v>
      </c>
      <c r="AF50" s="79" t="n">
        <v>0</v>
      </c>
      <c r="AG50" s="74" t="n">
        <v>0</v>
      </c>
      <c r="AH50" s="82" t="n">
        <v>48</v>
      </c>
    </row>
    <row r="51" ht="18" customHeight="1">
      <c r="C51" s="68">
        <f>_xlfn.XLOOKUP($A51,'01'!$G$3:$G$100,'01'!$R$3:$R$100,"-")</f>
        <v/>
      </c>
      <c r="D51" s="68">
        <f>_xlfn.XLOOKUP($A51,'02'!$G$3:$G$100,'02'!$R$3:$R$100,"-")</f>
        <v/>
      </c>
      <c r="E51" s="68">
        <f>_xlfn.XLOOKUP($A51,'03'!$G$3:$G$100,'03'!$R$3:$R$100,"-")</f>
        <v/>
      </c>
      <c r="F51" s="68">
        <f>_xlfn.XLOOKUP($A51,'04'!$G$3:$G$100,'04'!$R$3:$R$100,"-")</f>
        <v/>
      </c>
      <c r="G51" s="68">
        <f>_xlfn.XLOOKUP($A51,'05'!$G$3:$G$100,'05'!$R$3:$R$100,"-")</f>
        <v/>
      </c>
      <c r="H51" s="68">
        <f>_xlfn.XLOOKUP($A51,'06'!$G$3:$G$100,'06'!$R$3:$R$100,"-")</f>
        <v/>
      </c>
      <c r="I51" s="68">
        <f>_xlfn.XLOOKUP($A51,'07'!$G$3:$G$100,'07'!$R$3:$R$100,"-")</f>
        <v/>
      </c>
      <c r="J51" s="68">
        <f>_xlfn.XLOOKUP($A51,'08'!$G$3:$G$100,'08'!$R$3:$R$100,"-")</f>
        <v/>
      </c>
      <c r="K51" s="68">
        <f>_xlfn.XLOOKUP($A51,'09'!$G$3:$G$100,'09'!$R$3:$R$100,"-")</f>
        <v/>
      </c>
      <c r="L51" s="68">
        <f>_xlfn.XLOOKUP($A51,'10'!$G$3:$G$100,'10'!$R$3:$R$100,"-")</f>
        <v/>
      </c>
      <c r="M51" s="68">
        <f>_xlfn.XLOOKUP($A51,'11'!$G$3:$G$100,'11'!$R$3:$R$100,"-")</f>
        <v/>
      </c>
      <c r="N51" s="68">
        <f>_xlfn.XLOOKUP($A51,'12'!$G$3:$G$100,'12'!$R$3:$R$100,"-")</f>
        <v/>
      </c>
      <c r="O51" s="79">
        <f>SUM(C51:N51)</f>
        <v/>
      </c>
      <c r="P51" s="74" t="n"/>
      <c r="Q51" s="82" t="n">
        <v>49</v>
      </c>
      <c r="R51" s="38" t="n"/>
      <c r="S51" s="61" t="n">
        <v>0</v>
      </c>
      <c r="T51" s="68" t="n">
        <v>0</v>
      </c>
      <c r="U51" s="68" t="n">
        <v>0</v>
      </c>
      <c r="V51" s="68" t="n">
        <v>0</v>
      </c>
      <c r="W51" s="68" t="n">
        <v>0</v>
      </c>
      <c r="X51" s="68" t="n">
        <v>0</v>
      </c>
      <c r="Y51" s="68" t="n">
        <v>0</v>
      </c>
      <c r="Z51" s="68" t="n">
        <v>0</v>
      </c>
      <c r="AA51" s="68" t="n">
        <v>0</v>
      </c>
      <c r="AB51" s="68" t="n">
        <v>0</v>
      </c>
      <c r="AC51" s="68" t="n">
        <v>0</v>
      </c>
      <c r="AD51" s="68" t="n">
        <v>0</v>
      </c>
      <c r="AE51" s="68" t="n">
        <v>0</v>
      </c>
      <c r="AF51" s="79" t="n">
        <v>0</v>
      </c>
      <c r="AG51" s="74" t="n">
        <v>0</v>
      </c>
      <c r="AH51" s="82" t="n">
        <v>49</v>
      </c>
    </row>
    <row r="52" ht="18" customHeight="1">
      <c r="C52" s="68">
        <f>_xlfn.XLOOKUP($A52,'01'!$G$3:$G$100,'01'!$R$3:$R$100,"-")</f>
        <v/>
      </c>
      <c r="D52" s="68">
        <f>_xlfn.XLOOKUP($A52,'02'!$G$3:$G$100,'02'!$R$3:$R$100,"-")</f>
        <v/>
      </c>
      <c r="E52" s="68">
        <f>_xlfn.XLOOKUP($A52,'03'!$G$3:$G$100,'03'!$R$3:$R$100,"-")</f>
        <v/>
      </c>
      <c r="F52" s="68">
        <f>_xlfn.XLOOKUP($A52,'04'!$G$3:$G$100,'04'!$R$3:$R$100,"-")</f>
        <v/>
      </c>
      <c r="G52" s="68">
        <f>_xlfn.XLOOKUP($A52,'05'!$G$3:$G$100,'05'!$R$3:$R$100,"-")</f>
        <v/>
      </c>
      <c r="H52" s="68">
        <f>_xlfn.XLOOKUP($A52,'06'!$G$3:$G$100,'06'!$R$3:$R$100,"-")</f>
        <v/>
      </c>
      <c r="I52" s="68">
        <f>_xlfn.XLOOKUP($A52,'07'!$G$3:$G$100,'07'!$R$3:$R$100,"-")</f>
        <v/>
      </c>
      <c r="J52" s="68">
        <f>_xlfn.XLOOKUP($A52,'08'!$G$3:$G$100,'08'!$R$3:$R$100,"-")</f>
        <v/>
      </c>
      <c r="K52" s="68">
        <f>_xlfn.XLOOKUP($A52,'09'!$G$3:$G$100,'09'!$R$3:$R$100,"-")</f>
        <v/>
      </c>
      <c r="L52" s="68">
        <f>_xlfn.XLOOKUP($A52,'10'!$G$3:$G$100,'10'!$R$3:$R$100,"-")</f>
        <v/>
      </c>
      <c r="M52" s="68">
        <f>_xlfn.XLOOKUP($A52,'11'!$G$3:$G$100,'11'!$R$3:$R$100,"-")</f>
        <v/>
      </c>
      <c r="N52" s="68">
        <f>_xlfn.XLOOKUP($A52,'12'!$G$3:$G$100,'12'!$R$3:$R$100,"-")</f>
        <v/>
      </c>
      <c r="O52" s="79">
        <f>SUM(C52:N52)</f>
        <v/>
      </c>
      <c r="P52" s="74" t="n"/>
      <c r="Q52" s="82" t="n">
        <v>50</v>
      </c>
      <c r="R52" s="38" t="n"/>
      <c r="S52" s="61" t="n">
        <v>0</v>
      </c>
      <c r="T52" s="68" t="n">
        <v>0</v>
      </c>
      <c r="U52" s="68" t="n">
        <v>0</v>
      </c>
      <c r="V52" s="68" t="n">
        <v>0</v>
      </c>
      <c r="W52" s="68" t="n">
        <v>0</v>
      </c>
      <c r="X52" s="68" t="n">
        <v>0</v>
      </c>
      <c r="Y52" s="68" t="n">
        <v>0</v>
      </c>
      <c r="Z52" s="68" t="n">
        <v>0</v>
      </c>
      <c r="AA52" s="68" t="n">
        <v>0</v>
      </c>
      <c r="AB52" s="68" t="n">
        <v>0</v>
      </c>
      <c r="AC52" s="68" t="n">
        <v>0</v>
      </c>
      <c r="AD52" s="68" t="n">
        <v>0</v>
      </c>
      <c r="AE52" s="68" t="n">
        <v>0</v>
      </c>
      <c r="AF52" s="79" t="n">
        <v>0</v>
      </c>
      <c r="AG52" s="74" t="n">
        <v>0</v>
      </c>
      <c r="AH52" s="82" t="n">
        <v>50</v>
      </c>
    </row>
    <row r="53" ht="18" customHeight="1">
      <c r="C53" s="68">
        <f>_xlfn.XLOOKUP($A53,'01'!$G$3:$G$100,'01'!$R$3:$R$100,"-")</f>
        <v/>
      </c>
      <c r="D53" s="68">
        <f>_xlfn.XLOOKUP($A53,'02'!$G$3:$G$100,'02'!$R$3:$R$100,"-")</f>
        <v/>
      </c>
      <c r="E53" s="68">
        <f>_xlfn.XLOOKUP($A53,'03'!$G$3:$G$100,'03'!$R$3:$R$100,"-")</f>
        <v/>
      </c>
      <c r="F53" s="68">
        <f>_xlfn.XLOOKUP($A53,'04'!$G$3:$G$100,'04'!$R$3:$R$100,"-")</f>
        <v/>
      </c>
      <c r="G53" s="68">
        <f>_xlfn.XLOOKUP($A53,'05'!$G$3:$G$100,'05'!$R$3:$R$100,"-")</f>
        <v/>
      </c>
      <c r="H53" s="68">
        <f>_xlfn.XLOOKUP($A53,'06'!$G$3:$G$100,'06'!$R$3:$R$100,"-")</f>
        <v/>
      </c>
      <c r="I53" s="68">
        <f>_xlfn.XLOOKUP($A53,'07'!$G$3:$G$100,'07'!$R$3:$R$100,"-")</f>
        <v/>
      </c>
      <c r="J53" s="68">
        <f>_xlfn.XLOOKUP($A53,'08'!$G$3:$G$100,'08'!$R$3:$R$100,"-")</f>
        <v/>
      </c>
      <c r="K53" s="68">
        <f>_xlfn.XLOOKUP($A53,'09'!$G$3:$G$100,'09'!$R$3:$R$100,"-")</f>
        <v/>
      </c>
      <c r="L53" s="68">
        <f>_xlfn.XLOOKUP($A53,'10'!$G$3:$G$100,'10'!$R$3:$R$100,"-")</f>
        <v/>
      </c>
      <c r="M53" s="68">
        <f>_xlfn.XLOOKUP($A53,'11'!$G$3:$G$100,'11'!$R$3:$R$100,"-")</f>
        <v/>
      </c>
      <c r="N53" s="68">
        <f>_xlfn.XLOOKUP($A53,'12'!$G$3:$G$100,'12'!$R$3:$R$100,"-")</f>
        <v/>
      </c>
      <c r="O53" s="79">
        <f>SUM(C53:N53)</f>
        <v/>
      </c>
      <c r="P53" s="74" t="n"/>
      <c r="Q53" s="82" t="n">
        <v>51</v>
      </c>
      <c r="R53" s="38" t="n"/>
      <c r="S53" s="61" t="n">
        <v>0</v>
      </c>
      <c r="T53" s="68" t="n">
        <v>0</v>
      </c>
      <c r="U53" s="68" t="n">
        <v>0</v>
      </c>
      <c r="V53" s="68" t="n">
        <v>0</v>
      </c>
      <c r="W53" s="68" t="n">
        <v>0</v>
      </c>
      <c r="X53" s="68" t="n">
        <v>0</v>
      </c>
      <c r="Y53" s="68" t="n">
        <v>0</v>
      </c>
      <c r="Z53" s="68" t="n">
        <v>0</v>
      </c>
      <c r="AA53" s="68" t="n">
        <v>0</v>
      </c>
      <c r="AB53" s="68" t="n">
        <v>0</v>
      </c>
      <c r="AC53" s="68" t="n">
        <v>0</v>
      </c>
      <c r="AD53" s="68" t="n">
        <v>0</v>
      </c>
      <c r="AE53" s="68" t="n">
        <v>0</v>
      </c>
      <c r="AF53" s="79" t="n">
        <v>0</v>
      </c>
      <c r="AG53" s="74" t="n">
        <v>0</v>
      </c>
      <c r="AH53" s="82" t="n">
        <v>51</v>
      </c>
    </row>
    <row r="54" ht="18" customHeight="1">
      <c r="C54" s="68">
        <f>_xlfn.XLOOKUP($A54,'01'!$G$3:$G$100,'01'!$R$3:$R$100,"-")</f>
        <v/>
      </c>
      <c r="D54" s="68">
        <f>_xlfn.XLOOKUP($A54,'02'!$G$3:$G$100,'02'!$R$3:$R$100,"-")</f>
        <v/>
      </c>
      <c r="E54" s="68">
        <f>_xlfn.XLOOKUP($A54,'03'!$G$3:$G$100,'03'!$R$3:$R$100,"-")</f>
        <v/>
      </c>
      <c r="F54" s="68">
        <f>_xlfn.XLOOKUP($A54,'04'!$G$3:$G$100,'04'!$R$3:$R$100,"-")</f>
        <v/>
      </c>
      <c r="G54" s="68">
        <f>_xlfn.XLOOKUP($A54,'05'!$G$3:$G$100,'05'!$R$3:$R$100,"-")</f>
        <v/>
      </c>
      <c r="H54" s="68">
        <f>_xlfn.XLOOKUP($A54,'06'!$G$3:$G$100,'06'!$R$3:$R$100,"-")</f>
        <v/>
      </c>
      <c r="I54" s="68">
        <f>_xlfn.XLOOKUP($A54,'07'!$G$3:$G$100,'07'!$R$3:$R$100,"-")</f>
        <v/>
      </c>
      <c r="J54" s="68">
        <f>_xlfn.XLOOKUP($A54,'08'!$G$3:$G$100,'08'!$R$3:$R$100,"-")</f>
        <v/>
      </c>
      <c r="K54" s="68">
        <f>_xlfn.XLOOKUP($A54,'09'!$G$3:$G$100,'09'!$R$3:$R$100,"-")</f>
        <v/>
      </c>
      <c r="L54" s="68">
        <f>_xlfn.XLOOKUP($A54,'10'!$G$3:$G$100,'10'!$R$3:$R$100,"-")</f>
        <v/>
      </c>
      <c r="M54" s="68">
        <f>_xlfn.XLOOKUP($A54,'11'!$G$3:$G$100,'11'!$R$3:$R$100,"-")</f>
        <v/>
      </c>
      <c r="N54" s="68">
        <f>_xlfn.XLOOKUP($A54,'12'!$G$3:$G$100,'12'!$R$3:$R$100,"-")</f>
        <v/>
      </c>
      <c r="O54" s="79">
        <f>SUM(C54:N54)</f>
        <v/>
      </c>
      <c r="P54" s="74" t="n"/>
      <c r="Q54" s="82" t="n">
        <v>52</v>
      </c>
      <c r="R54" s="38" t="n"/>
      <c r="S54" s="61" t="n">
        <v>0</v>
      </c>
      <c r="T54" s="68" t="n">
        <v>0</v>
      </c>
      <c r="U54" s="68" t="n">
        <v>0</v>
      </c>
      <c r="V54" s="68" t="n">
        <v>0</v>
      </c>
      <c r="W54" s="68" t="n">
        <v>0</v>
      </c>
      <c r="X54" s="68" t="n">
        <v>0</v>
      </c>
      <c r="Y54" s="68" t="n">
        <v>0</v>
      </c>
      <c r="Z54" s="68" t="n">
        <v>0</v>
      </c>
      <c r="AA54" s="68" t="n">
        <v>0</v>
      </c>
      <c r="AB54" s="68" t="n">
        <v>0</v>
      </c>
      <c r="AC54" s="68" t="n">
        <v>0</v>
      </c>
      <c r="AD54" s="68" t="n">
        <v>0</v>
      </c>
      <c r="AE54" s="68" t="n">
        <v>0</v>
      </c>
      <c r="AF54" s="79" t="n">
        <v>0</v>
      </c>
      <c r="AG54" s="74" t="n">
        <v>0</v>
      </c>
      <c r="AH54" s="82" t="n">
        <v>52</v>
      </c>
    </row>
    <row r="55" ht="18" customHeight="1">
      <c r="C55" s="68">
        <f>_xlfn.XLOOKUP($A55,'01'!$G$3:$G$100,'01'!$R$3:$R$100,"-")</f>
        <v/>
      </c>
      <c r="D55" s="68">
        <f>_xlfn.XLOOKUP($A55,'02'!$G$3:$G$100,'02'!$R$3:$R$100,"-")</f>
        <v/>
      </c>
      <c r="E55" s="68">
        <f>_xlfn.XLOOKUP($A55,'03'!$G$3:$G$100,'03'!$R$3:$R$100,"-")</f>
        <v/>
      </c>
      <c r="F55" s="68">
        <f>_xlfn.XLOOKUP($A55,'04'!$G$3:$G$100,'04'!$R$3:$R$100,"-")</f>
        <v/>
      </c>
      <c r="G55" s="68">
        <f>_xlfn.XLOOKUP($A55,'05'!$G$3:$G$100,'05'!$R$3:$R$100,"-")</f>
        <v/>
      </c>
      <c r="H55" s="68">
        <f>_xlfn.XLOOKUP($A55,'06'!$G$3:$G$100,'06'!$R$3:$R$100,"-")</f>
        <v/>
      </c>
      <c r="I55" s="68">
        <f>_xlfn.XLOOKUP($A55,'07'!$G$3:$G$100,'07'!$R$3:$R$100,"-")</f>
        <v/>
      </c>
      <c r="J55" s="68">
        <f>_xlfn.XLOOKUP($A55,'08'!$G$3:$G$100,'08'!$R$3:$R$100,"-")</f>
        <v/>
      </c>
      <c r="K55" s="68">
        <f>_xlfn.XLOOKUP($A55,'09'!$G$3:$G$100,'09'!$R$3:$R$100,"-")</f>
        <v/>
      </c>
      <c r="L55" s="68">
        <f>_xlfn.XLOOKUP($A55,'10'!$G$3:$G$100,'10'!$R$3:$R$100,"-")</f>
        <v/>
      </c>
      <c r="M55" s="68">
        <f>_xlfn.XLOOKUP($A55,'11'!$G$3:$G$100,'11'!$R$3:$R$100,"-")</f>
        <v/>
      </c>
      <c r="N55" s="68">
        <f>_xlfn.XLOOKUP($A55,'12'!$G$3:$G$100,'12'!$R$3:$R$100,"-")</f>
        <v/>
      </c>
      <c r="O55" s="79">
        <f>SUM(C55:N55)</f>
        <v/>
      </c>
      <c r="P55" s="74" t="n"/>
      <c r="Q55" s="82" t="n">
        <v>53</v>
      </c>
      <c r="R55" s="38" t="n"/>
      <c r="S55" s="61" t="n">
        <v>0</v>
      </c>
      <c r="T55" s="68" t="n">
        <v>0</v>
      </c>
      <c r="U55" s="68" t="n">
        <v>0</v>
      </c>
      <c r="V55" s="68" t="n">
        <v>0</v>
      </c>
      <c r="W55" s="68" t="n">
        <v>0</v>
      </c>
      <c r="X55" s="68" t="n">
        <v>0</v>
      </c>
      <c r="Y55" s="68" t="n">
        <v>0</v>
      </c>
      <c r="Z55" s="68" t="n">
        <v>0</v>
      </c>
      <c r="AA55" s="68" t="n">
        <v>0</v>
      </c>
      <c r="AB55" s="68" t="n">
        <v>0</v>
      </c>
      <c r="AC55" s="68" t="n">
        <v>0</v>
      </c>
      <c r="AD55" s="68" t="n">
        <v>0</v>
      </c>
      <c r="AE55" s="68" t="n">
        <v>0</v>
      </c>
      <c r="AF55" s="79" t="n">
        <v>0</v>
      </c>
      <c r="AG55" s="74" t="n">
        <v>0</v>
      </c>
      <c r="AH55" s="82" t="n">
        <v>53</v>
      </c>
    </row>
    <row r="56" ht="18" customHeight="1">
      <c r="C56" s="68">
        <f>_xlfn.XLOOKUP($A56,'01'!$G$3:$G$100,'01'!$R$3:$R$100,"-")</f>
        <v/>
      </c>
      <c r="D56" s="68">
        <f>_xlfn.XLOOKUP($A56,'02'!$G$3:$G$100,'02'!$R$3:$R$100,"-")</f>
        <v/>
      </c>
      <c r="E56" s="68">
        <f>_xlfn.XLOOKUP($A56,'03'!$G$3:$G$100,'03'!$R$3:$R$100,"-")</f>
        <v/>
      </c>
      <c r="F56" s="68">
        <f>_xlfn.XLOOKUP($A56,'04'!$G$3:$G$100,'04'!$R$3:$R$100,"-")</f>
        <v/>
      </c>
      <c r="G56" s="68">
        <f>_xlfn.XLOOKUP($A56,'05'!$G$3:$G$100,'05'!$R$3:$R$100,"-")</f>
        <v/>
      </c>
      <c r="H56" s="68">
        <f>_xlfn.XLOOKUP($A56,'06'!$G$3:$G$100,'06'!$R$3:$R$100,"-")</f>
        <v/>
      </c>
      <c r="I56" s="68">
        <f>_xlfn.XLOOKUP($A56,'07'!$G$3:$G$100,'07'!$R$3:$R$100,"-")</f>
        <v/>
      </c>
      <c r="J56" s="68">
        <f>_xlfn.XLOOKUP($A56,'08'!$G$3:$G$100,'08'!$R$3:$R$100,"-")</f>
        <v/>
      </c>
      <c r="K56" s="68">
        <f>_xlfn.XLOOKUP($A56,'09'!$G$3:$G$100,'09'!$R$3:$R$100,"-")</f>
        <v/>
      </c>
      <c r="L56" s="68">
        <f>_xlfn.XLOOKUP($A56,'10'!$G$3:$G$100,'10'!$R$3:$R$100,"-")</f>
        <v/>
      </c>
      <c r="M56" s="68">
        <f>_xlfn.XLOOKUP($A56,'11'!$G$3:$G$100,'11'!$R$3:$R$100,"-")</f>
        <v/>
      </c>
      <c r="N56" s="68">
        <f>_xlfn.XLOOKUP($A56,'12'!$G$3:$G$100,'12'!$R$3:$R$100,"-")</f>
        <v/>
      </c>
      <c r="O56" s="79">
        <f>SUM(C56:N56)</f>
        <v/>
      </c>
      <c r="P56" s="74" t="n"/>
      <c r="Q56" s="82" t="n">
        <v>54</v>
      </c>
      <c r="R56" s="38" t="n"/>
      <c r="S56" s="61" t="n">
        <v>0</v>
      </c>
      <c r="T56" s="68" t="n">
        <v>0</v>
      </c>
      <c r="U56" s="68" t="n">
        <v>0</v>
      </c>
      <c r="V56" s="68" t="n">
        <v>0</v>
      </c>
      <c r="W56" s="68" t="n">
        <v>0</v>
      </c>
      <c r="X56" s="68" t="n">
        <v>0</v>
      </c>
      <c r="Y56" s="68" t="n">
        <v>0</v>
      </c>
      <c r="Z56" s="68" t="n">
        <v>0</v>
      </c>
      <c r="AA56" s="68" t="n">
        <v>0</v>
      </c>
      <c r="AB56" s="68" t="n">
        <v>0</v>
      </c>
      <c r="AC56" s="68" t="n">
        <v>0</v>
      </c>
      <c r="AD56" s="68" t="n">
        <v>0</v>
      </c>
      <c r="AE56" s="68" t="n">
        <v>0</v>
      </c>
      <c r="AF56" s="79" t="n">
        <v>0</v>
      </c>
      <c r="AG56" s="74" t="n">
        <v>0</v>
      </c>
      <c r="AH56" s="82" t="n">
        <v>54</v>
      </c>
    </row>
    <row r="57" ht="18" customHeight="1">
      <c r="C57" s="68">
        <f>_xlfn.XLOOKUP($A57,'01'!$G$3:$G$100,'01'!$R$3:$R$100,"-")</f>
        <v/>
      </c>
      <c r="D57" s="68">
        <f>_xlfn.XLOOKUP($A57,'02'!$G$3:$G$100,'02'!$R$3:$R$100,"-")</f>
        <v/>
      </c>
      <c r="E57" s="68">
        <f>_xlfn.XLOOKUP($A57,'03'!$G$3:$G$100,'03'!$R$3:$R$100,"-")</f>
        <v/>
      </c>
      <c r="F57" s="68">
        <f>_xlfn.XLOOKUP($A57,'04'!$G$3:$G$100,'04'!$R$3:$R$100,"-")</f>
        <v/>
      </c>
      <c r="G57" s="68">
        <f>_xlfn.XLOOKUP($A57,'05'!$G$3:$G$100,'05'!$R$3:$R$100,"-")</f>
        <v/>
      </c>
      <c r="H57" s="68">
        <f>_xlfn.XLOOKUP($A57,'06'!$G$3:$G$100,'06'!$R$3:$R$100,"-")</f>
        <v/>
      </c>
      <c r="I57" s="68">
        <f>_xlfn.XLOOKUP($A57,'07'!$G$3:$G$100,'07'!$R$3:$R$100,"-")</f>
        <v/>
      </c>
      <c r="J57" s="68">
        <f>_xlfn.XLOOKUP($A57,'08'!$G$3:$G$100,'08'!$R$3:$R$100,"-")</f>
        <v/>
      </c>
      <c r="K57" s="68">
        <f>_xlfn.XLOOKUP($A57,'09'!$G$3:$G$100,'09'!$R$3:$R$100,"-")</f>
        <v/>
      </c>
      <c r="L57" s="68">
        <f>_xlfn.XLOOKUP($A57,'10'!$G$3:$G$100,'10'!$R$3:$R$100,"-")</f>
        <v/>
      </c>
      <c r="M57" s="68">
        <f>_xlfn.XLOOKUP($A57,'11'!$G$3:$G$100,'11'!$R$3:$R$100,"-")</f>
        <v/>
      </c>
      <c r="N57" s="68">
        <f>_xlfn.XLOOKUP($A57,'12'!$G$3:$G$100,'12'!$R$3:$R$100,"-")</f>
        <v/>
      </c>
      <c r="O57" s="79">
        <f>SUM(C57:N57)</f>
        <v/>
      </c>
      <c r="P57" s="74" t="n"/>
      <c r="Q57" s="83" t="n">
        <v>55</v>
      </c>
      <c r="R57" s="38" t="n"/>
      <c r="S57" s="61" t="n">
        <v>0</v>
      </c>
      <c r="T57" s="68" t="n">
        <v>0</v>
      </c>
      <c r="U57" s="68" t="n">
        <v>0</v>
      </c>
      <c r="V57" s="68" t="n">
        <v>0</v>
      </c>
      <c r="W57" s="68" t="n">
        <v>0</v>
      </c>
      <c r="X57" s="68" t="n">
        <v>0</v>
      </c>
      <c r="Y57" s="68" t="n">
        <v>0</v>
      </c>
      <c r="Z57" s="68" t="n">
        <v>0</v>
      </c>
      <c r="AA57" s="68" t="n">
        <v>0</v>
      </c>
      <c r="AB57" s="68" t="n">
        <v>0</v>
      </c>
      <c r="AC57" s="68" t="n">
        <v>0</v>
      </c>
      <c r="AD57" s="68" t="n">
        <v>0</v>
      </c>
      <c r="AE57" s="68" t="n">
        <v>0</v>
      </c>
      <c r="AF57" s="79" t="n">
        <v>0</v>
      </c>
      <c r="AG57" s="74" t="n">
        <v>0</v>
      </c>
      <c r="AH57" s="83" t="n">
        <v>55</v>
      </c>
    </row>
    <row r="58" ht="18" customHeight="1">
      <c r="C58" s="68">
        <f>_xlfn.XLOOKUP($A58,'01'!$G$3:$G$100,'01'!$R$3:$R$100,"-")</f>
        <v/>
      </c>
      <c r="D58" s="68">
        <f>_xlfn.XLOOKUP($A58,'02'!$G$3:$G$100,'02'!$R$3:$R$100,"-")</f>
        <v/>
      </c>
      <c r="E58" s="68">
        <f>_xlfn.XLOOKUP($A58,'03'!$G$3:$G$100,'03'!$R$3:$R$100,"-")</f>
        <v/>
      </c>
      <c r="F58" s="68">
        <f>_xlfn.XLOOKUP($A58,'04'!$G$3:$G$100,'04'!$R$3:$R$100,"-")</f>
        <v/>
      </c>
      <c r="G58" s="68">
        <f>_xlfn.XLOOKUP($A58,'05'!$G$3:$G$100,'05'!$R$3:$R$100,"-")</f>
        <v/>
      </c>
      <c r="H58" s="68">
        <f>_xlfn.XLOOKUP($A58,'06'!$G$3:$G$100,'06'!$R$3:$R$100,"-")</f>
        <v/>
      </c>
      <c r="I58" s="68">
        <f>_xlfn.XLOOKUP($A58,'07'!$G$3:$G$100,'07'!$R$3:$R$100,"-")</f>
        <v/>
      </c>
      <c r="J58" s="68">
        <f>_xlfn.XLOOKUP($A58,'08'!$G$3:$G$100,'08'!$R$3:$R$100,"-")</f>
        <v/>
      </c>
      <c r="K58" s="68">
        <f>_xlfn.XLOOKUP($A58,'09'!$G$3:$G$100,'09'!$R$3:$R$100,"-")</f>
        <v/>
      </c>
      <c r="L58" s="68">
        <f>_xlfn.XLOOKUP($A58,'10'!$G$3:$G$100,'10'!$R$3:$R$100,"-")</f>
        <v/>
      </c>
      <c r="M58" s="68">
        <f>_xlfn.XLOOKUP($A58,'11'!$G$3:$G$100,'11'!$R$3:$R$100,"-")</f>
        <v/>
      </c>
      <c r="N58" s="68">
        <f>_xlfn.XLOOKUP($A58,'12'!$G$3:$G$100,'12'!$R$3:$R$100,"-")</f>
        <v/>
      </c>
      <c r="O58" s="79">
        <f>SUM(C58:N58)</f>
        <v/>
      </c>
      <c r="P58" s="74" t="n"/>
      <c r="Q58" s="82" t="n">
        <v>56</v>
      </c>
      <c r="R58" s="38" t="n"/>
      <c r="S58" s="61" t="n">
        <v>0</v>
      </c>
      <c r="T58" s="68" t="n">
        <v>0</v>
      </c>
      <c r="U58" s="68" t="n">
        <v>0</v>
      </c>
      <c r="V58" s="68" t="n">
        <v>0</v>
      </c>
      <c r="W58" s="68" t="n">
        <v>0</v>
      </c>
      <c r="X58" s="68" t="n">
        <v>0</v>
      </c>
      <c r="Y58" s="68" t="n">
        <v>0</v>
      </c>
      <c r="Z58" s="68" t="n">
        <v>0</v>
      </c>
      <c r="AA58" s="68" t="n">
        <v>0</v>
      </c>
      <c r="AB58" s="68" t="n">
        <v>0</v>
      </c>
      <c r="AC58" s="68" t="n">
        <v>0</v>
      </c>
      <c r="AD58" s="68" t="n">
        <v>0</v>
      </c>
      <c r="AE58" s="68" t="n">
        <v>0</v>
      </c>
      <c r="AF58" s="79" t="n">
        <v>0</v>
      </c>
      <c r="AG58" s="74" t="n">
        <v>0</v>
      </c>
      <c r="AH58" s="82" t="n">
        <v>56</v>
      </c>
    </row>
    <row r="59" ht="18" customHeight="1">
      <c r="C59" s="68">
        <f>_xlfn.XLOOKUP($A59,'01'!$G$3:$G$100,'01'!$R$3:$R$100,"-")</f>
        <v/>
      </c>
      <c r="D59" s="68">
        <f>_xlfn.XLOOKUP($A59,'02'!$G$3:$G$100,'02'!$R$3:$R$100,"-")</f>
        <v/>
      </c>
      <c r="E59" s="68">
        <f>_xlfn.XLOOKUP($A59,'03'!$G$3:$G$100,'03'!$R$3:$R$100,"-")</f>
        <v/>
      </c>
      <c r="F59" s="68">
        <f>_xlfn.XLOOKUP($A59,'04'!$G$3:$G$100,'04'!$R$3:$R$100,"-")</f>
        <v/>
      </c>
      <c r="G59" s="68">
        <f>_xlfn.XLOOKUP($A59,'05'!$G$3:$G$100,'05'!$R$3:$R$100,"-")</f>
        <v/>
      </c>
      <c r="H59" s="68">
        <f>_xlfn.XLOOKUP($A59,'06'!$G$3:$G$100,'06'!$R$3:$R$100,"-")</f>
        <v/>
      </c>
      <c r="I59" s="68">
        <f>_xlfn.XLOOKUP($A59,'07'!$G$3:$G$100,'07'!$R$3:$R$100,"-")</f>
        <v/>
      </c>
      <c r="J59" s="68">
        <f>_xlfn.XLOOKUP($A59,'08'!$G$3:$G$100,'08'!$R$3:$R$100,"-")</f>
        <v/>
      </c>
      <c r="K59" s="68">
        <f>_xlfn.XLOOKUP($A59,'09'!$G$3:$G$100,'09'!$R$3:$R$100,"-")</f>
        <v/>
      </c>
      <c r="L59" s="68">
        <f>_xlfn.XLOOKUP($A59,'10'!$G$3:$G$100,'10'!$R$3:$R$100,"-")</f>
        <v/>
      </c>
      <c r="M59" s="68">
        <f>_xlfn.XLOOKUP($A59,'11'!$G$3:$G$100,'11'!$R$3:$R$100,"-")</f>
        <v/>
      </c>
      <c r="N59" s="68">
        <f>_xlfn.XLOOKUP($A59,'12'!$G$3:$G$100,'12'!$R$3:$R$100,"-")</f>
        <v/>
      </c>
      <c r="O59" s="79">
        <f>SUM(C59:N59)</f>
        <v/>
      </c>
      <c r="P59" s="74" t="n"/>
      <c r="Q59" s="82" t="n">
        <v>57</v>
      </c>
      <c r="R59" s="38" t="n"/>
      <c r="S59" s="61" t="n">
        <v>0</v>
      </c>
      <c r="T59" s="68" t="n">
        <v>0</v>
      </c>
      <c r="U59" s="68" t="n">
        <v>0</v>
      </c>
      <c r="V59" s="68" t="n">
        <v>0</v>
      </c>
      <c r="W59" s="68" t="n">
        <v>0</v>
      </c>
      <c r="X59" s="68" t="n">
        <v>0</v>
      </c>
      <c r="Y59" s="68" t="n">
        <v>0</v>
      </c>
      <c r="Z59" s="68" t="n">
        <v>0</v>
      </c>
      <c r="AA59" s="68" t="n">
        <v>0</v>
      </c>
      <c r="AB59" s="68" t="n">
        <v>0</v>
      </c>
      <c r="AC59" s="68" t="n">
        <v>0</v>
      </c>
      <c r="AD59" s="68" t="n">
        <v>0</v>
      </c>
      <c r="AE59" s="68" t="n">
        <v>0</v>
      </c>
      <c r="AF59" s="79" t="n">
        <v>0</v>
      </c>
      <c r="AG59" s="74" t="n">
        <v>0</v>
      </c>
      <c r="AH59" s="82" t="n">
        <v>57</v>
      </c>
    </row>
    <row r="60" ht="18" customHeight="1">
      <c r="C60" s="68">
        <f>_xlfn.XLOOKUP($A60,'01'!$G$3:$G$100,'01'!$R$3:$R$100,"-")</f>
        <v/>
      </c>
      <c r="D60" s="68">
        <f>_xlfn.XLOOKUP($A60,'02'!$G$3:$G$100,'02'!$R$3:$R$100,"-")</f>
        <v/>
      </c>
      <c r="E60" s="68">
        <f>_xlfn.XLOOKUP($A60,'03'!$G$3:$G$100,'03'!$R$3:$R$100,"-")</f>
        <v/>
      </c>
      <c r="F60" s="68">
        <f>_xlfn.XLOOKUP($A60,'04'!$G$3:$G$100,'04'!$R$3:$R$100,"-")</f>
        <v/>
      </c>
      <c r="G60" s="68">
        <f>_xlfn.XLOOKUP($A60,'05'!$G$3:$G$100,'05'!$R$3:$R$100,"-")</f>
        <v/>
      </c>
      <c r="H60" s="68">
        <f>_xlfn.XLOOKUP($A60,'06'!$G$3:$G$100,'06'!$R$3:$R$100,"-")</f>
        <v/>
      </c>
      <c r="I60" s="68">
        <f>_xlfn.XLOOKUP($A60,'07'!$G$3:$G$100,'07'!$R$3:$R$100,"-")</f>
        <v/>
      </c>
      <c r="J60" s="68">
        <f>_xlfn.XLOOKUP($A60,'08'!$G$3:$G$100,'08'!$R$3:$R$100,"-")</f>
        <v/>
      </c>
      <c r="K60" s="68">
        <f>_xlfn.XLOOKUP($A60,'09'!$G$3:$G$100,'09'!$R$3:$R$100,"-")</f>
        <v/>
      </c>
      <c r="L60" s="68">
        <f>_xlfn.XLOOKUP($A60,'10'!$G$3:$G$100,'10'!$R$3:$R$100,"-")</f>
        <v/>
      </c>
      <c r="M60" s="68">
        <f>_xlfn.XLOOKUP($A60,'11'!$G$3:$G$100,'11'!$R$3:$R$100,"-")</f>
        <v/>
      </c>
      <c r="N60" s="68">
        <f>_xlfn.XLOOKUP($A60,'12'!$G$3:$G$100,'12'!$R$3:$R$100,"-")</f>
        <v/>
      </c>
      <c r="O60" s="79">
        <f>SUM(C60:N60)</f>
        <v/>
      </c>
      <c r="P60" s="74" t="n"/>
      <c r="Q60" s="82" t="n">
        <v>58</v>
      </c>
      <c r="R60" s="38" t="n"/>
      <c r="S60" s="61" t="n">
        <v>0</v>
      </c>
      <c r="T60" s="68" t="n">
        <v>0</v>
      </c>
      <c r="U60" s="68" t="n">
        <v>0</v>
      </c>
      <c r="V60" s="68" t="n">
        <v>0</v>
      </c>
      <c r="W60" s="68" t="n">
        <v>0</v>
      </c>
      <c r="X60" s="68" t="n">
        <v>0</v>
      </c>
      <c r="Y60" s="68" t="n">
        <v>0</v>
      </c>
      <c r="Z60" s="68" t="n">
        <v>0</v>
      </c>
      <c r="AA60" s="68" t="n">
        <v>0</v>
      </c>
      <c r="AB60" s="68" t="n">
        <v>0</v>
      </c>
      <c r="AC60" s="68" t="n">
        <v>0</v>
      </c>
      <c r="AD60" s="68" t="n">
        <v>0</v>
      </c>
      <c r="AE60" s="68" t="n">
        <v>0</v>
      </c>
      <c r="AF60" s="79" t="n">
        <v>0</v>
      </c>
      <c r="AG60" s="74" t="n">
        <v>0</v>
      </c>
      <c r="AH60" s="82" t="n">
        <v>58</v>
      </c>
    </row>
    <row r="61" ht="18" customHeight="1">
      <c r="C61" s="68">
        <f>_xlfn.XLOOKUP($A61,'01'!$G$3:$G$100,'01'!$R$3:$R$100,"-")</f>
        <v/>
      </c>
      <c r="D61" s="68">
        <f>_xlfn.XLOOKUP($A61,'02'!$G$3:$G$100,'02'!$R$3:$R$100,"-")</f>
        <v/>
      </c>
      <c r="E61" s="68">
        <f>_xlfn.XLOOKUP($A61,'03'!$G$3:$G$100,'03'!$R$3:$R$100,"-")</f>
        <v/>
      </c>
      <c r="F61" s="68">
        <f>_xlfn.XLOOKUP($A61,'04'!$G$3:$G$100,'04'!$R$3:$R$100,"-")</f>
        <v/>
      </c>
      <c r="G61" s="68">
        <f>_xlfn.XLOOKUP($A61,'05'!$G$3:$G$100,'05'!$R$3:$R$100,"-")</f>
        <v/>
      </c>
      <c r="H61" s="68">
        <f>_xlfn.XLOOKUP($A61,'06'!$G$3:$G$100,'06'!$R$3:$R$100,"-")</f>
        <v/>
      </c>
      <c r="I61" s="68">
        <f>_xlfn.XLOOKUP($A61,'07'!$G$3:$G$100,'07'!$R$3:$R$100,"-")</f>
        <v/>
      </c>
      <c r="J61" s="68">
        <f>_xlfn.XLOOKUP($A61,'08'!$G$3:$G$100,'08'!$R$3:$R$100,"-")</f>
        <v/>
      </c>
      <c r="K61" s="68">
        <f>_xlfn.XLOOKUP($A61,'09'!$G$3:$G$100,'09'!$R$3:$R$100,"-")</f>
        <v/>
      </c>
      <c r="L61" s="68">
        <f>_xlfn.XLOOKUP($A61,'10'!$G$3:$G$100,'10'!$R$3:$R$100,"-")</f>
        <v/>
      </c>
      <c r="M61" s="68">
        <f>_xlfn.XLOOKUP($A61,'11'!$G$3:$G$100,'11'!$R$3:$R$100,"-")</f>
        <v/>
      </c>
      <c r="N61" s="68">
        <f>_xlfn.XLOOKUP($A61,'12'!$G$3:$G$100,'12'!$R$3:$R$100,"-")</f>
        <v/>
      </c>
      <c r="O61" s="79">
        <f>SUM(C61:N61)</f>
        <v/>
      </c>
      <c r="P61" s="74" t="n"/>
      <c r="Q61" s="82" t="n">
        <v>59</v>
      </c>
      <c r="R61" s="38" t="n"/>
      <c r="S61" s="61" t="n">
        <v>0</v>
      </c>
      <c r="T61" s="68" t="n">
        <v>0</v>
      </c>
      <c r="U61" s="68" t="n">
        <v>0</v>
      </c>
      <c r="V61" s="68" t="n">
        <v>0</v>
      </c>
      <c r="W61" s="68" t="n">
        <v>0</v>
      </c>
      <c r="X61" s="68" t="n">
        <v>0</v>
      </c>
      <c r="Y61" s="68" t="n">
        <v>0</v>
      </c>
      <c r="Z61" s="68" t="n">
        <v>0</v>
      </c>
      <c r="AA61" s="68" t="n">
        <v>0</v>
      </c>
      <c r="AB61" s="68" t="n">
        <v>0</v>
      </c>
      <c r="AC61" s="68" t="n">
        <v>0</v>
      </c>
      <c r="AD61" s="68" t="n">
        <v>0</v>
      </c>
      <c r="AE61" s="68" t="n">
        <v>0</v>
      </c>
      <c r="AF61" s="79" t="n">
        <v>0</v>
      </c>
      <c r="AG61" s="74" t="n">
        <v>0</v>
      </c>
      <c r="AH61" s="82" t="n">
        <v>59</v>
      </c>
    </row>
    <row r="62" ht="18" customHeight="1">
      <c r="C62" s="68">
        <f>_xlfn.XLOOKUP($A62,'01'!$G$3:$G$100,'01'!$R$3:$R$100,"-")</f>
        <v/>
      </c>
      <c r="D62" s="68">
        <f>_xlfn.XLOOKUP($A62,'02'!$G$3:$G$100,'02'!$R$3:$R$100,"-")</f>
        <v/>
      </c>
      <c r="E62" s="68">
        <f>_xlfn.XLOOKUP($A62,'03'!$G$3:$G$100,'03'!$R$3:$R$100,"-")</f>
        <v/>
      </c>
      <c r="F62" s="68">
        <f>_xlfn.XLOOKUP($A62,'04'!$G$3:$G$100,'04'!$R$3:$R$100,"-")</f>
        <v/>
      </c>
      <c r="G62" s="68">
        <f>_xlfn.XLOOKUP($A62,'05'!$G$3:$G$100,'05'!$R$3:$R$100,"-")</f>
        <v/>
      </c>
      <c r="H62" s="68">
        <f>_xlfn.XLOOKUP($A62,'06'!$G$3:$G$100,'06'!$R$3:$R$100,"-")</f>
        <v/>
      </c>
      <c r="I62" s="68">
        <f>_xlfn.XLOOKUP($A62,'07'!$G$3:$G$100,'07'!$R$3:$R$100,"-")</f>
        <v/>
      </c>
      <c r="J62" s="68">
        <f>_xlfn.XLOOKUP($A62,'08'!$G$3:$G$100,'08'!$R$3:$R$100,"-")</f>
        <v/>
      </c>
      <c r="K62" s="68">
        <f>_xlfn.XLOOKUP($A62,'09'!$G$3:$G$100,'09'!$R$3:$R$100,"-")</f>
        <v/>
      </c>
      <c r="L62" s="68">
        <f>_xlfn.XLOOKUP($A62,'10'!$G$3:$G$100,'10'!$R$3:$R$100,"-")</f>
        <v/>
      </c>
      <c r="M62" s="68">
        <f>_xlfn.XLOOKUP($A62,'11'!$G$3:$G$100,'11'!$R$3:$R$100,"-")</f>
        <v/>
      </c>
      <c r="N62" s="68">
        <f>_xlfn.XLOOKUP($A62,'12'!$G$3:$G$100,'12'!$R$3:$R$100,"-")</f>
        <v/>
      </c>
      <c r="O62" s="79">
        <f>SUM(C62:N62)</f>
        <v/>
      </c>
      <c r="P62" s="74" t="n"/>
      <c r="Q62" s="82" t="n">
        <v>60</v>
      </c>
      <c r="R62" s="38" t="n"/>
      <c r="S62" s="61" t="n">
        <v>0</v>
      </c>
      <c r="T62" s="68" t="n">
        <v>0</v>
      </c>
      <c r="U62" s="68" t="n">
        <v>0</v>
      </c>
      <c r="V62" s="68" t="n">
        <v>0</v>
      </c>
      <c r="W62" s="68" t="n">
        <v>0</v>
      </c>
      <c r="X62" s="68" t="n">
        <v>0</v>
      </c>
      <c r="Y62" s="68" t="n">
        <v>0</v>
      </c>
      <c r="Z62" s="68" t="n">
        <v>0</v>
      </c>
      <c r="AA62" s="68" t="n">
        <v>0</v>
      </c>
      <c r="AB62" s="68" t="n">
        <v>0</v>
      </c>
      <c r="AC62" s="68" t="n">
        <v>0</v>
      </c>
      <c r="AD62" s="68" t="n">
        <v>0</v>
      </c>
      <c r="AE62" s="68" t="n">
        <v>0</v>
      </c>
      <c r="AF62" s="79" t="n">
        <v>0</v>
      </c>
      <c r="AG62" s="74" t="n">
        <v>0</v>
      </c>
      <c r="AH62" s="82" t="n">
        <v>60</v>
      </c>
    </row>
    <row r="63" ht="18" customHeight="1">
      <c r="C63" s="68">
        <f>_xlfn.XLOOKUP($A63,'01'!$G$3:$G$100,'01'!$R$3:$R$100,"-")</f>
        <v/>
      </c>
      <c r="D63" s="68">
        <f>_xlfn.XLOOKUP($A63,'02'!$G$3:$G$100,'02'!$R$3:$R$100,"-")</f>
        <v/>
      </c>
      <c r="E63" s="68">
        <f>_xlfn.XLOOKUP($A63,'03'!$G$3:$G$100,'03'!$R$3:$R$100,"-")</f>
        <v/>
      </c>
      <c r="F63" s="68">
        <f>_xlfn.XLOOKUP($A63,'04'!$G$3:$G$100,'04'!$R$3:$R$100,"-")</f>
        <v/>
      </c>
      <c r="G63" s="68">
        <f>_xlfn.XLOOKUP($A63,'05'!$G$3:$G$100,'05'!$R$3:$R$100,"-")</f>
        <v/>
      </c>
      <c r="H63" s="68">
        <f>_xlfn.XLOOKUP($A63,'06'!$G$3:$G$100,'06'!$R$3:$R$100,"-")</f>
        <v/>
      </c>
      <c r="I63" s="68">
        <f>_xlfn.XLOOKUP($A63,'07'!$G$3:$G$100,'07'!$R$3:$R$100,"-")</f>
        <v/>
      </c>
      <c r="J63" s="68">
        <f>_xlfn.XLOOKUP($A63,'08'!$G$3:$G$100,'08'!$R$3:$R$100,"-")</f>
        <v/>
      </c>
      <c r="K63" s="68">
        <f>_xlfn.XLOOKUP($A63,'09'!$G$3:$G$100,'09'!$R$3:$R$100,"-")</f>
        <v/>
      </c>
      <c r="L63" s="68">
        <f>_xlfn.XLOOKUP($A63,'10'!$G$3:$G$100,'10'!$R$3:$R$100,"-")</f>
        <v/>
      </c>
      <c r="M63" s="68">
        <f>_xlfn.XLOOKUP($A63,'11'!$G$3:$G$100,'11'!$R$3:$R$100,"-")</f>
        <v/>
      </c>
      <c r="N63" s="68">
        <f>_xlfn.XLOOKUP($A63,'12'!$G$3:$G$100,'12'!$R$3:$R$100,"-")</f>
        <v/>
      </c>
      <c r="O63" s="79">
        <f>SUM(C63:N63)</f>
        <v/>
      </c>
      <c r="P63" s="74" t="n"/>
      <c r="Q63" s="82" t="n">
        <v>61</v>
      </c>
      <c r="R63" s="38" t="n"/>
      <c r="S63" s="61" t="n">
        <v>0</v>
      </c>
      <c r="T63" s="68" t="n">
        <v>0</v>
      </c>
      <c r="U63" s="68" t="n">
        <v>0</v>
      </c>
      <c r="V63" s="68" t="n">
        <v>0</v>
      </c>
      <c r="W63" s="68" t="n">
        <v>0</v>
      </c>
      <c r="X63" s="68" t="n">
        <v>0</v>
      </c>
      <c r="Y63" s="68" t="n">
        <v>0</v>
      </c>
      <c r="Z63" s="68" t="n">
        <v>0</v>
      </c>
      <c r="AA63" s="68" t="n">
        <v>0</v>
      </c>
      <c r="AB63" s="68" t="n">
        <v>0</v>
      </c>
      <c r="AC63" s="68" t="n">
        <v>0</v>
      </c>
      <c r="AD63" s="68" t="n">
        <v>0</v>
      </c>
      <c r="AE63" s="68" t="n">
        <v>0</v>
      </c>
      <c r="AF63" s="79" t="n">
        <v>0</v>
      </c>
      <c r="AG63" s="74" t="n">
        <v>0</v>
      </c>
      <c r="AH63" s="82" t="n">
        <v>61</v>
      </c>
    </row>
    <row r="64" ht="18" customHeight="1">
      <c r="C64" s="68">
        <f>_xlfn.XLOOKUP($A64,'01'!$G$3:$G$100,'01'!$R$3:$R$100,"-")</f>
        <v/>
      </c>
      <c r="D64" s="68">
        <f>_xlfn.XLOOKUP($A64,'02'!$G$3:$G$100,'02'!$R$3:$R$100,"-")</f>
        <v/>
      </c>
      <c r="E64" s="68">
        <f>_xlfn.XLOOKUP($A64,'03'!$G$3:$G$100,'03'!$R$3:$R$100,"-")</f>
        <v/>
      </c>
      <c r="F64" s="68">
        <f>_xlfn.XLOOKUP($A64,'04'!$G$3:$G$100,'04'!$R$3:$R$100,"-")</f>
        <v/>
      </c>
      <c r="G64" s="68">
        <f>_xlfn.XLOOKUP($A64,'05'!$G$3:$G$100,'05'!$R$3:$R$100,"-")</f>
        <v/>
      </c>
      <c r="H64" s="68">
        <f>_xlfn.XLOOKUP($A64,'06'!$G$3:$G$100,'06'!$R$3:$R$100,"-")</f>
        <v/>
      </c>
      <c r="I64" s="68">
        <f>_xlfn.XLOOKUP($A64,'07'!$G$3:$G$100,'07'!$R$3:$R$100,"-")</f>
        <v/>
      </c>
      <c r="J64" s="68">
        <f>_xlfn.XLOOKUP($A64,'08'!$G$3:$G$100,'08'!$R$3:$R$100,"-")</f>
        <v/>
      </c>
      <c r="K64" s="68">
        <f>_xlfn.XLOOKUP($A64,'09'!$G$3:$G$100,'09'!$R$3:$R$100,"-")</f>
        <v/>
      </c>
      <c r="L64" s="68">
        <f>_xlfn.XLOOKUP($A64,'10'!$G$3:$G$100,'10'!$R$3:$R$100,"-")</f>
        <v/>
      </c>
      <c r="M64" s="68">
        <f>_xlfn.XLOOKUP($A64,'11'!$G$3:$G$100,'11'!$R$3:$R$100,"-")</f>
        <v/>
      </c>
      <c r="N64" s="68">
        <f>_xlfn.XLOOKUP($A64,'12'!$G$3:$G$100,'12'!$R$3:$R$100,"-")</f>
        <v/>
      </c>
      <c r="O64" s="79">
        <f>SUM(C64:N64)</f>
        <v/>
      </c>
      <c r="P64" s="74" t="n"/>
      <c r="Q64" s="82" t="n">
        <v>62</v>
      </c>
      <c r="R64" s="38" t="n"/>
      <c r="S64" s="61" t="n">
        <v>0</v>
      </c>
      <c r="T64" s="68" t="n">
        <v>0</v>
      </c>
      <c r="U64" s="68" t="n">
        <v>0</v>
      </c>
      <c r="V64" s="68" t="n">
        <v>0</v>
      </c>
      <c r="W64" s="68" t="n">
        <v>0</v>
      </c>
      <c r="X64" s="68" t="n">
        <v>0</v>
      </c>
      <c r="Y64" s="68" t="n">
        <v>0</v>
      </c>
      <c r="Z64" s="68" t="n">
        <v>0</v>
      </c>
      <c r="AA64" s="68" t="n">
        <v>0</v>
      </c>
      <c r="AB64" s="68" t="n">
        <v>0</v>
      </c>
      <c r="AC64" s="68" t="n">
        <v>0</v>
      </c>
      <c r="AD64" s="68" t="n">
        <v>0</v>
      </c>
      <c r="AE64" s="68" t="n">
        <v>0</v>
      </c>
      <c r="AF64" s="79" t="n">
        <v>0</v>
      </c>
      <c r="AG64" s="74" t="n">
        <v>0</v>
      </c>
      <c r="AH64" s="82" t="n">
        <v>62</v>
      </c>
    </row>
    <row r="65" ht="18" customHeight="1">
      <c r="C65" s="68">
        <f>_xlfn.XLOOKUP($A65,'01'!$G$3:$G$100,'01'!$R$3:$R$100,"-")</f>
        <v/>
      </c>
      <c r="D65" s="68">
        <f>_xlfn.XLOOKUP($A65,'02'!$G$3:$G$100,'02'!$R$3:$R$100,"-")</f>
        <v/>
      </c>
      <c r="E65" s="68">
        <f>_xlfn.XLOOKUP($A65,'03'!$G$3:$G$100,'03'!$R$3:$R$100,"-")</f>
        <v/>
      </c>
      <c r="F65" s="68">
        <f>_xlfn.XLOOKUP($A65,'04'!$G$3:$G$100,'04'!$R$3:$R$100,"-")</f>
        <v/>
      </c>
      <c r="G65" s="68">
        <f>_xlfn.XLOOKUP($A65,'05'!$G$3:$G$100,'05'!$R$3:$R$100,"-")</f>
        <v/>
      </c>
      <c r="H65" s="68">
        <f>_xlfn.XLOOKUP($A65,'06'!$G$3:$G$100,'06'!$R$3:$R$100,"-")</f>
        <v/>
      </c>
      <c r="I65" s="68">
        <f>_xlfn.XLOOKUP($A65,'07'!$G$3:$G$100,'07'!$R$3:$R$100,"-")</f>
        <v/>
      </c>
      <c r="J65" s="68">
        <f>_xlfn.XLOOKUP($A65,'08'!$G$3:$G$100,'08'!$R$3:$R$100,"-")</f>
        <v/>
      </c>
      <c r="K65" s="68">
        <f>_xlfn.XLOOKUP($A65,'09'!$G$3:$G$100,'09'!$R$3:$R$100,"-")</f>
        <v/>
      </c>
      <c r="L65" s="68">
        <f>_xlfn.XLOOKUP($A65,'10'!$G$3:$G$100,'10'!$R$3:$R$100,"-")</f>
        <v/>
      </c>
      <c r="M65" s="68">
        <f>_xlfn.XLOOKUP($A65,'11'!$G$3:$G$100,'11'!$R$3:$R$100,"-")</f>
        <v/>
      </c>
      <c r="N65" s="68">
        <f>_xlfn.XLOOKUP($A65,'12'!$G$3:$G$100,'12'!$R$3:$R$100,"-")</f>
        <v/>
      </c>
      <c r="O65" s="79">
        <f>SUM(C65:N65)</f>
        <v/>
      </c>
      <c r="P65" s="74" t="n"/>
      <c r="Q65" s="82" t="n">
        <v>63</v>
      </c>
      <c r="R65" s="38" t="n"/>
      <c r="S65" s="61" t="n">
        <v>0</v>
      </c>
      <c r="T65" s="68" t="n">
        <v>0</v>
      </c>
      <c r="U65" s="68" t="n">
        <v>0</v>
      </c>
      <c r="V65" s="68" t="n">
        <v>0</v>
      </c>
      <c r="W65" s="68" t="n">
        <v>0</v>
      </c>
      <c r="X65" s="68" t="n">
        <v>0</v>
      </c>
      <c r="Y65" s="68" t="n">
        <v>0</v>
      </c>
      <c r="Z65" s="68" t="n">
        <v>0</v>
      </c>
      <c r="AA65" s="68" t="n">
        <v>0</v>
      </c>
      <c r="AB65" s="68" t="n">
        <v>0</v>
      </c>
      <c r="AC65" s="68" t="n">
        <v>0</v>
      </c>
      <c r="AD65" s="68" t="n">
        <v>0</v>
      </c>
      <c r="AE65" s="68" t="n">
        <v>0</v>
      </c>
      <c r="AF65" s="79" t="n">
        <v>0</v>
      </c>
      <c r="AG65" s="74" t="n">
        <v>0</v>
      </c>
      <c r="AH65" s="82" t="n">
        <v>63</v>
      </c>
    </row>
    <row r="66" ht="18" customHeight="1">
      <c r="C66" s="68">
        <f>_xlfn.XLOOKUP($A66,'01'!$G$3:$G$100,'01'!$R$3:$R$100,"-")</f>
        <v/>
      </c>
      <c r="D66" s="68">
        <f>_xlfn.XLOOKUP($A66,'02'!$G$3:$G$100,'02'!$R$3:$R$100,"-")</f>
        <v/>
      </c>
      <c r="E66" s="68">
        <f>_xlfn.XLOOKUP($A66,'03'!$G$3:$G$100,'03'!$R$3:$R$100,"-")</f>
        <v/>
      </c>
      <c r="F66" s="68">
        <f>_xlfn.XLOOKUP($A66,'04'!$G$3:$G$100,'04'!$R$3:$R$100,"-")</f>
        <v/>
      </c>
      <c r="G66" s="68">
        <f>_xlfn.XLOOKUP($A66,'05'!$G$3:$G$100,'05'!$R$3:$R$100,"-")</f>
        <v/>
      </c>
      <c r="H66" s="68">
        <f>_xlfn.XLOOKUP($A66,'06'!$G$3:$G$100,'06'!$R$3:$R$100,"-")</f>
        <v/>
      </c>
      <c r="I66" s="68">
        <f>_xlfn.XLOOKUP($A66,'07'!$G$3:$G$100,'07'!$R$3:$R$100,"-")</f>
        <v/>
      </c>
      <c r="J66" s="68">
        <f>_xlfn.XLOOKUP($A66,'08'!$G$3:$G$100,'08'!$R$3:$R$100,"-")</f>
        <v/>
      </c>
      <c r="K66" s="68">
        <f>_xlfn.XLOOKUP($A66,'09'!$G$3:$G$100,'09'!$R$3:$R$100,"-")</f>
        <v/>
      </c>
      <c r="L66" s="68">
        <f>_xlfn.XLOOKUP($A66,'10'!$G$3:$G$100,'10'!$R$3:$R$100,"-")</f>
        <v/>
      </c>
      <c r="M66" s="68">
        <f>_xlfn.XLOOKUP($A66,'11'!$G$3:$G$100,'11'!$R$3:$R$100,"-")</f>
        <v/>
      </c>
      <c r="N66" s="68">
        <f>_xlfn.XLOOKUP($A66,'12'!$G$3:$G$100,'12'!$R$3:$R$100,"-")</f>
        <v/>
      </c>
      <c r="O66" s="79">
        <f>SUM(C66:N66)</f>
        <v/>
      </c>
      <c r="P66" s="74" t="n"/>
      <c r="Q66" s="82" t="n">
        <v>64</v>
      </c>
      <c r="R66" s="38" t="n"/>
      <c r="S66" s="61" t="n">
        <v>0</v>
      </c>
      <c r="T66" s="68" t="n">
        <v>0</v>
      </c>
      <c r="U66" s="68" t="n">
        <v>0</v>
      </c>
      <c r="V66" s="68" t="n">
        <v>0</v>
      </c>
      <c r="W66" s="68" t="n">
        <v>0</v>
      </c>
      <c r="X66" s="68" t="n">
        <v>0</v>
      </c>
      <c r="Y66" s="68" t="n">
        <v>0</v>
      </c>
      <c r="Z66" s="68" t="n">
        <v>0</v>
      </c>
      <c r="AA66" s="68" t="n">
        <v>0</v>
      </c>
      <c r="AB66" s="68" t="n">
        <v>0</v>
      </c>
      <c r="AC66" s="68" t="n">
        <v>0</v>
      </c>
      <c r="AD66" s="68" t="n">
        <v>0</v>
      </c>
      <c r="AE66" s="68" t="n">
        <v>0</v>
      </c>
      <c r="AF66" s="79" t="n">
        <v>0</v>
      </c>
      <c r="AG66" s="74" t="n">
        <v>0</v>
      </c>
      <c r="AH66" s="82" t="n">
        <v>64</v>
      </c>
    </row>
    <row r="67" ht="18" customHeight="1">
      <c r="C67" s="68">
        <f>_xlfn.XLOOKUP($A67,'01'!$G$3:$G$100,'01'!$R$3:$R$100,"-")</f>
        <v/>
      </c>
      <c r="D67" s="68">
        <f>_xlfn.XLOOKUP($A67,'02'!$G$3:$G$100,'02'!$R$3:$R$100,"-")</f>
        <v/>
      </c>
      <c r="E67" s="68">
        <f>_xlfn.XLOOKUP($A67,'03'!$G$3:$G$100,'03'!$R$3:$R$100,"-")</f>
        <v/>
      </c>
      <c r="F67" s="68">
        <f>_xlfn.XLOOKUP($A67,'04'!$G$3:$G$100,'04'!$R$3:$R$100,"-")</f>
        <v/>
      </c>
      <c r="G67" s="68">
        <f>_xlfn.XLOOKUP($A67,'05'!$G$3:$G$100,'05'!$R$3:$R$100,"-")</f>
        <v/>
      </c>
      <c r="H67" s="68">
        <f>_xlfn.XLOOKUP($A67,'06'!$G$3:$G$100,'06'!$R$3:$R$100,"-")</f>
        <v/>
      </c>
      <c r="I67" s="68">
        <f>_xlfn.XLOOKUP($A67,'07'!$G$3:$G$100,'07'!$R$3:$R$100,"-")</f>
        <v/>
      </c>
      <c r="J67" s="68">
        <f>_xlfn.XLOOKUP($A67,'08'!$G$3:$G$100,'08'!$R$3:$R$100,"-")</f>
        <v/>
      </c>
      <c r="K67" s="68">
        <f>_xlfn.XLOOKUP($A67,'09'!$G$3:$G$100,'09'!$R$3:$R$100,"-")</f>
        <v/>
      </c>
      <c r="L67" s="68">
        <f>_xlfn.XLOOKUP($A67,'10'!$G$3:$G$100,'10'!$R$3:$R$100,"-")</f>
        <v/>
      </c>
      <c r="M67" s="68">
        <f>_xlfn.XLOOKUP($A67,'11'!$G$3:$G$100,'11'!$R$3:$R$100,"-")</f>
        <v/>
      </c>
      <c r="N67" s="68">
        <f>_xlfn.XLOOKUP($A67,'12'!$G$3:$G$100,'12'!$R$3:$R$100,"-")</f>
        <v/>
      </c>
      <c r="O67" s="79">
        <f>SUM(C67:N67)</f>
        <v/>
      </c>
      <c r="P67" s="74" t="n"/>
      <c r="Q67" s="83" t="n">
        <v>65</v>
      </c>
      <c r="R67" s="38" t="n"/>
      <c r="S67" s="61" t="n">
        <v>0</v>
      </c>
      <c r="T67" s="68" t="n">
        <v>0</v>
      </c>
      <c r="U67" s="68" t="n">
        <v>0</v>
      </c>
      <c r="V67" s="68" t="n">
        <v>0</v>
      </c>
      <c r="W67" s="68" t="n">
        <v>0</v>
      </c>
      <c r="X67" s="68" t="n">
        <v>0</v>
      </c>
      <c r="Y67" s="68" t="n">
        <v>0</v>
      </c>
      <c r="Z67" s="68" t="n">
        <v>0</v>
      </c>
      <c r="AA67" s="68" t="n">
        <v>0</v>
      </c>
      <c r="AB67" s="68" t="n">
        <v>0</v>
      </c>
      <c r="AC67" s="68" t="n">
        <v>0</v>
      </c>
      <c r="AD67" s="68" t="n">
        <v>0</v>
      </c>
      <c r="AE67" s="68" t="n">
        <v>0</v>
      </c>
      <c r="AF67" s="79" t="n">
        <v>0</v>
      </c>
      <c r="AG67" s="74" t="n">
        <v>0</v>
      </c>
      <c r="AH67" s="83" t="n">
        <v>65</v>
      </c>
    </row>
    <row r="68" ht="18" customHeight="1">
      <c r="C68" s="68">
        <f>_xlfn.XLOOKUP($A68,'01'!$G$3:$G$100,'01'!$R$3:$R$100,"-")</f>
        <v/>
      </c>
      <c r="D68" s="68">
        <f>_xlfn.XLOOKUP($A68,'02'!$G$3:$G$100,'02'!$R$3:$R$100,"-")</f>
        <v/>
      </c>
      <c r="E68" s="68">
        <f>_xlfn.XLOOKUP($A68,'03'!$G$3:$G$100,'03'!$R$3:$R$100,"-")</f>
        <v/>
      </c>
      <c r="F68" s="68">
        <f>_xlfn.XLOOKUP($A68,'04'!$G$3:$G$100,'04'!$R$3:$R$100,"-")</f>
        <v/>
      </c>
      <c r="G68" s="68">
        <f>_xlfn.XLOOKUP($A68,'05'!$G$3:$G$100,'05'!$R$3:$R$100,"-")</f>
        <v/>
      </c>
      <c r="H68" s="68">
        <f>_xlfn.XLOOKUP($A68,'06'!$G$3:$G$100,'06'!$R$3:$R$100,"-")</f>
        <v/>
      </c>
      <c r="I68" s="68">
        <f>_xlfn.XLOOKUP($A68,'07'!$G$3:$G$100,'07'!$R$3:$R$100,"-")</f>
        <v/>
      </c>
      <c r="J68" s="68">
        <f>_xlfn.XLOOKUP($A68,'08'!$G$3:$G$100,'08'!$R$3:$R$100,"-")</f>
        <v/>
      </c>
      <c r="K68" s="68">
        <f>_xlfn.XLOOKUP($A68,'09'!$G$3:$G$100,'09'!$R$3:$R$100,"-")</f>
        <v/>
      </c>
      <c r="L68" s="68">
        <f>_xlfn.XLOOKUP($A68,'10'!$G$3:$G$100,'10'!$R$3:$R$100,"-")</f>
        <v/>
      </c>
      <c r="M68" s="68">
        <f>_xlfn.XLOOKUP($A68,'11'!$G$3:$G$100,'11'!$R$3:$R$100,"-")</f>
        <v/>
      </c>
      <c r="N68" s="68">
        <f>_xlfn.XLOOKUP($A68,'12'!$G$3:$G$100,'12'!$R$3:$R$100,"-")</f>
        <v/>
      </c>
      <c r="O68" s="79">
        <f>SUM(C68:N68)</f>
        <v/>
      </c>
      <c r="P68" s="74" t="n"/>
      <c r="Q68" s="82" t="n">
        <v>66</v>
      </c>
      <c r="R68" s="38" t="n"/>
      <c r="S68" s="61" t="n">
        <v>0</v>
      </c>
      <c r="T68" s="68" t="n">
        <v>0</v>
      </c>
      <c r="U68" s="68" t="n">
        <v>0</v>
      </c>
      <c r="V68" s="68" t="n">
        <v>0</v>
      </c>
      <c r="W68" s="68" t="n">
        <v>0</v>
      </c>
      <c r="X68" s="68" t="n">
        <v>0</v>
      </c>
      <c r="Y68" s="68" t="n">
        <v>0</v>
      </c>
      <c r="Z68" s="68" t="n">
        <v>0</v>
      </c>
      <c r="AA68" s="68" t="n">
        <v>0</v>
      </c>
      <c r="AB68" s="68" t="n">
        <v>0</v>
      </c>
      <c r="AC68" s="68" t="n">
        <v>0</v>
      </c>
      <c r="AD68" s="68" t="n">
        <v>0</v>
      </c>
      <c r="AE68" s="68" t="n">
        <v>0</v>
      </c>
      <c r="AF68" s="79" t="n">
        <v>0</v>
      </c>
      <c r="AG68" s="74" t="n">
        <v>0</v>
      </c>
      <c r="AH68" s="82" t="n">
        <v>66</v>
      </c>
    </row>
    <row r="69" ht="18" customHeight="1">
      <c r="C69" s="68">
        <f>_xlfn.XLOOKUP($A69,'01'!$G$3:$G$100,'01'!$R$3:$R$100,"-")</f>
        <v/>
      </c>
      <c r="D69" s="68">
        <f>_xlfn.XLOOKUP($A69,'02'!$G$3:$G$100,'02'!$R$3:$R$100,"-")</f>
        <v/>
      </c>
      <c r="E69" s="68">
        <f>_xlfn.XLOOKUP($A69,'03'!$G$3:$G$100,'03'!$R$3:$R$100,"-")</f>
        <v/>
      </c>
      <c r="F69" s="68">
        <f>_xlfn.XLOOKUP($A69,'04'!$G$3:$G$100,'04'!$R$3:$R$100,"-")</f>
        <v/>
      </c>
      <c r="G69" s="68">
        <f>_xlfn.XLOOKUP($A69,'05'!$G$3:$G$100,'05'!$R$3:$R$100,"-")</f>
        <v/>
      </c>
      <c r="H69" s="68">
        <f>_xlfn.XLOOKUP($A69,'06'!$G$3:$G$100,'06'!$R$3:$R$100,"-")</f>
        <v/>
      </c>
      <c r="I69" s="68">
        <f>_xlfn.XLOOKUP($A69,'07'!$G$3:$G$100,'07'!$R$3:$R$100,"-")</f>
        <v/>
      </c>
      <c r="J69" s="68">
        <f>_xlfn.XLOOKUP($A69,'08'!$G$3:$G$100,'08'!$R$3:$R$100,"-")</f>
        <v/>
      </c>
      <c r="K69" s="68">
        <f>_xlfn.XLOOKUP($A69,'09'!$G$3:$G$100,'09'!$R$3:$R$100,"-")</f>
        <v/>
      </c>
      <c r="L69" s="68">
        <f>_xlfn.XLOOKUP($A69,'10'!$G$3:$G$100,'10'!$R$3:$R$100,"-")</f>
        <v/>
      </c>
      <c r="M69" s="68">
        <f>_xlfn.XLOOKUP($A69,'11'!$G$3:$G$100,'11'!$R$3:$R$100,"-")</f>
        <v/>
      </c>
      <c r="N69" s="68">
        <f>_xlfn.XLOOKUP($A69,'12'!$G$3:$G$100,'12'!$R$3:$R$100,"-")</f>
        <v/>
      </c>
      <c r="O69" s="79">
        <f>SUM(C69:N69)</f>
        <v/>
      </c>
      <c r="P69" s="74" t="n"/>
      <c r="Q69" s="82" t="n">
        <v>67</v>
      </c>
      <c r="R69" s="38" t="n"/>
      <c r="S69" s="61" t="n">
        <v>0</v>
      </c>
      <c r="T69" s="68" t="n">
        <v>0</v>
      </c>
      <c r="U69" s="68" t="n">
        <v>0</v>
      </c>
      <c r="V69" s="68" t="n">
        <v>0</v>
      </c>
      <c r="W69" s="68" t="n">
        <v>0</v>
      </c>
      <c r="X69" s="68" t="n">
        <v>0</v>
      </c>
      <c r="Y69" s="68" t="n">
        <v>0</v>
      </c>
      <c r="Z69" s="68" t="n">
        <v>0</v>
      </c>
      <c r="AA69" s="68" t="n">
        <v>0</v>
      </c>
      <c r="AB69" s="68" t="n">
        <v>0</v>
      </c>
      <c r="AC69" s="68" t="n">
        <v>0</v>
      </c>
      <c r="AD69" s="68" t="n">
        <v>0</v>
      </c>
      <c r="AE69" s="68" t="n">
        <v>0</v>
      </c>
      <c r="AF69" s="79" t="n">
        <v>0</v>
      </c>
      <c r="AG69" s="74" t="n">
        <v>0</v>
      </c>
      <c r="AH69" s="82" t="n">
        <v>67</v>
      </c>
    </row>
    <row r="70" ht="18" customHeight="1">
      <c r="C70" s="68">
        <f>_xlfn.XLOOKUP($A70,'01'!$G$3:$G$100,'01'!$R$3:$R$100,"-")</f>
        <v/>
      </c>
      <c r="D70" s="68">
        <f>_xlfn.XLOOKUP($A70,'02'!$G$3:$G$100,'02'!$R$3:$R$100,"-")</f>
        <v/>
      </c>
      <c r="E70" s="68">
        <f>_xlfn.XLOOKUP($A70,'03'!$G$3:$G$100,'03'!$R$3:$R$100,"-")</f>
        <v/>
      </c>
      <c r="F70" s="68">
        <f>_xlfn.XLOOKUP($A70,'04'!$G$3:$G$100,'04'!$R$3:$R$100,"-")</f>
        <v/>
      </c>
      <c r="G70" s="68">
        <f>_xlfn.XLOOKUP($A70,'05'!$G$3:$G$100,'05'!$R$3:$R$100,"-")</f>
        <v/>
      </c>
      <c r="H70" s="68">
        <f>_xlfn.XLOOKUP($A70,'06'!$G$3:$G$100,'06'!$R$3:$R$100,"-")</f>
        <v/>
      </c>
      <c r="I70" s="68">
        <f>_xlfn.XLOOKUP($A70,'07'!$G$3:$G$100,'07'!$R$3:$R$100,"-")</f>
        <v/>
      </c>
      <c r="J70" s="68">
        <f>_xlfn.XLOOKUP($A70,'08'!$G$3:$G$100,'08'!$R$3:$R$100,"-")</f>
        <v/>
      </c>
      <c r="K70" s="68">
        <f>_xlfn.XLOOKUP($A70,'09'!$G$3:$G$100,'09'!$R$3:$R$100,"-")</f>
        <v/>
      </c>
      <c r="L70" s="68">
        <f>_xlfn.XLOOKUP($A70,'10'!$G$3:$G$100,'10'!$R$3:$R$100,"-")</f>
        <v/>
      </c>
      <c r="M70" s="68">
        <f>_xlfn.XLOOKUP($A70,'11'!$G$3:$G$100,'11'!$R$3:$R$100,"-")</f>
        <v/>
      </c>
      <c r="N70" s="68">
        <f>_xlfn.XLOOKUP($A70,'12'!$G$3:$G$100,'12'!$R$3:$R$100,"-")</f>
        <v/>
      </c>
      <c r="O70" s="79">
        <f>SUM(C70:N70)</f>
        <v/>
      </c>
      <c r="P70" s="74" t="n"/>
      <c r="Q70" s="82" t="n">
        <v>68</v>
      </c>
      <c r="R70" s="38" t="n"/>
      <c r="S70" s="61" t="n">
        <v>0</v>
      </c>
      <c r="T70" s="68" t="n">
        <v>0</v>
      </c>
      <c r="U70" s="68" t="n">
        <v>0</v>
      </c>
      <c r="V70" s="68" t="n">
        <v>0</v>
      </c>
      <c r="W70" s="68" t="n">
        <v>0</v>
      </c>
      <c r="X70" s="68" t="n">
        <v>0</v>
      </c>
      <c r="Y70" s="68" t="n">
        <v>0</v>
      </c>
      <c r="Z70" s="68" t="n">
        <v>0</v>
      </c>
      <c r="AA70" s="68" t="n">
        <v>0</v>
      </c>
      <c r="AB70" s="68" t="n">
        <v>0</v>
      </c>
      <c r="AC70" s="68" t="n">
        <v>0</v>
      </c>
      <c r="AD70" s="68" t="n">
        <v>0</v>
      </c>
      <c r="AE70" s="68" t="n">
        <v>0</v>
      </c>
      <c r="AF70" s="79" t="n">
        <v>0</v>
      </c>
      <c r="AG70" s="74" t="n">
        <v>0</v>
      </c>
      <c r="AH70" s="82" t="n">
        <v>68</v>
      </c>
    </row>
    <row r="71" ht="18" customHeight="1">
      <c r="C71" s="68">
        <f>_xlfn.XLOOKUP($A71,'01'!$G$3:$G$100,'01'!$R$3:$R$100,"-")</f>
        <v/>
      </c>
      <c r="D71" s="68">
        <f>_xlfn.XLOOKUP($A71,'02'!$G$3:$G$100,'02'!$R$3:$R$100,"-")</f>
        <v/>
      </c>
      <c r="E71" s="68">
        <f>_xlfn.XLOOKUP($A71,'03'!$G$3:$G$100,'03'!$R$3:$R$100,"-")</f>
        <v/>
      </c>
      <c r="F71" s="68">
        <f>_xlfn.XLOOKUP($A71,'04'!$G$3:$G$100,'04'!$R$3:$R$100,"-")</f>
        <v/>
      </c>
      <c r="G71" s="68">
        <f>_xlfn.XLOOKUP($A71,'05'!$G$3:$G$100,'05'!$R$3:$R$100,"-")</f>
        <v/>
      </c>
      <c r="H71" s="68">
        <f>_xlfn.XLOOKUP($A71,'06'!$G$3:$G$100,'06'!$R$3:$R$100,"-")</f>
        <v/>
      </c>
      <c r="I71" s="68">
        <f>_xlfn.XLOOKUP($A71,'07'!$G$3:$G$100,'07'!$R$3:$R$100,"-")</f>
        <v/>
      </c>
      <c r="J71" s="68">
        <f>_xlfn.XLOOKUP($A71,'08'!$G$3:$G$100,'08'!$R$3:$R$100,"-")</f>
        <v/>
      </c>
      <c r="K71" s="68">
        <f>_xlfn.XLOOKUP($A71,'09'!$G$3:$G$100,'09'!$R$3:$R$100,"-")</f>
        <v/>
      </c>
      <c r="L71" s="68">
        <f>_xlfn.XLOOKUP($A71,'10'!$G$3:$G$100,'10'!$R$3:$R$100,"-")</f>
        <v/>
      </c>
      <c r="M71" s="68">
        <f>_xlfn.XLOOKUP($A71,'11'!$G$3:$G$100,'11'!$R$3:$R$100,"-")</f>
        <v/>
      </c>
      <c r="N71" s="68">
        <f>_xlfn.XLOOKUP($A71,'12'!$G$3:$G$100,'12'!$R$3:$R$100,"-")</f>
        <v/>
      </c>
      <c r="O71" s="79">
        <f>SUM(C71:N71)</f>
        <v/>
      </c>
      <c r="P71" s="74" t="n"/>
      <c r="Q71" s="82" t="n">
        <v>69</v>
      </c>
      <c r="R71" s="38" t="n"/>
      <c r="S71" s="61" t="n">
        <v>0</v>
      </c>
      <c r="T71" s="68" t="n">
        <v>0</v>
      </c>
      <c r="U71" s="68" t="n">
        <v>0</v>
      </c>
      <c r="V71" s="68" t="n">
        <v>0</v>
      </c>
      <c r="W71" s="68" t="n">
        <v>0</v>
      </c>
      <c r="X71" s="68" t="n">
        <v>0</v>
      </c>
      <c r="Y71" s="68" t="n">
        <v>0</v>
      </c>
      <c r="Z71" s="68" t="n">
        <v>0</v>
      </c>
      <c r="AA71" s="68" t="n">
        <v>0</v>
      </c>
      <c r="AB71" s="68" t="n">
        <v>0</v>
      </c>
      <c r="AC71" s="68" t="n">
        <v>0</v>
      </c>
      <c r="AD71" s="68" t="n">
        <v>0</v>
      </c>
      <c r="AE71" s="68" t="n">
        <v>0</v>
      </c>
      <c r="AF71" s="79" t="n">
        <v>0</v>
      </c>
      <c r="AG71" s="74" t="n">
        <v>0</v>
      </c>
      <c r="AH71" s="82" t="n">
        <v>69</v>
      </c>
    </row>
    <row r="72" ht="18" customHeight="1">
      <c r="C72" s="68">
        <f>_xlfn.XLOOKUP($A72,'01'!$G$3:$G$100,'01'!$R$3:$R$100,"-")</f>
        <v/>
      </c>
      <c r="D72" s="68">
        <f>_xlfn.XLOOKUP($A72,'02'!$G$3:$G$100,'02'!$R$3:$R$100,"-")</f>
        <v/>
      </c>
      <c r="E72" s="68">
        <f>_xlfn.XLOOKUP($A72,'03'!$G$3:$G$100,'03'!$R$3:$R$100,"-")</f>
        <v/>
      </c>
      <c r="F72" s="68">
        <f>_xlfn.XLOOKUP($A72,'04'!$G$3:$G$100,'04'!$R$3:$R$100,"-")</f>
        <v/>
      </c>
      <c r="G72" s="68">
        <f>_xlfn.XLOOKUP($A72,'05'!$G$3:$G$100,'05'!$R$3:$R$100,"-")</f>
        <v/>
      </c>
      <c r="H72" s="68">
        <f>_xlfn.XLOOKUP($A72,'06'!$G$3:$G$100,'06'!$R$3:$R$100,"-")</f>
        <v/>
      </c>
      <c r="I72" s="68">
        <f>_xlfn.XLOOKUP($A72,'07'!$G$3:$G$100,'07'!$R$3:$R$100,"-")</f>
        <v/>
      </c>
      <c r="J72" s="68">
        <f>_xlfn.XLOOKUP($A72,'08'!$G$3:$G$100,'08'!$R$3:$R$100,"-")</f>
        <v/>
      </c>
      <c r="K72" s="68">
        <f>_xlfn.XLOOKUP($A72,'09'!$G$3:$G$100,'09'!$R$3:$R$100,"-")</f>
        <v/>
      </c>
      <c r="L72" s="68">
        <f>_xlfn.XLOOKUP($A72,'10'!$G$3:$G$100,'10'!$R$3:$R$100,"-")</f>
        <v/>
      </c>
      <c r="M72" s="68">
        <f>_xlfn.XLOOKUP($A72,'11'!$G$3:$G$100,'11'!$R$3:$R$100,"-")</f>
        <v/>
      </c>
      <c r="N72" s="68">
        <f>_xlfn.XLOOKUP($A72,'12'!$G$3:$G$100,'12'!$R$3:$R$100,"-")</f>
        <v/>
      </c>
      <c r="O72" s="79">
        <f>SUM(C72:N72)</f>
        <v/>
      </c>
      <c r="P72" s="74" t="n"/>
      <c r="Q72" s="82" t="n">
        <v>70</v>
      </c>
      <c r="R72" s="38" t="n"/>
      <c r="S72" s="61" t="n">
        <v>0</v>
      </c>
      <c r="T72" s="68" t="n">
        <v>0</v>
      </c>
      <c r="U72" s="68" t="n">
        <v>0</v>
      </c>
      <c r="V72" s="68" t="n">
        <v>0</v>
      </c>
      <c r="W72" s="68" t="n">
        <v>0</v>
      </c>
      <c r="X72" s="68" t="n">
        <v>0</v>
      </c>
      <c r="Y72" s="68" t="n">
        <v>0</v>
      </c>
      <c r="Z72" s="68" t="n">
        <v>0</v>
      </c>
      <c r="AA72" s="68" t="n">
        <v>0</v>
      </c>
      <c r="AB72" s="68" t="n">
        <v>0</v>
      </c>
      <c r="AC72" s="68" t="n">
        <v>0</v>
      </c>
      <c r="AD72" s="68" t="n">
        <v>0</v>
      </c>
      <c r="AE72" s="68" t="n">
        <v>0</v>
      </c>
      <c r="AF72" s="79" t="n">
        <v>0</v>
      </c>
      <c r="AG72" s="74" t="n">
        <v>0</v>
      </c>
      <c r="AH72" s="82" t="n">
        <v>70</v>
      </c>
    </row>
    <row r="73" ht="18" customHeight="1">
      <c r="C73" s="68">
        <f>_xlfn.XLOOKUP($A73,'01'!$G$3:$G$100,'01'!$R$3:$R$100,"-")</f>
        <v/>
      </c>
      <c r="D73" s="68">
        <f>_xlfn.XLOOKUP($A73,'02'!$G$3:$G$100,'02'!$R$3:$R$100,"-")</f>
        <v/>
      </c>
      <c r="E73" s="68">
        <f>_xlfn.XLOOKUP($A73,'03'!$G$3:$G$100,'03'!$R$3:$R$100,"-")</f>
        <v/>
      </c>
      <c r="F73" s="68">
        <f>_xlfn.XLOOKUP($A73,'04'!$G$3:$G$100,'04'!$R$3:$R$100,"-")</f>
        <v/>
      </c>
      <c r="G73" s="68">
        <f>_xlfn.XLOOKUP($A73,'05'!$G$3:$G$100,'05'!$R$3:$R$100,"-")</f>
        <v/>
      </c>
      <c r="H73" s="68">
        <f>_xlfn.XLOOKUP($A73,'06'!$G$3:$G$100,'06'!$R$3:$R$100,"-")</f>
        <v/>
      </c>
      <c r="I73" s="68">
        <f>_xlfn.XLOOKUP($A73,'07'!$G$3:$G$100,'07'!$R$3:$R$100,"-")</f>
        <v/>
      </c>
      <c r="J73" s="68">
        <f>_xlfn.XLOOKUP($A73,'08'!$G$3:$G$100,'08'!$R$3:$R$100,"-")</f>
        <v/>
      </c>
      <c r="K73" s="68">
        <f>_xlfn.XLOOKUP($A73,'09'!$G$3:$G$100,'09'!$R$3:$R$100,"-")</f>
        <v/>
      </c>
      <c r="L73" s="68">
        <f>_xlfn.XLOOKUP($A73,'10'!$G$3:$G$100,'10'!$R$3:$R$100,"-")</f>
        <v/>
      </c>
      <c r="M73" s="68">
        <f>_xlfn.XLOOKUP($A73,'11'!$G$3:$G$100,'11'!$R$3:$R$100,"-")</f>
        <v/>
      </c>
      <c r="N73" s="68">
        <f>_xlfn.XLOOKUP($A73,'12'!$G$3:$G$100,'12'!$R$3:$R$100,"-")</f>
        <v/>
      </c>
      <c r="O73" s="79">
        <f>SUM(C73:N73)</f>
        <v/>
      </c>
      <c r="P73" s="74" t="n"/>
      <c r="Q73" s="82" t="n">
        <v>71</v>
      </c>
      <c r="R73" s="38" t="n"/>
      <c r="S73" s="61" t="n">
        <v>0</v>
      </c>
      <c r="T73" s="68" t="n">
        <v>0</v>
      </c>
      <c r="U73" s="68" t="n">
        <v>0</v>
      </c>
      <c r="V73" s="68" t="n">
        <v>0</v>
      </c>
      <c r="W73" s="68" t="n">
        <v>0</v>
      </c>
      <c r="X73" s="68" t="n">
        <v>0</v>
      </c>
      <c r="Y73" s="68" t="n">
        <v>0</v>
      </c>
      <c r="Z73" s="68" t="n">
        <v>0</v>
      </c>
      <c r="AA73" s="68" t="n">
        <v>0</v>
      </c>
      <c r="AB73" s="68" t="n">
        <v>0</v>
      </c>
      <c r="AC73" s="68" t="n">
        <v>0</v>
      </c>
      <c r="AD73" s="68" t="n">
        <v>0</v>
      </c>
      <c r="AE73" s="68" t="n">
        <v>0</v>
      </c>
      <c r="AF73" s="79" t="n">
        <v>0</v>
      </c>
      <c r="AG73" s="74" t="n">
        <v>0</v>
      </c>
      <c r="AH73" s="82" t="n">
        <v>71</v>
      </c>
    </row>
    <row r="74" ht="18" customHeight="1">
      <c r="C74" s="68">
        <f>_xlfn.XLOOKUP($A74,'01'!$G$3:$G$100,'01'!$R$3:$R$100,"-")</f>
        <v/>
      </c>
      <c r="D74" s="68">
        <f>_xlfn.XLOOKUP($A74,'02'!$G$3:$G$100,'02'!$R$3:$R$100,"-")</f>
        <v/>
      </c>
      <c r="E74" s="68">
        <f>_xlfn.XLOOKUP($A74,'03'!$G$3:$G$100,'03'!$R$3:$R$100,"-")</f>
        <v/>
      </c>
      <c r="F74" s="68">
        <f>_xlfn.XLOOKUP($A74,'04'!$G$3:$G$100,'04'!$R$3:$R$100,"-")</f>
        <v/>
      </c>
      <c r="G74" s="68">
        <f>_xlfn.XLOOKUP($A74,'05'!$G$3:$G$100,'05'!$R$3:$R$100,"-")</f>
        <v/>
      </c>
      <c r="H74" s="68">
        <f>_xlfn.XLOOKUP($A74,'06'!$G$3:$G$100,'06'!$R$3:$R$100,"-")</f>
        <v/>
      </c>
      <c r="I74" s="68">
        <f>_xlfn.XLOOKUP($A74,'07'!$G$3:$G$100,'07'!$R$3:$R$100,"-")</f>
        <v/>
      </c>
      <c r="J74" s="68">
        <f>_xlfn.XLOOKUP($A74,'08'!$G$3:$G$100,'08'!$R$3:$R$100,"-")</f>
        <v/>
      </c>
      <c r="K74" s="68">
        <f>_xlfn.XLOOKUP($A74,'09'!$G$3:$G$100,'09'!$R$3:$R$100,"-")</f>
        <v/>
      </c>
      <c r="L74" s="68">
        <f>_xlfn.XLOOKUP($A74,'10'!$G$3:$G$100,'10'!$R$3:$R$100,"-")</f>
        <v/>
      </c>
      <c r="M74" s="68">
        <f>_xlfn.XLOOKUP($A74,'11'!$G$3:$G$100,'11'!$R$3:$R$100,"-")</f>
        <v/>
      </c>
      <c r="N74" s="68">
        <f>_xlfn.XLOOKUP($A74,'12'!$G$3:$G$100,'12'!$R$3:$R$100,"-")</f>
        <v/>
      </c>
      <c r="O74" s="79">
        <f>SUM(C74:N74)</f>
        <v/>
      </c>
      <c r="P74" s="74" t="n"/>
      <c r="Q74" s="82" t="n">
        <v>72</v>
      </c>
      <c r="R74" s="38" t="n"/>
      <c r="S74" s="61" t="n">
        <v>0</v>
      </c>
      <c r="T74" s="68" t="n">
        <v>0</v>
      </c>
      <c r="U74" s="68" t="n">
        <v>0</v>
      </c>
      <c r="V74" s="68" t="n">
        <v>0</v>
      </c>
      <c r="W74" s="68" t="n">
        <v>0</v>
      </c>
      <c r="X74" s="68" t="n">
        <v>0</v>
      </c>
      <c r="Y74" s="68" t="n">
        <v>0</v>
      </c>
      <c r="Z74" s="68" t="n">
        <v>0</v>
      </c>
      <c r="AA74" s="68" t="n">
        <v>0</v>
      </c>
      <c r="AB74" s="68" t="n">
        <v>0</v>
      </c>
      <c r="AC74" s="68" t="n">
        <v>0</v>
      </c>
      <c r="AD74" s="68" t="n">
        <v>0</v>
      </c>
      <c r="AE74" s="68" t="n">
        <v>0</v>
      </c>
      <c r="AF74" s="79" t="n">
        <v>0</v>
      </c>
      <c r="AG74" s="74" t="n">
        <v>0</v>
      </c>
      <c r="AH74" s="82" t="n">
        <v>72</v>
      </c>
    </row>
    <row r="75" ht="18" customHeight="1">
      <c r="C75" s="68">
        <f>_xlfn.XLOOKUP($A75,'01'!$G$3:$G$100,'01'!$R$3:$R$100,"-")</f>
        <v/>
      </c>
      <c r="D75" s="68">
        <f>_xlfn.XLOOKUP($A75,'02'!$G$3:$G$100,'02'!$R$3:$R$100,"-")</f>
        <v/>
      </c>
      <c r="E75" s="68">
        <f>_xlfn.XLOOKUP($A75,'03'!$G$3:$G$100,'03'!$R$3:$R$100,"-")</f>
        <v/>
      </c>
      <c r="F75" s="68">
        <f>_xlfn.XLOOKUP($A75,'04'!$G$3:$G$100,'04'!$R$3:$R$100,"-")</f>
        <v/>
      </c>
      <c r="G75" s="68">
        <f>_xlfn.XLOOKUP($A75,'05'!$G$3:$G$100,'05'!$R$3:$R$100,"-")</f>
        <v/>
      </c>
      <c r="H75" s="68">
        <f>_xlfn.XLOOKUP($A75,'06'!$G$3:$G$100,'06'!$R$3:$R$100,"-")</f>
        <v/>
      </c>
      <c r="I75" s="68">
        <f>_xlfn.XLOOKUP($A75,'07'!$G$3:$G$100,'07'!$R$3:$R$100,"-")</f>
        <v/>
      </c>
      <c r="J75" s="68">
        <f>_xlfn.XLOOKUP($A75,'08'!$G$3:$G$100,'08'!$R$3:$R$100,"-")</f>
        <v/>
      </c>
      <c r="K75" s="68">
        <f>_xlfn.XLOOKUP($A75,'09'!$G$3:$G$100,'09'!$R$3:$R$100,"-")</f>
        <v/>
      </c>
      <c r="L75" s="68">
        <f>_xlfn.XLOOKUP($A75,'10'!$G$3:$G$100,'10'!$R$3:$R$100,"-")</f>
        <v/>
      </c>
      <c r="M75" s="68">
        <f>_xlfn.XLOOKUP($A75,'11'!$G$3:$G$100,'11'!$R$3:$R$100,"-")</f>
        <v/>
      </c>
      <c r="N75" s="68">
        <f>_xlfn.XLOOKUP($A75,'12'!$G$3:$G$100,'12'!$R$3:$R$100,"-")</f>
        <v/>
      </c>
      <c r="O75" s="79">
        <f>SUM(C75:N75)</f>
        <v/>
      </c>
      <c r="P75" s="74" t="n"/>
      <c r="Q75" s="82" t="n">
        <v>73</v>
      </c>
      <c r="R75" s="38" t="n"/>
      <c r="S75" s="61" t="n">
        <v>0</v>
      </c>
      <c r="T75" s="68" t="n">
        <v>0</v>
      </c>
      <c r="U75" s="68" t="n">
        <v>0</v>
      </c>
      <c r="V75" s="68" t="n">
        <v>0</v>
      </c>
      <c r="W75" s="68" t="n">
        <v>0</v>
      </c>
      <c r="X75" s="68" t="n">
        <v>0</v>
      </c>
      <c r="Y75" s="68" t="n">
        <v>0</v>
      </c>
      <c r="Z75" s="68" t="n">
        <v>0</v>
      </c>
      <c r="AA75" s="68" t="n">
        <v>0</v>
      </c>
      <c r="AB75" s="68" t="n">
        <v>0</v>
      </c>
      <c r="AC75" s="68" t="n">
        <v>0</v>
      </c>
      <c r="AD75" s="68" t="n">
        <v>0</v>
      </c>
      <c r="AE75" s="68" t="n">
        <v>0</v>
      </c>
      <c r="AF75" s="79" t="n">
        <v>0</v>
      </c>
      <c r="AG75" s="74" t="n">
        <v>0</v>
      </c>
      <c r="AH75" s="82" t="n">
        <v>73</v>
      </c>
    </row>
    <row r="76" ht="18" customHeight="1">
      <c r="C76" s="68">
        <f>_xlfn.XLOOKUP($A76,'01'!$G$3:$G$100,'01'!$R$3:$R$100,"-")</f>
        <v/>
      </c>
      <c r="D76" s="68">
        <f>_xlfn.XLOOKUP($A76,'02'!$G$3:$G$100,'02'!$R$3:$R$100,"-")</f>
        <v/>
      </c>
      <c r="E76" s="68">
        <f>_xlfn.XLOOKUP($A76,'03'!$G$3:$G$100,'03'!$R$3:$R$100,"-")</f>
        <v/>
      </c>
      <c r="F76" s="68">
        <f>_xlfn.XLOOKUP($A76,'04'!$G$3:$G$100,'04'!$R$3:$R$100,"-")</f>
        <v/>
      </c>
      <c r="G76" s="68">
        <f>_xlfn.XLOOKUP($A76,'05'!$G$3:$G$100,'05'!$R$3:$R$100,"-")</f>
        <v/>
      </c>
      <c r="H76" s="68">
        <f>_xlfn.XLOOKUP($A76,'06'!$G$3:$G$100,'06'!$R$3:$R$100,"-")</f>
        <v/>
      </c>
      <c r="I76" s="68">
        <f>_xlfn.XLOOKUP($A76,'07'!$G$3:$G$100,'07'!$R$3:$R$100,"-")</f>
        <v/>
      </c>
      <c r="J76" s="68">
        <f>_xlfn.XLOOKUP($A76,'08'!$G$3:$G$100,'08'!$R$3:$R$100,"-")</f>
        <v/>
      </c>
      <c r="K76" s="68">
        <f>_xlfn.XLOOKUP($A76,'09'!$G$3:$G$100,'09'!$R$3:$R$100,"-")</f>
        <v/>
      </c>
      <c r="L76" s="68">
        <f>_xlfn.XLOOKUP($A76,'10'!$G$3:$G$100,'10'!$R$3:$R$100,"-")</f>
        <v/>
      </c>
      <c r="M76" s="68">
        <f>_xlfn.XLOOKUP($A76,'11'!$G$3:$G$100,'11'!$R$3:$R$100,"-")</f>
        <v/>
      </c>
      <c r="N76" s="68">
        <f>_xlfn.XLOOKUP($A76,'12'!$G$3:$G$100,'12'!$R$3:$R$100,"-")</f>
        <v/>
      </c>
      <c r="O76" s="79">
        <f>SUM(C76:N76)</f>
        <v/>
      </c>
      <c r="P76" s="74" t="n"/>
      <c r="Q76" s="82" t="n">
        <v>74</v>
      </c>
      <c r="R76" s="38" t="n"/>
      <c r="S76" s="61" t="n">
        <v>0</v>
      </c>
      <c r="T76" s="68" t="n">
        <v>0</v>
      </c>
      <c r="U76" s="68" t="n">
        <v>0</v>
      </c>
      <c r="V76" s="68" t="n">
        <v>0</v>
      </c>
      <c r="W76" s="68" t="n">
        <v>0</v>
      </c>
      <c r="X76" s="68" t="n">
        <v>0</v>
      </c>
      <c r="Y76" s="68" t="n">
        <v>0</v>
      </c>
      <c r="Z76" s="68" t="n">
        <v>0</v>
      </c>
      <c r="AA76" s="68" t="n">
        <v>0</v>
      </c>
      <c r="AB76" s="68" t="n">
        <v>0</v>
      </c>
      <c r="AC76" s="68" t="n">
        <v>0</v>
      </c>
      <c r="AD76" s="68" t="n">
        <v>0</v>
      </c>
      <c r="AE76" s="68" t="n">
        <v>0</v>
      </c>
      <c r="AF76" s="79" t="n">
        <v>0</v>
      </c>
      <c r="AG76" s="74" t="n">
        <v>0</v>
      </c>
      <c r="AH76" s="82" t="n">
        <v>74</v>
      </c>
    </row>
    <row r="77" ht="18" customHeight="1">
      <c r="C77" s="68">
        <f>_xlfn.XLOOKUP($A77,'01'!$G$3:$G$100,'01'!$R$3:$R$100,"-")</f>
        <v/>
      </c>
      <c r="D77" s="68">
        <f>_xlfn.XLOOKUP($A77,'02'!$G$3:$G$100,'02'!$R$3:$R$100,"-")</f>
        <v/>
      </c>
      <c r="E77" s="68">
        <f>_xlfn.XLOOKUP($A77,'03'!$G$3:$G$100,'03'!$R$3:$R$100,"-")</f>
        <v/>
      </c>
      <c r="F77" s="68">
        <f>_xlfn.XLOOKUP($A77,'04'!$G$3:$G$100,'04'!$R$3:$R$100,"-")</f>
        <v/>
      </c>
      <c r="G77" s="68">
        <f>_xlfn.XLOOKUP($A77,'05'!$G$3:$G$100,'05'!$R$3:$R$100,"-")</f>
        <v/>
      </c>
      <c r="H77" s="68">
        <f>_xlfn.XLOOKUP($A77,'06'!$G$3:$G$100,'06'!$R$3:$R$100,"-")</f>
        <v/>
      </c>
      <c r="I77" s="68">
        <f>_xlfn.XLOOKUP($A77,'07'!$G$3:$G$100,'07'!$R$3:$R$100,"-")</f>
        <v/>
      </c>
      <c r="J77" s="68">
        <f>_xlfn.XLOOKUP($A77,'08'!$G$3:$G$100,'08'!$R$3:$R$100,"-")</f>
        <v/>
      </c>
      <c r="K77" s="68">
        <f>_xlfn.XLOOKUP($A77,'09'!$G$3:$G$100,'09'!$R$3:$R$100,"-")</f>
        <v/>
      </c>
      <c r="L77" s="68">
        <f>_xlfn.XLOOKUP($A77,'10'!$G$3:$G$100,'10'!$R$3:$R$100,"-")</f>
        <v/>
      </c>
      <c r="M77" s="68">
        <f>_xlfn.XLOOKUP($A77,'11'!$G$3:$G$100,'11'!$R$3:$R$100,"-")</f>
        <v/>
      </c>
      <c r="N77" s="68">
        <f>_xlfn.XLOOKUP($A77,'12'!$G$3:$G$100,'12'!$R$3:$R$100,"-")</f>
        <v/>
      </c>
      <c r="O77" s="79">
        <f>SUM(C77:N77)</f>
        <v/>
      </c>
      <c r="P77" s="74" t="n"/>
      <c r="Q77" s="83" t="n">
        <v>75</v>
      </c>
      <c r="R77" s="38" t="n"/>
      <c r="S77" s="61" t="n">
        <v>0</v>
      </c>
      <c r="T77" s="68" t="n">
        <v>0</v>
      </c>
      <c r="U77" s="68" t="n">
        <v>0</v>
      </c>
      <c r="V77" s="68" t="n">
        <v>0</v>
      </c>
      <c r="W77" s="68" t="n">
        <v>0</v>
      </c>
      <c r="X77" s="68" t="n">
        <v>0</v>
      </c>
      <c r="Y77" s="68" t="n">
        <v>0</v>
      </c>
      <c r="Z77" s="68" t="n">
        <v>0</v>
      </c>
      <c r="AA77" s="68" t="n">
        <v>0</v>
      </c>
      <c r="AB77" s="68" t="n">
        <v>0</v>
      </c>
      <c r="AC77" s="68" t="n">
        <v>0</v>
      </c>
      <c r="AD77" s="68" t="n">
        <v>0</v>
      </c>
      <c r="AE77" s="68" t="n">
        <v>0</v>
      </c>
      <c r="AF77" s="79" t="n">
        <v>0</v>
      </c>
      <c r="AG77" s="74" t="n">
        <v>0</v>
      </c>
      <c r="AH77" s="83" t="n">
        <v>75</v>
      </c>
    </row>
    <row r="78" ht="18" customHeight="1">
      <c r="C78" s="68">
        <f>_xlfn.XLOOKUP($A78,'01'!$G$3:$G$100,'01'!$R$3:$R$100,"-")</f>
        <v/>
      </c>
      <c r="D78" s="68">
        <f>_xlfn.XLOOKUP($A78,'02'!$G$3:$G$100,'02'!$R$3:$R$100,"-")</f>
        <v/>
      </c>
      <c r="E78" s="68">
        <f>_xlfn.XLOOKUP($A78,'03'!$G$3:$G$100,'03'!$R$3:$R$100,"-")</f>
        <v/>
      </c>
      <c r="F78" s="68">
        <f>_xlfn.XLOOKUP($A78,'04'!$G$3:$G$100,'04'!$R$3:$R$100,"-")</f>
        <v/>
      </c>
      <c r="G78" s="68">
        <f>_xlfn.XLOOKUP($A78,'05'!$G$3:$G$100,'05'!$R$3:$R$100,"-")</f>
        <v/>
      </c>
      <c r="H78" s="68">
        <f>_xlfn.XLOOKUP($A78,'06'!$G$3:$G$100,'06'!$R$3:$R$100,"-")</f>
        <v/>
      </c>
      <c r="I78" s="68">
        <f>_xlfn.XLOOKUP($A78,'07'!$G$3:$G$100,'07'!$R$3:$R$100,"-")</f>
        <v/>
      </c>
      <c r="J78" s="68">
        <f>_xlfn.XLOOKUP($A78,'08'!$G$3:$G$100,'08'!$R$3:$R$100,"-")</f>
        <v/>
      </c>
      <c r="K78" s="68">
        <f>_xlfn.XLOOKUP($A78,'09'!$G$3:$G$100,'09'!$R$3:$R$100,"-")</f>
        <v/>
      </c>
      <c r="L78" s="68">
        <f>_xlfn.XLOOKUP($A78,'10'!$G$3:$G$100,'10'!$R$3:$R$100,"-")</f>
        <v/>
      </c>
      <c r="M78" s="68">
        <f>_xlfn.XLOOKUP($A78,'11'!$G$3:$G$100,'11'!$R$3:$R$100,"-")</f>
        <v/>
      </c>
      <c r="N78" s="68">
        <f>_xlfn.XLOOKUP($A78,'12'!$G$3:$G$100,'12'!$R$3:$R$100,"-")</f>
        <v/>
      </c>
      <c r="O78" s="79">
        <f>SUM(C78:N78)</f>
        <v/>
      </c>
      <c r="P78" s="74" t="n"/>
      <c r="Q78" s="82" t="n">
        <v>76</v>
      </c>
      <c r="R78" s="38" t="n"/>
      <c r="S78" s="61" t="n">
        <v>0</v>
      </c>
      <c r="T78" s="68" t="n">
        <v>0</v>
      </c>
      <c r="U78" s="68" t="n">
        <v>0</v>
      </c>
      <c r="V78" s="68" t="n">
        <v>0</v>
      </c>
      <c r="W78" s="68" t="n">
        <v>0</v>
      </c>
      <c r="X78" s="68" t="n">
        <v>0</v>
      </c>
      <c r="Y78" s="68" t="n">
        <v>0</v>
      </c>
      <c r="Z78" s="68" t="n">
        <v>0</v>
      </c>
      <c r="AA78" s="68" t="n">
        <v>0</v>
      </c>
      <c r="AB78" s="68" t="n">
        <v>0</v>
      </c>
      <c r="AC78" s="68" t="n">
        <v>0</v>
      </c>
      <c r="AD78" s="68" t="n">
        <v>0</v>
      </c>
      <c r="AE78" s="68" t="n">
        <v>0</v>
      </c>
      <c r="AF78" s="79" t="n">
        <v>0</v>
      </c>
      <c r="AG78" s="74" t="n">
        <v>0</v>
      </c>
      <c r="AH78" s="82" t="n">
        <v>76</v>
      </c>
    </row>
    <row r="79" ht="18" customHeight="1">
      <c r="C79" s="68">
        <f>_xlfn.XLOOKUP($A79,'01'!$G$3:$G$100,'01'!$R$3:$R$100,"-")</f>
        <v/>
      </c>
      <c r="D79" s="68">
        <f>_xlfn.XLOOKUP($A79,'02'!$G$3:$G$100,'02'!$R$3:$R$100,"-")</f>
        <v/>
      </c>
      <c r="E79" s="68">
        <f>_xlfn.XLOOKUP($A79,'03'!$G$3:$G$100,'03'!$R$3:$R$100,"-")</f>
        <v/>
      </c>
      <c r="F79" s="68">
        <f>_xlfn.XLOOKUP($A79,'04'!$G$3:$G$100,'04'!$R$3:$R$100,"-")</f>
        <v/>
      </c>
      <c r="G79" s="68">
        <f>_xlfn.XLOOKUP($A79,'05'!$G$3:$G$100,'05'!$R$3:$R$100,"-")</f>
        <v/>
      </c>
      <c r="H79" s="68">
        <f>_xlfn.XLOOKUP($A79,'06'!$G$3:$G$100,'06'!$R$3:$R$100,"-")</f>
        <v/>
      </c>
      <c r="I79" s="68">
        <f>_xlfn.XLOOKUP($A79,'07'!$G$3:$G$100,'07'!$R$3:$R$100,"-")</f>
        <v/>
      </c>
      <c r="J79" s="68">
        <f>_xlfn.XLOOKUP($A79,'08'!$G$3:$G$100,'08'!$R$3:$R$100,"-")</f>
        <v/>
      </c>
      <c r="K79" s="68">
        <f>_xlfn.XLOOKUP($A79,'09'!$G$3:$G$100,'09'!$R$3:$R$100,"-")</f>
        <v/>
      </c>
      <c r="L79" s="68">
        <f>_xlfn.XLOOKUP($A79,'10'!$G$3:$G$100,'10'!$R$3:$R$100,"-")</f>
        <v/>
      </c>
      <c r="M79" s="68">
        <f>_xlfn.XLOOKUP($A79,'11'!$G$3:$G$100,'11'!$R$3:$R$100,"-")</f>
        <v/>
      </c>
      <c r="N79" s="68">
        <f>_xlfn.XLOOKUP($A79,'12'!$G$3:$G$100,'12'!$R$3:$R$100,"-")</f>
        <v/>
      </c>
      <c r="O79" s="79">
        <f>SUM(C79:N79)</f>
        <v/>
      </c>
      <c r="P79" s="74" t="n"/>
      <c r="Q79" s="82" t="n">
        <v>77</v>
      </c>
      <c r="R79" s="38" t="n"/>
      <c r="S79" s="61" t="n">
        <v>0</v>
      </c>
      <c r="T79" s="68" t="n">
        <v>0</v>
      </c>
      <c r="U79" s="68" t="n">
        <v>0</v>
      </c>
      <c r="V79" s="68" t="n">
        <v>0</v>
      </c>
      <c r="W79" s="68" t="n">
        <v>0</v>
      </c>
      <c r="X79" s="68" t="n">
        <v>0</v>
      </c>
      <c r="Y79" s="68" t="n">
        <v>0</v>
      </c>
      <c r="Z79" s="68" t="n">
        <v>0</v>
      </c>
      <c r="AA79" s="68" t="n">
        <v>0</v>
      </c>
      <c r="AB79" s="68" t="n">
        <v>0</v>
      </c>
      <c r="AC79" s="68" t="n">
        <v>0</v>
      </c>
      <c r="AD79" s="68" t="n">
        <v>0</v>
      </c>
      <c r="AE79" s="68" t="n">
        <v>0</v>
      </c>
      <c r="AF79" s="79" t="n">
        <v>0</v>
      </c>
      <c r="AG79" s="74" t="n">
        <v>0</v>
      </c>
      <c r="AH79" s="82" t="n">
        <v>77</v>
      </c>
    </row>
    <row r="80" ht="18" customHeight="1">
      <c r="C80" s="68">
        <f>_xlfn.XLOOKUP($A80,'01'!$G$3:$G$100,'01'!$R$3:$R$100,"-")</f>
        <v/>
      </c>
      <c r="D80" s="68">
        <f>_xlfn.XLOOKUP($A80,'02'!$G$3:$G$100,'02'!$R$3:$R$100,"-")</f>
        <v/>
      </c>
      <c r="E80" s="68">
        <f>_xlfn.XLOOKUP($A80,'03'!$G$3:$G$100,'03'!$R$3:$R$100,"-")</f>
        <v/>
      </c>
      <c r="F80" s="68">
        <f>_xlfn.XLOOKUP($A80,'04'!$G$3:$G$100,'04'!$R$3:$R$100,"-")</f>
        <v/>
      </c>
      <c r="G80" s="68">
        <f>_xlfn.XLOOKUP($A80,'05'!$G$3:$G$100,'05'!$R$3:$R$100,"-")</f>
        <v/>
      </c>
      <c r="H80" s="68">
        <f>_xlfn.XLOOKUP($A80,'06'!$G$3:$G$100,'06'!$R$3:$R$100,"-")</f>
        <v/>
      </c>
      <c r="I80" s="68">
        <f>_xlfn.XLOOKUP($A80,'07'!$G$3:$G$100,'07'!$R$3:$R$100,"-")</f>
        <v/>
      </c>
      <c r="J80" s="68">
        <f>_xlfn.XLOOKUP($A80,'08'!$G$3:$G$100,'08'!$R$3:$R$100,"-")</f>
        <v/>
      </c>
      <c r="K80" s="68">
        <f>_xlfn.XLOOKUP($A80,'09'!$G$3:$G$100,'09'!$R$3:$R$100,"-")</f>
        <v/>
      </c>
      <c r="L80" s="68">
        <f>_xlfn.XLOOKUP($A80,'10'!$G$3:$G$100,'10'!$R$3:$R$100,"-")</f>
        <v/>
      </c>
      <c r="M80" s="68">
        <f>_xlfn.XLOOKUP($A80,'11'!$G$3:$G$100,'11'!$R$3:$R$100,"-")</f>
        <v/>
      </c>
      <c r="N80" s="68">
        <f>_xlfn.XLOOKUP($A80,'12'!$G$3:$G$100,'12'!$R$3:$R$100,"-")</f>
        <v/>
      </c>
      <c r="O80" s="79">
        <f>SUM(C80:N80)</f>
        <v/>
      </c>
      <c r="P80" s="74" t="n"/>
      <c r="Q80" s="82" t="n">
        <v>78</v>
      </c>
      <c r="R80" s="38" t="n"/>
      <c r="S80" s="61" t="n">
        <v>0</v>
      </c>
      <c r="T80" s="68" t="n">
        <v>0</v>
      </c>
      <c r="U80" s="68" t="n">
        <v>0</v>
      </c>
      <c r="V80" s="68" t="n">
        <v>0</v>
      </c>
      <c r="W80" s="68" t="n">
        <v>0</v>
      </c>
      <c r="X80" s="68" t="n">
        <v>0</v>
      </c>
      <c r="Y80" s="68" t="n">
        <v>0</v>
      </c>
      <c r="Z80" s="68" t="n">
        <v>0</v>
      </c>
      <c r="AA80" s="68" t="n">
        <v>0</v>
      </c>
      <c r="AB80" s="68" t="n">
        <v>0</v>
      </c>
      <c r="AC80" s="68" t="n">
        <v>0</v>
      </c>
      <c r="AD80" s="68" t="n">
        <v>0</v>
      </c>
      <c r="AE80" s="68" t="n">
        <v>0</v>
      </c>
      <c r="AF80" s="79" t="n">
        <v>0</v>
      </c>
      <c r="AG80" s="74" t="n">
        <v>0</v>
      </c>
      <c r="AH80" s="82" t="n">
        <v>78</v>
      </c>
    </row>
    <row r="81" ht="18" customHeight="1">
      <c r="C81" s="68">
        <f>_xlfn.XLOOKUP($A81,'01'!$G$3:$G$100,'01'!$R$3:$R$100,"-")</f>
        <v/>
      </c>
      <c r="D81" s="68">
        <f>_xlfn.XLOOKUP($A81,'02'!$G$3:$G$100,'02'!$R$3:$R$100,"-")</f>
        <v/>
      </c>
      <c r="E81" s="68">
        <f>_xlfn.XLOOKUP($A81,'03'!$G$3:$G$100,'03'!$R$3:$R$100,"-")</f>
        <v/>
      </c>
      <c r="F81" s="68">
        <f>_xlfn.XLOOKUP($A81,'04'!$G$3:$G$100,'04'!$R$3:$R$100,"-")</f>
        <v/>
      </c>
      <c r="G81" s="68">
        <f>_xlfn.XLOOKUP($A81,'05'!$G$3:$G$100,'05'!$R$3:$R$100,"-")</f>
        <v/>
      </c>
      <c r="H81" s="68">
        <f>_xlfn.XLOOKUP($A81,'06'!$G$3:$G$100,'06'!$R$3:$R$100,"-")</f>
        <v/>
      </c>
      <c r="I81" s="68">
        <f>_xlfn.XLOOKUP($A81,'07'!$G$3:$G$100,'07'!$R$3:$R$100,"-")</f>
        <v/>
      </c>
      <c r="J81" s="68">
        <f>_xlfn.XLOOKUP($A81,'08'!$G$3:$G$100,'08'!$R$3:$R$100,"-")</f>
        <v/>
      </c>
      <c r="K81" s="68">
        <f>_xlfn.XLOOKUP($A81,'09'!$G$3:$G$100,'09'!$R$3:$R$100,"-")</f>
        <v/>
      </c>
      <c r="L81" s="68">
        <f>_xlfn.XLOOKUP($A81,'10'!$G$3:$G$100,'10'!$R$3:$R$100,"-")</f>
        <v/>
      </c>
      <c r="M81" s="68">
        <f>_xlfn.XLOOKUP($A81,'11'!$G$3:$G$100,'11'!$R$3:$R$100,"-")</f>
        <v/>
      </c>
      <c r="N81" s="68">
        <f>_xlfn.XLOOKUP($A81,'12'!$G$3:$G$100,'12'!$R$3:$R$100,"-")</f>
        <v/>
      </c>
      <c r="O81" s="79">
        <f>SUM(C81:N81)</f>
        <v/>
      </c>
      <c r="P81" s="74" t="n"/>
      <c r="Q81" s="82" t="n">
        <v>79</v>
      </c>
      <c r="R81" s="38" t="n"/>
      <c r="S81" s="61" t="n">
        <v>0</v>
      </c>
      <c r="T81" s="68" t="n">
        <v>0</v>
      </c>
      <c r="U81" s="68" t="n">
        <v>0</v>
      </c>
      <c r="V81" s="68" t="n">
        <v>0</v>
      </c>
      <c r="W81" s="68" t="n">
        <v>0</v>
      </c>
      <c r="X81" s="68" t="n">
        <v>0</v>
      </c>
      <c r="Y81" s="68" t="n">
        <v>0</v>
      </c>
      <c r="Z81" s="68" t="n">
        <v>0</v>
      </c>
      <c r="AA81" s="68" t="n">
        <v>0</v>
      </c>
      <c r="AB81" s="68" t="n">
        <v>0</v>
      </c>
      <c r="AC81" s="68" t="n">
        <v>0</v>
      </c>
      <c r="AD81" s="68" t="n">
        <v>0</v>
      </c>
      <c r="AE81" s="68" t="n">
        <v>0</v>
      </c>
      <c r="AF81" s="79" t="n">
        <v>0</v>
      </c>
      <c r="AG81" s="74" t="n">
        <v>0</v>
      </c>
      <c r="AH81" s="82" t="n">
        <v>79</v>
      </c>
    </row>
    <row r="82" ht="18" customHeight="1">
      <c r="C82" s="68">
        <f>_xlfn.XLOOKUP($A82,'01'!$G$3:$G$100,'01'!$R$3:$R$100,"-")</f>
        <v/>
      </c>
      <c r="D82" s="68">
        <f>_xlfn.XLOOKUP($A82,'02'!$G$3:$G$100,'02'!$R$3:$R$100,"-")</f>
        <v/>
      </c>
      <c r="E82" s="68">
        <f>_xlfn.XLOOKUP($A82,'03'!$G$3:$G$100,'03'!$R$3:$R$100,"-")</f>
        <v/>
      </c>
      <c r="F82" s="68">
        <f>_xlfn.XLOOKUP($A82,'04'!$G$3:$G$100,'04'!$R$3:$R$100,"-")</f>
        <v/>
      </c>
      <c r="G82" s="68">
        <f>_xlfn.XLOOKUP($A82,'05'!$G$3:$G$100,'05'!$R$3:$R$100,"-")</f>
        <v/>
      </c>
      <c r="H82" s="68">
        <f>_xlfn.XLOOKUP($A82,'06'!$G$3:$G$100,'06'!$R$3:$R$100,"-")</f>
        <v/>
      </c>
      <c r="I82" s="68">
        <f>_xlfn.XLOOKUP($A82,'07'!$G$3:$G$100,'07'!$R$3:$R$100,"-")</f>
        <v/>
      </c>
      <c r="J82" s="68">
        <f>_xlfn.XLOOKUP($A82,'08'!$G$3:$G$100,'08'!$R$3:$R$100,"-")</f>
        <v/>
      </c>
      <c r="K82" s="68">
        <f>_xlfn.XLOOKUP($A82,'09'!$G$3:$G$100,'09'!$R$3:$R$100,"-")</f>
        <v/>
      </c>
      <c r="L82" s="68">
        <f>_xlfn.XLOOKUP($A82,'10'!$G$3:$G$100,'10'!$R$3:$R$100,"-")</f>
        <v/>
      </c>
      <c r="M82" s="68">
        <f>_xlfn.XLOOKUP($A82,'11'!$G$3:$G$100,'11'!$R$3:$R$100,"-")</f>
        <v/>
      </c>
      <c r="N82" s="68">
        <f>_xlfn.XLOOKUP($A82,'12'!$G$3:$G$100,'12'!$R$3:$R$100,"-")</f>
        <v/>
      </c>
      <c r="O82" s="79">
        <f>SUM(C82:N82)</f>
        <v/>
      </c>
      <c r="P82" s="74" t="n"/>
      <c r="Q82" s="82" t="n">
        <v>80</v>
      </c>
      <c r="R82" s="38" t="n"/>
      <c r="S82" s="61" t="n">
        <v>0</v>
      </c>
      <c r="T82" s="68" t="n">
        <v>0</v>
      </c>
      <c r="U82" s="68" t="n">
        <v>0</v>
      </c>
      <c r="V82" s="68" t="n">
        <v>0</v>
      </c>
      <c r="W82" s="68" t="n">
        <v>0</v>
      </c>
      <c r="X82" s="68" t="n">
        <v>0</v>
      </c>
      <c r="Y82" s="68" t="n">
        <v>0</v>
      </c>
      <c r="Z82" s="68" t="n">
        <v>0</v>
      </c>
      <c r="AA82" s="68" t="n">
        <v>0</v>
      </c>
      <c r="AB82" s="68" t="n">
        <v>0</v>
      </c>
      <c r="AC82" s="68" t="n">
        <v>0</v>
      </c>
      <c r="AD82" s="68" t="n">
        <v>0</v>
      </c>
      <c r="AE82" s="68" t="n">
        <v>0</v>
      </c>
      <c r="AF82" s="79" t="n">
        <v>0</v>
      </c>
      <c r="AG82" s="74" t="n">
        <v>0</v>
      </c>
      <c r="AH82" s="82" t="n">
        <v>80</v>
      </c>
    </row>
    <row r="83" ht="18" customHeight="1">
      <c r="C83" s="68">
        <f>_xlfn.XLOOKUP($A83,'01'!$G$3:$G$100,'01'!$R$3:$R$100,"-")</f>
        <v/>
      </c>
      <c r="D83" s="68">
        <f>_xlfn.XLOOKUP($A83,'02'!$G$3:$G$100,'02'!$R$3:$R$100,"-")</f>
        <v/>
      </c>
      <c r="E83" s="68">
        <f>_xlfn.XLOOKUP($A83,'03'!$G$3:$G$100,'03'!$R$3:$R$100,"-")</f>
        <v/>
      </c>
      <c r="F83" s="68">
        <f>_xlfn.XLOOKUP($A83,'04'!$G$3:$G$100,'04'!$R$3:$R$100,"-")</f>
        <v/>
      </c>
      <c r="G83" s="68">
        <f>_xlfn.XLOOKUP($A83,'05'!$G$3:$G$100,'05'!$R$3:$R$100,"-")</f>
        <v/>
      </c>
      <c r="H83" s="68">
        <f>_xlfn.XLOOKUP($A83,'06'!$G$3:$G$100,'06'!$R$3:$R$100,"-")</f>
        <v/>
      </c>
      <c r="I83" s="68">
        <f>_xlfn.XLOOKUP($A83,'07'!$G$3:$G$100,'07'!$R$3:$R$100,"-")</f>
        <v/>
      </c>
      <c r="J83" s="68">
        <f>_xlfn.XLOOKUP($A83,'08'!$G$3:$G$100,'08'!$R$3:$R$100,"-")</f>
        <v/>
      </c>
      <c r="K83" s="68">
        <f>_xlfn.XLOOKUP($A83,'09'!$G$3:$G$100,'09'!$R$3:$R$100,"-")</f>
        <v/>
      </c>
      <c r="L83" s="68">
        <f>_xlfn.XLOOKUP($A83,'10'!$G$3:$G$100,'10'!$R$3:$R$100,"-")</f>
        <v/>
      </c>
      <c r="M83" s="68">
        <f>_xlfn.XLOOKUP($A83,'11'!$G$3:$G$100,'11'!$R$3:$R$100,"-")</f>
        <v/>
      </c>
      <c r="N83" s="68">
        <f>_xlfn.XLOOKUP($A83,'12'!$G$3:$G$100,'12'!$R$3:$R$100,"-")</f>
        <v/>
      </c>
      <c r="O83" s="79">
        <f>SUM(C83:N83)</f>
        <v/>
      </c>
      <c r="P83" s="74" t="n"/>
      <c r="Q83" s="82" t="n">
        <v>81</v>
      </c>
      <c r="R83" s="38" t="n"/>
      <c r="S83" s="61" t="n">
        <v>0</v>
      </c>
      <c r="T83" s="68" t="n">
        <v>0</v>
      </c>
      <c r="U83" s="68" t="n">
        <v>0</v>
      </c>
      <c r="V83" s="68" t="n">
        <v>0</v>
      </c>
      <c r="W83" s="68" t="n">
        <v>0</v>
      </c>
      <c r="X83" s="68" t="n">
        <v>0</v>
      </c>
      <c r="Y83" s="68" t="n">
        <v>0</v>
      </c>
      <c r="Z83" s="68" t="n">
        <v>0</v>
      </c>
      <c r="AA83" s="68" t="n">
        <v>0</v>
      </c>
      <c r="AB83" s="68" t="n">
        <v>0</v>
      </c>
      <c r="AC83" s="68" t="n">
        <v>0</v>
      </c>
      <c r="AD83" s="68" t="n">
        <v>0</v>
      </c>
      <c r="AE83" s="68" t="n">
        <v>0</v>
      </c>
      <c r="AF83" s="79" t="n">
        <v>0</v>
      </c>
      <c r="AG83" s="74" t="n">
        <v>0</v>
      </c>
      <c r="AH83" s="82" t="n">
        <v>81</v>
      </c>
    </row>
    <row r="84" ht="18" customHeight="1">
      <c r="C84" s="68">
        <f>_xlfn.XLOOKUP($A84,'01'!$G$3:$G$100,'01'!$R$3:$R$100,"-")</f>
        <v/>
      </c>
      <c r="D84" s="68">
        <f>_xlfn.XLOOKUP($A84,'02'!$G$3:$G$100,'02'!$R$3:$R$100,"-")</f>
        <v/>
      </c>
      <c r="E84" s="68">
        <f>_xlfn.XLOOKUP($A84,'03'!$G$3:$G$100,'03'!$R$3:$R$100,"-")</f>
        <v/>
      </c>
      <c r="F84" s="68">
        <f>_xlfn.XLOOKUP($A84,'04'!$G$3:$G$100,'04'!$R$3:$R$100,"-")</f>
        <v/>
      </c>
      <c r="G84" s="68">
        <f>_xlfn.XLOOKUP($A84,'05'!$G$3:$G$100,'05'!$R$3:$R$100,"-")</f>
        <v/>
      </c>
      <c r="H84" s="68">
        <f>_xlfn.XLOOKUP($A84,'06'!$G$3:$G$100,'06'!$R$3:$R$100,"-")</f>
        <v/>
      </c>
      <c r="I84" s="68">
        <f>_xlfn.XLOOKUP($A84,'07'!$G$3:$G$100,'07'!$R$3:$R$100,"-")</f>
        <v/>
      </c>
      <c r="J84" s="68">
        <f>_xlfn.XLOOKUP($A84,'08'!$G$3:$G$100,'08'!$R$3:$R$100,"-")</f>
        <v/>
      </c>
      <c r="K84" s="68">
        <f>_xlfn.XLOOKUP($A84,'09'!$G$3:$G$100,'09'!$R$3:$R$100,"-")</f>
        <v/>
      </c>
      <c r="L84" s="68">
        <f>_xlfn.XLOOKUP($A84,'10'!$G$3:$G$100,'10'!$R$3:$R$100,"-")</f>
        <v/>
      </c>
      <c r="M84" s="68">
        <f>_xlfn.XLOOKUP($A84,'11'!$G$3:$G$100,'11'!$R$3:$R$100,"-")</f>
        <v/>
      </c>
      <c r="N84" s="68">
        <f>_xlfn.XLOOKUP($A84,'12'!$G$3:$G$100,'12'!$R$3:$R$100,"-")</f>
        <v/>
      </c>
      <c r="O84" s="79">
        <f>SUM(C84:N84)</f>
        <v/>
      </c>
      <c r="P84" s="74" t="n"/>
      <c r="Q84" s="82" t="n">
        <v>82</v>
      </c>
      <c r="R84" s="38" t="n"/>
      <c r="S84" s="61" t="n">
        <v>0</v>
      </c>
      <c r="T84" s="68" t="n">
        <v>0</v>
      </c>
      <c r="U84" s="68" t="n">
        <v>0</v>
      </c>
      <c r="V84" s="68" t="n">
        <v>0</v>
      </c>
      <c r="W84" s="68" t="n">
        <v>0</v>
      </c>
      <c r="X84" s="68" t="n">
        <v>0</v>
      </c>
      <c r="Y84" s="68" t="n">
        <v>0</v>
      </c>
      <c r="Z84" s="68" t="n">
        <v>0</v>
      </c>
      <c r="AA84" s="68" t="n">
        <v>0</v>
      </c>
      <c r="AB84" s="68" t="n">
        <v>0</v>
      </c>
      <c r="AC84" s="68" t="n">
        <v>0</v>
      </c>
      <c r="AD84" s="68" t="n">
        <v>0</v>
      </c>
      <c r="AE84" s="68" t="n">
        <v>0</v>
      </c>
      <c r="AF84" s="79" t="n">
        <v>0</v>
      </c>
      <c r="AG84" s="74" t="n">
        <v>0</v>
      </c>
      <c r="AH84" s="82" t="n">
        <v>82</v>
      </c>
    </row>
    <row r="85" ht="18" customHeight="1">
      <c r="C85" s="68">
        <f>_xlfn.XLOOKUP($A85,'01'!$G$3:$G$100,'01'!$R$3:$R$100,"-")</f>
        <v/>
      </c>
      <c r="D85" s="68">
        <f>_xlfn.XLOOKUP($A85,'02'!$G$3:$G$100,'02'!$R$3:$R$100,"-")</f>
        <v/>
      </c>
      <c r="E85" s="68">
        <f>_xlfn.XLOOKUP($A85,'03'!$G$3:$G$100,'03'!$R$3:$R$100,"-")</f>
        <v/>
      </c>
      <c r="F85" s="68">
        <f>_xlfn.XLOOKUP($A85,'04'!$G$3:$G$100,'04'!$R$3:$R$100,"-")</f>
        <v/>
      </c>
      <c r="G85" s="68">
        <f>_xlfn.XLOOKUP($A85,'05'!$G$3:$G$100,'05'!$R$3:$R$100,"-")</f>
        <v/>
      </c>
      <c r="H85" s="68">
        <f>_xlfn.XLOOKUP($A85,'06'!$G$3:$G$100,'06'!$R$3:$R$100,"-")</f>
        <v/>
      </c>
      <c r="I85" s="68">
        <f>_xlfn.XLOOKUP($A85,'07'!$G$3:$G$100,'07'!$R$3:$R$100,"-")</f>
        <v/>
      </c>
      <c r="J85" s="68">
        <f>_xlfn.XLOOKUP($A85,'08'!$G$3:$G$100,'08'!$R$3:$R$100,"-")</f>
        <v/>
      </c>
      <c r="K85" s="68">
        <f>_xlfn.XLOOKUP($A85,'09'!$G$3:$G$100,'09'!$R$3:$R$100,"-")</f>
        <v/>
      </c>
      <c r="L85" s="68">
        <f>_xlfn.XLOOKUP($A85,'10'!$G$3:$G$100,'10'!$R$3:$R$100,"-")</f>
        <v/>
      </c>
      <c r="M85" s="68">
        <f>_xlfn.XLOOKUP($A85,'11'!$G$3:$G$100,'11'!$R$3:$R$100,"-")</f>
        <v/>
      </c>
      <c r="N85" s="68">
        <f>_xlfn.XLOOKUP($A85,'12'!$G$3:$G$100,'12'!$R$3:$R$100,"-")</f>
        <v/>
      </c>
      <c r="O85" s="79">
        <f>SUM(C85:N85)</f>
        <v/>
      </c>
      <c r="P85" s="74" t="n"/>
      <c r="Q85" s="82" t="n">
        <v>83</v>
      </c>
      <c r="R85" s="38" t="n"/>
      <c r="S85" s="61" t="n">
        <v>0</v>
      </c>
      <c r="T85" s="68" t="n">
        <v>0</v>
      </c>
      <c r="U85" s="68" t="n">
        <v>0</v>
      </c>
      <c r="V85" s="68" t="n">
        <v>0</v>
      </c>
      <c r="W85" s="68" t="n">
        <v>0</v>
      </c>
      <c r="X85" s="68" t="n">
        <v>0</v>
      </c>
      <c r="Y85" s="68" t="n">
        <v>0</v>
      </c>
      <c r="Z85" s="68" t="n">
        <v>0</v>
      </c>
      <c r="AA85" s="68" t="n">
        <v>0</v>
      </c>
      <c r="AB85" s="68" t="n">
        <v>0</v>
      </c>
      <c r="AC85" s="68" t="n">
        <v>0</v>
      </c>
      <c r="AD85" s="68" t="n">
        <v>0</v>
      </c>
      <c r="AE85" s="68" t="n">
        <v>0</v>
      </c>
      <c r="AF85" s="79" t="n">
        <v>0</v>
      </c>
      <c r="AG85" s="74" t="n">
        <v>0</v>
      </c>
      <c r="AH85" s="82" t="n">
        <v>83</v>
      </c>
    </row>
    <row r="86" ht="18" customHeight="1">
      <c r="C86" s="68">
        <f>_xlfn.XLOOKUP($A86,'01'!$G$3:$G$100,'01'!$R$3:$R$100,"-")</f>
        <v/>
      </c>
      <c r="D86" s="68">
        <f>_xlfn.XLOOKUP($A86,'02'!$G$3:$G$100,'02'!$R$3:$R$100,"-")</f>
        <v/>
      </c>
      <c r="E86" s="68">
        <f>_xlfn.XLOOKUP($A86,'03'!$G$3:$G$100,'03'!$R$3:$R$100,"-")</f>
        <v/>
      </c>
      <c r="F86" s="68">
        <f>_xlfn.XLOOKUP($A86,'04'!$G$3:$G$100,'04'!$R$3:$R$100,"-")</f>
        <v/>
      </c>
      <c r="G86" s="68">
        <f>_xlfn.XLOOKUP($A86,'05'!$G$3:$G$100,'05'!$R$3:$R$100,"-")</f>
        <v/>
      </c>
      <c r="H86" s="68">
        <f>_xlfn.XLOOKUP($A86,'06'!$G$3:$G$100,'06'!$R$3:$R$100,"-")</f>
        <v/>
      </c>
      <c r="I86" s="68">
        <f>_xlfn.XLOOKUP($A86,'07'!$G$3:$G$100,'07'!$R$3:$R$100,"-")</f>
        <v/>
      </c>
      <c r="J86" s="68">
        <f>_xlfn.XLOOKUP($A86,'08'!$G$3:$G$100,'08'!$R$3:$R$100,"-")</f>
        <v/>
      </c>
      <c r="K86" s="68">
        <f>_xlfn.XLOOKUP($A86,'09'!$G$3:$G$100,'09'!$R$3:$R$100,"-")</f>
        <v/>
      </c>
      <c r="L86" s="68">
        <f>_xlfn.XLOOKUP($A86,'10'!$G$3:$G$100,'10'!$R$3:$R$100,"-")</f>
        <v/>
      </c>
      <c r="M86" s="68">
        <f>_xlfn.XLOOKUP($A86,'11'!$G$3:$G$100,'11'!$R$3:$R$100,"-")</f>
        <v/>
      </c>
      <c r="N86" s="68">
        <f>_xlfn.XLOOKUP($A86,'12'!$G$3:$G$100,'12'!$R$3:$R$100,"-")</f>
        <v/>
      </c>
      <c r="O86" s="79">
        <f>SUM(C86:N86)</f>
        <v/>
      </c>
      <c r="P86" s="74" t="n"/>
      <c r="Q86" s="82" t="n">
        <v>84</v>
      </c>
      <c r="R86" s="38" t="n"/>
      <c r="S86" s="61" t="n">
        <v>0</v>
      </c>
      <c r="T86" s="68" t="n">
        <v>0</v>
      </c>
      <c r="U86" s="68" t="n">
        <v>0</v>
      </c>
      <c r="V86" s="68" t="n">
        <v>0</v>
      </c>
      <c r="W86" s="68" t="n">
        <v>0</v>
      </c>
      <c r="X86" s="68" t="n">
        <v>0</v>
      </c>
      <c r="Y86" s="68" t="n">
        <v>0</v>
      </c>
      <c r="Z86" s="68" t="n">
        <v>0</v>
      </c>
      <c r="AA86" s="68" t="n">
        <v>0</v>
      </c>
      <c r="AB86" s="68" t="n">
        <v>0</v>
      </c>
      <c r="AC86" s="68" t="n">
        <v>0</v>
      </c>
      <c r="AD86" s="68" t="n">
        <v>0</v>
      </c>
      <c r="AE86" s="68" t="n">
        <v>0</v>
      </c>
      <c r="AF86" s="79" t="n">
        <v>0</v>
      </c>
      <c r="AG86" s="74" t="n">
        <v>0</v>
      </c>
      <c r="AH86" s="82" t="n">
        <v>84</v>
      </c>
    </row>
    <row r="87" ht="18" customHeight="1">
      <c r="C87" s="68">
        <f>_xlfn.XLOOKUP($A87,'01'!$G$3:$G$100,'01'!$R$3:$R$100,"-")</f>
        <v/>
      </c>
      <c r="D87" s="68">
        <f>_xlfn.XLOOKUP($A87,'02'!$G$3:$G$100,'02'!$R$3:$R$100,"-")</f>
        <v/>
      </c>
      <c r="E87" s="68">
        <f>_xlfn.XLOOKUP($A87,'03'!$G$3:$G$100,'03'!$R$3:$R$100,"-")</f>
        <v/>
      </c>
      <c r="F87" s="68">
        <f>_xlfn.XLOOKUP($A87,'04'!$G$3:$G$100,'04'!$R$3:$R$100,"-")</f>
        <v/>
      </c>
      <c r="G87" s="68">
        <f>_xlfn.XLOOKUP($A87,'05'!$G$3:$G$100,'05'!$R$3:$R$100,"-")</f>
        <v/>
      </c>
      <c r="H87" s="68">
        <f>_xlfn.XLOOKUP($A87,'06'!$G$3:$G$100,'06'!$R$3:$R$100,"-")</f>
        <v/>
      </c>
      <c r="I87" s="68">
        <f>_xlfn.XLOOKUP($A87,'07'!$G$3:$G$100,'07'!$R$3:$R$100,"-")</f>
        <v/>
      </c>
      <c r="J87" s="68">
        <f>_xlfn.XLOOKUP($A87,'08'!$G$3:$G$100,'08'!$R$3:$R$100,"-")</f>
        <v/>
      </c>
      <c r="K87" s="68">
        <f>_xlfn.XLOOKUP($A87,'09'!$G$3:$G$100,'09'!$R$3:$R$100,"-")</f>
        <v/>
      </c>
      <c r="L87" s="68">
        <f>_xlfn.XLOOKUP($A87,'10'!$G$3:$G$100,'10'!$R$3:$R$100,"-")</f>
        <v/>
      </c>
      <c r="M87" s="68">
        <f>_xlfn.XLOOKUP($A87,'11'!$G$3:$G$100,'11'!$R$3:$R$100,"-")</f>
        <v/>
      </c>
      <c r="N87" s="68">
        <f>_xlfn.XLOOKUP($A87,'12'!$G$3:$G$100,'12'!$R$3:$R$100,"-")</f>
        <v/>
      </c>
      <c r="O87" s="79">
        <f>SUM(C87:N87)</f>
        <v/>
      </c>
      <c r="P87" s="74" t="n"/>
      <c r="Q87" s="83" t="n">
        <v>85</v>
      </c>
      <c r="R87" s="38" t="n"/>
      <c r="S87" s="61" t="n">
        <v>0</v>
      </c>
      <c r="T87" s="68" t="n">
        <v>0</v>
      </c>
      <c r="U87" s="68" t="n">
        <v>0</v>
      </c>
      <c r="V87" s="68" t="n">
        <v>0</v>
      </c>
      <c r="W87" s="68" t="n">
        <v>0</v>
      </c>
      <c r="X87" s="68" t="n">
        <v>0</v>
      </c>
      <c r="Y87" s="68" t="n">
        <v>0</v>
      </c>
      <c r="Z87" s="68" t="n">
        <v>0</v>
      </c>
      <c r="AA87" s="68" t="n">
        <v>0</v>
      </c>
      <c r="AB87" s="68" t="n">
        <v>0</v>
      </c>
      <c r="AC87" s="68" t="n">
        <v>0</v>
      </c>
      <c r="AD87" s="68" t="n">
        <v>0</v>
      </c>
      <c r="AE87" s="68" t="n">
        <v>0</v>
      </c>
      <c r="AF87" s="79" t="n">
        <v>0</v>
      </c>
      <c r="AG87" s="74" t="n">
        <v>0</v>
      </c>
      <c r="AH87" s="83" t="n">
        <v>85</v>
      </c>
    </row>
    <row r="88" ht="18" customHeight="1">
      <c r="C88" s="68">
        <f>_xlfn.XLOOKUP($A88,'01'!$G$3:$G$100,'01'!$R$3:$R$100,"-")</f>
        <v/>
      </c>
      <c r="D88" s="68">
        <f>_xlfn.XLOOKUP($A88,'02'!$G$3:$G$100,'02'!$R$3:$R$100,"-")</f>
        <v/>
      </c>
      <c r="E88" s="68">
        <f>_xlfn.XLOOKUP($A88,'03'!$G$3:$G$100,'03'!$R$3:$R$100,"-")</f>
        <v/>
      </c>
      <c r="F88" s="68">
        <f>_xlfn.XLOOKUP($A88,'04'!$G$3:$G$100,'04'!$R$3:$R$100,"-")</f>
        <v/>
      </c>
      <c r="G88" s="68">
        <f>_xlfn.XLOOKUP($A88,'05'!$G$3:$G$100,'05'!$R$3:$R$100,"-")</f>
        <v/>
      </c>
      <c r="H88" s="68">
        <f>_xlfn.XLOOKUP($A88,'06'!$G$3:$G$100,'06'!$R$3:$R$100,"-")</f>
        <v/>
      </c>
      <c r="I88" s="68">
        <f>_xlfn.XLOOKUP($A88,'07'!$G$3:$G$100,'07'!$R$3:$R$100,"-")</f>
        <v/>
      </c>
      <c r="J88" s="68">
        <f>_xlfn.XLOOKUP($A88,'08'!$G$3:$G$100,'08'!$R$3:$R$100,"-")</f>
        <v/>
      </c>
      <c r="K88" s="68">
        <f>_xlfn.XLOOKUP($A88,'09'!$G$3:$G$100,'09'!$R$3:$R$100,"-")</f>
        <v/>
      </c>
      <c r="L88" s="68">
        <f>_xlfn.XLOOKUP($A88,'10'!$G$3:$G$100,'10'!$R$3:$R$100,"-")</f>
        <v/>
      </c>
      <c r="M88" s="68">
        <f>_xlfn.XLOOKUP($A88,'11'!$G$3:$G$100,'11'!$R$3:$R$100,"-")</f>
        <v/>
      </c>
      <c r="N88" s="68">
        <f>_xlfn.XLOOKUP($A88,'12'!$G$3:$G$100,'12'!$R$3:$R$100,"-")</f>
        <v/>
      </c>
      <c r="O88" s="79">
        <f>SUM(C88:N88)</f>
        <v/>
      </c>
      <c r="P88" s="74" t="n"/>
      <c r="Q88" s="82" t="n">
        <v>86</v>
      </c>
      <c r="R88" s="38" t="n"/>
      <c r="S88" s="61" t="n">
        <v>0</v>
      </c>
      <c r="T88" s="68" t="n">
        <v>0</v>
      </c>
      <c r="U88" s="68" t="n">
        <v>0</v>
      </c>
      <c r="V88" s="68" t="n">
        <v>0</v>
      </c>
      <c r="W88" s="68" t="n">
        <v>0</v>
      </c>
      <c r="X88" s="68" t="n">
        <v>0</v>
      </c>
      <c r="Y88" s="68" t="n">
        <v>0</v>
      </c>
      <c r="Z88" s="68" t="n">
        <v>0</v>
      </c>
      <c r="AA88" s="68" t="n">
        <v>0</v>
      </c>
      <c r="AB88" s="68" t="n">
        <v>0</v>
      </c>
      <c r="AC88" s="68" t="n">
        <v>0</v>
      </c>
      <c r="AD88" s="68" t="n">
        <v>0</v>
      </c>
      <c r="AE88" s="68" t="n">
        <v>0</v>
      </c>
      <c r="AF88" s="79" t="n">
        <v>0</v>
      </c>
      <c r="AG88" s="74" t="n">
        <v>0</v>
      </c>
      <c r="AH88" s="82" t="n">
        <v>86</v>
      </c>
    </row>
    <row r="89" ht="18" customHeight="1">
      <c r="C89" s="68">
        <f>_xlfn.XLOOKUP($A89,'01'!$G$3:$G$100,'01'!$R$3:$R$100,"-")</f>
        <v/>
      </c>
      <c r="D89" s="68">
        <f>_xlfn.XLOOKUP($A89,'02'!$G$3:$G$100,'02'!$R$3:$R$100,"-")</f>
        <v/>
      </c>
      <c r="E89" s="68">
        <f>_xlfn.XLOOKUP($A89,'03'!$G$3:$G$100,'03'!$R$3:$R$100,"-")</f>
        <v/>
      </c>
      <c r="F89" s="68">
        <f>_xlfn.XLOOKUP($A89,'04'!$G$3:$G$100,'04'!$R$3:$R$100,"-")</f>
        <v/>
      </c>
      <c r="G89" s="68">
        <f>_xlfn.XLOOKUP($A89,'05'!$G$3:$G$100,'05'!$R$3:$R$100,"-")</f>
        <v/>
      </c>
      <c r="H89" s="68">
        <f>_xlfn.XLOOKUP($A89,'06'!$G$3:$G$100,'06'!$R$3:$R$100,"-")</f>
        <v/>
      </c>
      <c r="I89" s="68">
        <f>_xlfn.XLOOKUP($A89,'07'!$G$3:$G$100,'07'!$R$3:$R$100,"-")</f>
        <v/>
      </c>
      <c r="J89" s="68">
        <f>_xlfn.XLOOKUP($A89,'08'!$G$3:$G$100,'08'!$R$3:$R$100,"-")</f>
        <v/>
      </c>
      <c r="K89" s="68">
        <f>_xlfn.XLOOKUP($A89,'09'!$G$3:$G$100,'09'!$R$3:$R$100,"-")</f>
        <v/>
      </c>
      <c r="L89" s="68">
        <f>_xlfn.XLOOKUP($A89,'10'!$G$3:$G$100,'10'!$R$3:$R$100,"-")</f>
        <v/>
      </c>
      <c r="M89" s="68">
        <f>_xlfn.XLOOKUP($A89,'11'!$G$3:$G$100,'11'!$R$3:$R$100,"-")</f>
        <v/>
      </c>
      <c r="N89" s="68">
        <f>_xlfn.XLOOKUP($A89,'12'!$G$3:$G$100,'12'!$R$3:$R$100,"-")</f>
        <v/>
      </c>
      <c r="O89" s="79">
        <f>SUM(C89:N89)</f>
        <v/>
      </c>
      <c r="P89" s="74" t="n"/>
      <c r="Q89" s="82" t="n">
        <v>87</v>
      </c>
      <c r="R89" s="38" t="n"/>
      <c r="S89" s="61" t="n">
        <v>0</v>
      </c>
      <c r="T89" s="68" t="n">
        <v>0</v>
      </c>
      <c r="U89" s="68" t="n">
        <v>0</v>
      </c>
      <c r="V89" s="68" t="n">
        <v>0</v>
      </c>
      <c r="W89" s="68" t="n">
        <v>0</v>
      </c>
      <c r="X89" s="68" t="n">
        <v>0</v>
      </c>
      <c r="Y89" s="68" t="n">
        <v>0</v>
      </c>
      <c r="Z89" s="68" t="n">
        <v>0</v>
      </c>
      <c r="AA89" s="68" t="n">
        <v>0</v>
      </c>
      <c r="AB89" s="68" t="n">
        <v>0</v>
      </c>
      <c r="AC89" s="68" t="n">
        <v>0</v>
      </c>
      <c r="AD89" s="68" t="n">
        <v>0</v>
      </c>
      <c r="AE89" s="68" t="n">
        <v>0</v>
      </c>
      <c r="AF89" s="79" t="n">
        <v>0</v>
      </c>
      <c r="AG89" s="74" t="n">
        <v>0</v>
      </c>
      <c r="AH89" s="82" t="n">
        <v>87</v>
      </c>
    </row>
    <row r="90" ht="18" customHeight="1">
      <c r="C90" s="68">
        <f>_xlfn.XLOOKUP($A90,'01'!$G$3:$G$100,'01'!$R$3:$R$100,"-")</f>
        <v/>
      </c>
      <c r="D90" s="68">
        <f>_xlfn.XLOOKUP($A90,'02'!$G$3:$G$100,'02'!$R$3:$R$100,"-")</f>
        <v/>
      </c>
      <c r="E90" s="68">
        <f>_xlfn.XLOOKUP($A90,'03'!$G$3:$G$100,'03'!$R$3:$R$100,"-")</f>
        <v/>
      </c>
      <c r="F90" s="68">
        <f>_xlfn.XLOOKUP($A90,'04'!$G$3:$G$100,'04'!$R$3:$R$100,"-")</f>
        <v/>
      </c>
      <c r="G90" s="68">
        <f>_xlfn.XLOOKUP($A90,'05'!$G$3:$G$100,'05'!$R$3:$R$100,"-")</f>
        <v/>
      </c>
      <c r="H90" s="68">
        <f>_xlfn.XLOOKUP($A90,'06'!$G$3:$G$100,'06'!$R$3:$R$100,"-")</f>
        <v/>
      </c>
      <c r="I90" s="68">
        <f>_xlfn.XLOOKUP($A90,'07'!$G$3:$G$100,'07'!$R$3:$R$100,"-")</f>
        <v/>
      </c>
      <c r="J90" s="68">
        <f>_xlfn.XLOOKUP($A90,'08'!$G$3:$G$100,'08'!$R$3:$R$100,"-")</f>
        <v/>
      </c>
      <c r="K90" s="68">
        <f>_xlfn.XLOOKUP($A90,'09'!$G$3:$G$100,'09'!$R$3:$R$100,"-")</f>
        <v/>
      </c>
      <c r="L90" s="68">
        <f>_xlfn.XLOOKUP($A90,'10'!$G$3:$G$100,'10'!$R$3:$R$100,"-")</f>
        <v/>
      </c>
      <c r="M90" s="68">
        <f>_xlfn.XLOOKUP($A90,'11'!$G$3:$G$100,'11'!$R$3:$R$100,"-")</f>
        <v/>
      </c>
      <c r="N90" s="68">
        <f>_xlfn.XLOOKUP($A90,'12'!$G$3:$G$100,'12'!$R$3:$R$100,"-")</f>
        <v/>
      </c>
      <c r="O90" s="79">
        <f>SUM(C90:N90)</f>
        <v/>
      </c>
      <c r="P90" s="74" t="n"/>
      <c r="Q90" s="82" t="n">
        <v>88</v>
      </c>
      <c r="R90" s="38" t="n"/>
      <c r="S90" s="61" t="n">
        <v>0</v>
      </c>
      <c r="T90" s="68" t="n">
        <v>0</v>
      </c>
      <c r="U90" s="68" t="n">
        <v>0</v>
      </c>
      <c r="V90" s="68" t="n">
        <v>0</v>
      </c>
      <c r="W90" s="68" t="n">
        <v>0</v>
      </c>
      <c r="X90" s="68" t="n">
        <v>0</v>
      </c>
      <c r="Y90" s="68" t="n">
        <v>0</v>
      </c>
      <c r="Z90" s="68" t="n">
        <v>0</v>
      </c>
      <c r="AA90" s="68" t="n">
        <v>0</v>
      </c>
      <c r="AB90" s="68" t="n">
        <v>0</v>
      </c>
      <c r="AC90" s="68" t="n">
        <v>0</v>
      </c>
      <c r="AD90" s="68" t="n">
        <v>0</v>
      </c>
      <c r="AE90" s="68" t="n">
        <v>0</v>
      </c>
      <c r="AF90" s="79" t="n">
        <v>0</v>
      </c>
      <c r="AG90" s="74" t="n">
        <v>0</v>
      </c>
      <c r="AH90" s="82" t="n">
        <v>88</v>
      </c>
    </row>
    <row r="91" ht="18" customHeight="1">
      <c r="C91" s="68">
        <f>_xlfn.XLOOKUP($A91,'01'!$G$3:$G$100,'01'!$R$3:$R$100,"-")</f>
        <v/>
      </c>
      <c r="D91" s="68">
        <f>_xlfn.XLOOKUP($A91,'02'!$G$3:$G$100,'02'!$R$3:$R$100,"-")</f>
        <v/>
      </c>
      <c r="E91" s="68">
        <f>_xlfn.XLOOKUP($A91,'03'!$G$3:$G$100,'03'!$R$3:$R$100,"-")</f>
        <v/>
      </c>
      <c r="F91" s="68">
        <f>_xlfn.XLOOKUP($A91,'04'!$G$3:$G$100,'04'!$R$3:$R$100,"-")</f>
        <v/>
      </c>
      <c r="G91" s="68">
        <f>_xlfn.XLOOKUP($A91,'05'!$G$3:$G$100,'05'!$R$3:$R$100,"-")</f>
        <v/>
      </c>
      <c r="H91" s="68">
        <f>_xlfn.XLOOKUP($A91,'06'!$G$3:$G$100,'06'!$R$3:$R$100,"-")</f>
        <v/>
      </c>
      <c r="I91" s="68">
        <f>_xlfn.XLOOKUP($A91,'07'!$G$3:$G$100,'07'!$R$3:$R$100,"-")</f>
        <v/>
      </c>
      <c r="J91" s="68">
        <f>_xlfn.XLOOKUP($A91,'08'!$G$3:$G$100,'08'!$R$3:$R$100,"-")</f>
        <v/>
      </c>
      <c r="K91" s="68">
        <f>_xlfn.XLOOKUP($A91,'09'!$G$3:$G$100,'09'!$R$3:$R$100,"-")</f>
        <v/>
      </c>
      <c r="L91" s="68">
        <f>_xlfn.XLOOKUP($A91,'10'!$G$3:$G$100,'10'!$R$3:$R$100,"-")</f>
        <v/>
      </c>
      <c r="M91" s="68">
        <f>_xlfn.XLOOKUP($A91,'11'!$G$3:$G$100,'11'!$R$3:$R$100,"-")</f>
        <v/>
      </c>
      <c r="N91" s="68">
        <f>_xlfn.XLOOKUP($A91,'12'!$G$3:$G$100,'12'!$R$3:$R$100,"-")</f>
        <v/>
      </c>
      <c r="O91" s="79">
        <f>SUM(C91:N91)</f>
        <v/>
      </c>
      <c r="P91" s="74" t="n"/>
      <c r="Q91" s="82" t="n">
        <v>89</v>
      </c>
      <c r="R91" s="38" t="n"/>
      <c r="S91" s="61" t="n">
        <v>0</v>
      </c>
      <c r="T91" s="68" t="n">
        <v>0</v>
      </c>
      <c r="U91" s="68" t="n">
        <v>0</v>
      </c>
      <c r="V91" s="68" t="n">
        <v>0</v>
      </c>
      <c r="W91" s="68" t="n">
        <v>0</v>
      </c>
      <c r="X91" s="68" t="n">
        <v>0</v>
      </c>
      <c r="Y91" s="68" t="n">
        <v>0</v>
      </c>
      <c r="Z91" s="68" t="n">
        <v>0</v>
      </c>
      <c r="AA91" s="68" t="n">
        <v>0</v>
      </c>
      <c r="AB91" s="68" t="n">
        <v>0</v>
      </c>
      <c r="AC91" s="68" t="n">
        <v>0</v>
      </c>
      <c r="AD91" s="68" t="n">
        <v>0</v>
      </c>
      <c r="AE91" s="68" t="n">
        <v>0</v>
      </c>
      <c r="AF91" s="79" t="n">
        <v>0</v>
      </c>
      <c r="AG91" s="74" t="n">
        <v>0</v>
      </c>
      <c r="AH91" s="82" t="n">
        <v>89</v>
      </c>
    </row>
    <row r="92" ht="18" customHeight="1">
      <c r="C92" s="68">
        <f>_xlfn.XLOOKUP($A92,'01'!$G$3:$G$100,'01'!$R$3:$R$100,"-")</f>
        <v/>
      </c>
      <c r="D92" s="68">
        <f>_xlfn.XLOOKUP($A92,'02'!$G$3:$G$100,'02'!$R$3:$R$100,"-")</f>
        <v/>
      </c>
      <c r="E92" s="68">
        <f>_xlfn.XLOOKUP($A92,'03'!$G$3:$G$100,'03'!$R$3:$R$100,"-")</f>
        <v/>
      </c>
      <c r="F92" s="68">
        <f>_xlfn.XLOOKUP($A92,'04'!$G$3:$G$100,'04'!$R$3:$R$100,"-")</f>
        <v/>
      </c>
      <c r="G92" s="68">
        <f>_xlfn.XLOOKUP($A92,'05'!$G$3:$G$100,'05'!$R$3:$R$100,"-")</f>
        <v/>
      </c>
      <c r="H92" s="68">
        <f>_xlfn.XLOOKUP($A92,'06'!$G$3:$G$100,'06'!$R$3:$R$100,"-")</f>
        <v/>
      </c>
      <c r="I92" s="68">
        <f>_xlfn.XLOOKUP($A92,'07'!$G$3:$G$100,'07'!$R$3:$R$100,"-")</f>
        <v/>
      </c>
      <c r="J92" s="68">
        <f>_xlfn.XLOOKUP($A92,'08'!$G$3:$G$100,'08'!$R$3:$R$100,"-")</f>
        <v/>
      </c>
      <c r="K92" s="68">
        <f>_xlfn.XLOOKUP($A92,'09'!$G$3:$G$100,'09'!$R$3:$R$100,"-")</f>
        <v/>
      </c>
      <c r="L92" s="68">
        <f>_xlfn.XLOOKUP($A92,'10'!$G$3:$G$100,'10'!$R$3:$R$100,"-")</f>
        <v/>
      </c>
      <c r="M92" s="68">
        <f>_xlfn.XLOOKUP($A92,'11'!$G$3:$G$100,'11'!$R$3:$R$100,"-")</f>
        <v/>
      </c>
      <c r="N92" s="68">
        <f>_xlfn.XLOOKUP($A92,'12'!$G$3:$G$100,'12'!$R$3:$R$100,"-")</f>
        <v/>
      </c>
      <c r="O92" s="79">
        <f>SUM(C92:N92)</f>
        <v/>
      </c>
      <c r="P92" s="74" t="n"/>
      <c r="Q92" s="82" t="n">
        <v>90</v>
      </c>
      <c r="R92" s="38" t="n"/>
      <c r="S92" s="61" t="n">
        <v>0</v>
      </c>
      <c r="T92" s="68" t="n">
        <v>0</v>
      </c>
      <c r="U92" s="68" t="n">
        <v>0</v>
      </c>
      <c r="V92" s="68" t="n">
        <v>0</v>
      </c>
      <c r="W92" s="68" t="n">
        <v>0</v>
      </c>
      <c r="X92" s="68" t="n">
        <v>0</v>
      </c>
      <c r="Y92" s="68" t="n">
        <v>0</v>
      </c>
      <c r="Z92" s="68" t="n">
        <v>0</v>
      </c>
      <c r="AA92" s="68" t="n">
        <v>0</v>
      </c>
      <c r="AB92" s="68" t="n">
        <v>0</v>
      </c>
      <c r="AC92" s="68" t="n">
        <v>0</v>
      </c>
      <c r="AD92" s="68" t="n">
        <v>0</v>
      </c>
      <c r="AE92" s="68" t="n">
        <v>0</v>
      </c>
      <c r="AF92" s="79" t="n">
        <v>0</v>
      </c>
      <c r="AG92" s="74" t="n">
        <v>0</v>
      </c>
      <c r="AH92" s="82" t="n">
        <v>90</v>
      </c>
    </row>
    <row r="93" ht="18" customHeight="1">
      <c r="C93" s="68">
        <f>_xlfn.XLOOKUP($A93,'01'!$G$3:$G$100,'01'!$R$3:$R$100,"-")</f>
        <v/>
      </c>
      <c r="D93" s="68">
        <f>_xlfn.XLOOKUP($A93,'02'!$G$3:$G$100,'02'!$R$3:$R$100,"-")</f>
        <v/>
      </c>
      <c r="E93" s="68">
        <f>_xlfn.XLOOKUP($A93,'03'!$G$3:$G$100,'03'!$R$3:$R$100,"-")</f>
        <v/>
      </c>
      <c r="F93" s="68">
        <f>_xlfn.XLOOKUP($A93,'04'!$G$3:$G$100,'04'!$R$3:$R$100,"-")</f>
        <v/>
      </c>
      <c r="G93" s="68">
        <f>_xlfn.XLOOKUP($A93,'05'!$G$3:$G$100,'05'!$R$3:$R$100,"-")</f>
        <v/>
      </c>
      <c r="H93" s="68">
        <f>_xlfn.XLOOKUP($A93,'06'!$G$3:$G$100,'06'!$R$3:$R$100,"-")</f>
        <v/>
      </c>
      <c r="I93" s="68">
        <f>_xlfn.XLOOKUP($A93,'07'!$G$3:$G$100,'07'!$R$3:$R$100,"-")</f>
        <v/>
      </c>
      <c r="J93" s="68">
        <f>_xlfn.XLOOKUP($A93,'08'!$G$3:$G$100,'08'!$R$3:$R$100,"-")</f>
        <v/>
      </c>
      <c r="K93" s="68">
        <f>_xlfn.XLOOKUP($A93,'09'!$G$3:$G$100,'09'!$R$3:$R$100,"-")</f>
        <v/>
      </c>
      <c r="L93" s="68">
        <f>_xlfn.XLOOKUP($A93,'10'!$G$3:$G$100,'10'!$R$3:$R$100,"-")</f>
        <v/>
      </c>
      <c r="M93" s="68">
        <f>_xlfn.XLOOKUP($A93,'11'!$G$3:$G$100,'11'!$R$3:$R$100,"-")</f>
        <v/>
      </c>
      <c r="N93" s="68">
        <f>_xlfn.XLOOKUP($A93,'12'!$G$3:$G$100,'12'!$R$3:$R$100,"-")</f>
        <v/>
      </c>
      <c r="O93" s="79">
        <f>SUM(C93:N93)</f>
        <v/>
      </c>
      <c r="P93" s="74" t="n"/>
      <c r="Q93" s="82" t="n">
        <v>91</v>
      </c>
      <c r="R93" s="38" t="n"/>
      <c r="S93" s="61" t="n">
        <v>0</v>
      </c>
      <c r="T93" s="68" t="n">
        <v>0</v>
      </c>
      <c r="U93" s="68" t="n">
        <v>0</v>
      </c>
      <c r="V93" s="68" t="n">
        <v>0</v>
      </c>
      <c r="W93" s="68" t="n">
        <v>0</v>
      </c>
      <c r="X93" s="68" t="n">
        <v>0</v>
      </c>
      <c r="Y93" s="68" t="n">
        <v>0</v>
      </c>
      <c r="Z93" s="68" t="n">
        <v>0</v>
      </c>
      <c r="AA93" s="68" t="n">
        <v>0</v>
      </c>
      <c r="AB93" s="68" t="n">
        <v>0</v>
      </c>
      <c r="AC93" s="68" t="n">
        <v>0</v>
      </c>
      <c r="AD93" s="68" t="n">
        <v>0</v>
      </c>
      <c r="AE93" s="68" t="n">
        <v>0</v>
      </c>
      <c r="AF93" s="79" t="n">
        <v>0</v>
      </c>
      <c r="AG93" s="74" t="n">
        <v>0</v>
      </c>
      <c r="AH93" s="82" t="n">
        <v>91</v>
      </c>
    </row>
    <row r="94" ht="18" customHeight="1">
      <c r="C94" s="68">
        <f>_xlfn.XLOOKUP($A94,'01'!$G$3:$G$100,'01'!$R$3:$R$100,"-")</f>
        <v/>
      </c>
      <c r="D94" s="68">
        <f>_xlfn.XLOOKUP($A94,'02'!$G$3:$G$100,'02'!$R$3:$R$100,"-")</f>
        <v/>
      </c>
      <c r="E94" s="68">
        <f>_xlfn.XLOOKUP($A94,'03'!$G$3:$G$100,'03'!$R$3:$R$100,"-")</f>
        <v/>
      </c>
      <c r="F94" s="68">
        <f>_xlfn.XLOOKUP($A94,'04'!$G$3:$G$100,'04'!$R$3:$R$100,"-")</f>
        <v/>
      </c>
      <c r="G94" s="68">
        <f>_xlfn.XLOOKUP($A94,'05'!$G$3:$G$100,'05'!$R$3:$R$100,"-")</f>
        <v/>
      </c>
      <c r="H94" s="68">
        <f>_xlfn.XLOOKUP($A94,'06'!$G$3:$G$100,'06'!$R$3:$R$100,"-")</f>
        <v/>
      </c>
      <c r="I94" s="68">
        <f>_xlfn.XLOOKUP($A94,'07'!$G$3:$G$100,'07'!$R$3:$R$100,"-")</f>
        <v/>
      </c>
      <c r="J94" s="68">
        <f>_xlfn.XLOOKUP($A94,'08'!$G$3:$G$100,'08'!$R$3:$R$100,"-")</f>
        <v/>
      </c>
      <c r="K94" s="68">
        <f>_xlfn.XLOOKUP($A94,'09'!$G$3:$G$100,'09'!$R$3:$R$100,"-")</f>
        <v/>
      </c>
      <c r="L94" s="68">
        <f>_xlfn.XLOOKUP($A94,'10'!$G$3:$G$100,'10'!$R$3:$R$100,"-")</f>
        <v/>
      </c>
      <c r="M94" s="68">
        <f>_xlfn.XLOOKUP($A94,'11'!$G$3:$G$100,'11'!$R$3:$R$100,"-")</f>
        <v/>
      </c>
      <c r="N94" s="68">
        <f>_xlfn.XLOOKUP($A94,'12'!$G$3:$G$100,'12'!$R$3:$R$100,"-")</f>
        <v/>
      </c>
      <c r="O94" s="79">
        <f>SUM(C94:N94)</f>
        <v/>
      </c>
      <c r="P94" s="74" t="n"/>
      <c r="Q94" s="82" t="n">
        <v>92</v>
      </c>
      <c r="R94" s="38" t="n"/>
      <c r="S94" s="61" t="n">
        <v>0</v>
      </c>
      <c r="T94" s="68" t="n">
        <v>0</v>
      </c>
      <c r="U94" s="68" t="n">
        <v>0</v>
      </c>
      <c r="V94" s="68" t="n">
        <v>0</v>
      </c>
      <c r="W94" s="68" t="n">
        <v>0</v>
      </c>
      <c r="X94" s="68" t="n">
        <v>0</v>
      </c>
      <c r="Y94" s="68" t="n">
        <v>0</v>
      </c>
      <c r="Z94" s="68" t="n">
        <v>0</v>
      </c>
      <c r="AA94" s="68" t="n">
        <v>0</v>
      </c>
      <c r="AB94" s="68" t="n">
        <v>0</v>
      </c>
      <c r="AC94" s="68" t="n">
        <v>0</v>
      </c>
      <c r="AD94" s="68" t="n">
        <v>0</v>
      </c>
      <c r="AE94" s="68" t="n">
        <v>0</v>
      </c>
      <c r="AF94" s="79" t="n">
        <v>0</v>
      </c>
      <c r="AG94" s="74" t="n">
        <v>0</v>
      </c>
      <c r="AH94" s="82" t="n">
        <v>92</v>
      </c>
    </row>
    <row r="95" ht="18" customHeight="1">
      <c r="C95" s="68">
        <f>_xlfn.XLOOKUP($A95,'01'!$G$3:$G$100,'01'!$R$3:$R$100,"-")</f>
        <v/>
      </c>
      <c r="D95" s="68">
        <f>_xlfn.XLOOKUP($A95,'02'!$G$3:$G$100,'02'!$R$3:$R$100,"-")</f>
        <v/>
      </c>
      <c r="E95" s="68">
        <f>_xlfn.XLOOKUP($A95,'03'!$G$3:$G$100,'03'!$R$3:$R$100,"-")</f>
        <v/>
      </c>
      <c r="F95" s="68">
        <f>_xlfn.XLOOKUP($A95,'04'!$G$3:$G$100,'04'!$R$3:$R$100,"-")</f>
        <v/>
      </c>
      <c r="G95" s="68">
        <f>_xlfn.XLOOKUP($A95,'05'!$G$3:$G$100,'05'!$R$3:$R$100,"-")</f>
        <v/>
      </c>
      <c r="H95" s="68">
        <f>_xlfn.XLOOKUP($A95,'06'!$G$3:$G$100,'06'!$R$3:$R$100,"-")</f>
        <v/>
      </c>
      <c r="I95" s="68">
        <f>_xlfn.XLOOKUP($A95,'07'!$G$3:$G$100,'07'!$R$3:$R$100,"-")</f>
        <v/>
      </c>
      <c r="J95" s="68">
        <f>_xlfn.XLOOKUP($A95,'08'!$G$3:$G$100,'08'!$R$3:$R$100,"-")</f>
        <v/>
      </c>
      <c r="K95" s="68">
        <f>_xlfn.XLOOKUP($A95,'09'!$G$3:$G$100,'09'!$R$3:$R$100,"-")</f>
        <v/>
      </c>
      <c r="L95" s="68">
        <f>_xlfn.XLOOKUP($A95,'10'!$G$3:$G$100,'10'!$R$3:$R$100,"-")</f>
        <v/>
      </c>
      <c r="M95" s="68">
        <f>_xlfn.XLOOKUP($A95,'11'!$G$3:$G$100,'11'!$R$3:$R$100,"-")</f>
        <v/>
      </c>
      <c r="N95" s="68">
        <f>_xlfn.XLOOKUP($A95,'12'!$G$3:$G$100,'12'!$R$3:$R$100,"-")</f>
        <v/>
      </c>
      <c r="O95" s="79">
        <f>SUM(C95:N95)</f>
        <v/>
      </c>
      <c r="P95" s="74" t="n"/>
      <c r="Q95" s="82" t="n">
        <v>93</v>
      </c>
      <c r="R95" s="38" t="n"/>
      <c r="S95" s="61" t="n">
        <v>0</v>
      </c>
      <c r="T95" s="68" t="n">
        <v>0</v>
      </c>
      <c r="U95" s="68" t="n">
        <v>0</v>
      </c>
      <c r="V95" s="68" t="n">
        <v>0</v>
      </c>
      <c r="W95" s="68" t="n">
        <v>0</v>
      </c>
      <c r="X95" s="68" t="n">
        <v>0</v>
      </c>
      <c r="Y95" s="68" t="n">
        <v>0</v>
      </c>
      <c r="Z95" s="68" t="n">
        <v>0</v>
      </c>
      <c r="AA95" s="68" t="n">
        <v>0</v>
      </c>
      <c r="AB95" s="68" t="n">
        <v>0</v>
      </c>
      <c r="AC95" s="68" t="n">
        <v>0</v>
      </c>
      <c r="AD95" s="68" t="n">
        <v>0</v>
      </c>
      <c r="AE95" s="68" t="n">
        <v>0</v>
      </c>
      <c r="AF95" s="79" t="n">
        <v>0</v>
      </c>
      <c r="AG95" s="74" t="n">
        <v>0</v>
      </c>
      <c r="AH95" s="82" t="n">
        <v>93</v>
      </c>
    </row>
    <row r="96" ht="18" customHeight="1">
      <c r="C96" s="68">
        <f>_xlfn.XLOOKUP($A96,'01'!$G$3:$G$100,'01'!$R$3:$R$100,"-")</f>
        <v/>
      </c>
      <c r="D96" s="68">
        <f>_xlfn.XLOOKUP($A96,'02'!$G$3:$G$100,'02'!$R$3:$R$100,"-")</f>
        <v/>
      </c>
      <c r="E96" s="68">
        <f>_xlfn.XLOOKUP($A96,'03'!$G$3:$G$100,'03'!$R$3:$R$100,"-")</f>
        <v/>
      </c>
      <c r="F96" s="68">
        <f>_xlfn.XLOOKUP($A96,'04'!$G$3:$G$100,'04'!$R$3:$R$100,"-")</f>
        <v/>
      </c>
      <c r="G96" s="68">
        <f>_xlfn.XLOOKUP($A96,'05'!$G$3:$G$100,'05'!$R$3:$R$100,"-")</f>
        <v/>
      </c>
      <c r="H96" s="68">
        <f>_xlfn.XLOOKUP($A96,'06'!$G$3:$G$100,'06'!$R$3:$R$100,"-")</f>
        <v/>
      </c>
      <c r="I96" s="68">
        <f>_xlfn.XLOOKUP($A96,'07'!$G$3:$G$100,'07'!$R$3:$R$100,"-")</f>
        <v/>
      </c>
      <c r="J96" s="68">
        <f>_xlfn.XLOOKUP($A96,'08'!$G$3:$G$100,'08'!$R$3:$R$100,"-")</f>
        <v/>
      </c>
      <c r="K96" s="68">
        <f>_xlfn.XLOOKUP($A96,'09'!$G$3:$G$100,'09'!$R$3:$R$100,"-")</f>
        <v/>
      </c>
      <c r="L96" s="68">
        <f>_xlfn.XLOOKUP($A96,'10'!$G$3:$G$100,'10'!$R$3:$R$100,"-")</f>
        <v/>
      </c>
      <c r="M96" s="68">
        <f>_xlfn.XLOOKUP($A96,'11'!$G$3:$G$100,'11'!$R$3:$R$100,"-")</f>
        <v/>
      </c>
      <c r="N96" s="68">
        <f>_xlfn.XLOOKUP($A96,'12'!$G$3:$G$100,'12'!$R$3:$R$100,"-")</f>
        <v/>
      </c>
      <c r="O96" s="79">
        <f>SUM(C96:N96)</f>
        <v/>
      </c>
      <c r="P96" s="74" t="n"/>
      <c r="Q96" s="82" t="n">
        <v>94</v>
      </c>
      <c r="R96" s="38" t="n"/>
      <c r="S96" s="61" t="n">
        <v>0</v>
      </c>
      <c r="T96" s="68" t="n">
        <v>0</v>
      </c>
      <c r="U96" s="68" t="n">
        <v>0</v>
      </c>
      <c r="V96" s="68" t="n">
        <v>0</v>
      </c>
      <c r="W96" s="68" t="n">
        <v>0</v>
      </c>
      <c r="X96" s="68" t="n">
        <v>0</v>
      </c>
      <c r="Y96" s="68" t="n">
        <v>0</v>
      </c>
      <c r="Z96" s="68" t="n">
        <v>0</v>
      </c>
      <c r="AA96" s="68" t="n">
        <v>0</v>
      </c>
      <c r="AB96" s="68" t="n">
        <v>0</v>
      </c>
      <c r="AC96" s="68" t="n">
        <v>0</v>
      </c>
      <c r="AD96" s="68" t="n">
        <v>0</v>
      </c>
      <c r="AE96" s="68" t="n">
        <v>0</v>
      </c>
      <c r="AF96" s="79" t="n">
        <v>0</v>
      </c>
      <c r="AG96" s="74" t="n">
        <v>0</v>
      </c>
      <c r="AH96" s="82" t="n">
        <v>94</v>
      </c>
    </row>
    <row r="97" ht="18" customHeight="1">
      <c r="C97" s="68">
        <f>_xlfn.XLOOKUP($A97,'01'!$G$3:$G$100,'01'!$R$3:$R$100,"-")</f>
        <v/>
      </c>
      <c r="D97" s="68">
        <f>_xlfn.XLOOKUP($A97,'02'!$G$3:$G$100,'02'!$R$3:$R$100,"-")</f>
        <v/>
      </c>
      <c r="E97" s="68">
        <f>_xlfn.XLOOKUP($A97,'03'!$G$3:$G$100,'03'!$R$3:$R$100,"-")</f>
        <v/>
      </c>
      <c r="F97" s="68">
        <f>_xlfn.XLOOKUP($A97,'04'!$G$3:$G$100,'04'!$R$3:$R$100,"-")</f>
        <v/>
      </c>
      <c r="G97" s="68">
        <f>_xlfn.XLOOKUP($A97,'05'!$G$3:$G$100,'05'!$R$3:$R$100,"-")</f>
        <v/>
      </c>
      <c r="H97" s="68">
        <f>_xlfn.XLOOKUP($A97,'06'!$G$3:$G$100,'06'!$R$3:$R$100,"-")</f>
        <v/>
      </c>
      <c r="I97" s="68">
        <f>_xlfn.XLOOKUP($A97,'07'!$G$3:$G$100,'07'!$R$3:$R$100,"-")</f>
        <v/>
      </c>
      <c r="J97" s="68">
        <f>_xlfn.XLOOKUP($A97,'08'!$G$3:$G$100,'08'!$R$3:$R$100,"-")</f>
        <v/>
      </c>
      <c r="K97" s="68">
        <f>_xlfn.XLOOKUP($A97,'09'!$G$3:$G$100,'09'!$R$3:$R$100,"-")</f>
        <v/>
      </c>
      <c r="L97" s="68">
        <f>_xlfn.XLOOKUP($A97,'10'!$G$3:$G$100,'10'!$R$3:$R$100,"-")</f>
        <v/>
      </c>
      <c r="M97" s="68">
        <f>_xlfn.XLOOKUP($A97,'11'!$G$3:$G$100,'11'!$R$3:$R$100,"-")</f>
        <v/>
      </c>
      <c r="N97" s="68">
        <f>_xlfn.XLOOKUP($A97,'12'!$G$3:$G$100,'12'!$R$3:$R$100,"-")</f>
        <v/>
      </c>
      <c r="O97" s="79">
        <f>SUM(C97:N97)</f>
        <v/>
      </c>
      <c r="P97" s="74" t="n"/>
      <c r="Q97" s="83" t="n">
        <v>95</v>
      </c>
      <c r="R97" s="38" t="n"/>
      <c r="S97" s="61" t="n">
        <v>0</v>
      </c>
      <c r="T97" s="68" t="n">
        <v>0</v>
      </c>
      <c r="U97" s="68" t="n">
        <v>0</v>
      </c>
      <c r="V97" s="68" t="n">
        <v>0</v>
      </c>
      <c r="W97" s="68" t="n">
        <v>0</v>
      </c>
      <c r="X97" s="68" t="n">
        <v>0</v>
      </c>
      <c r="Y97" s="68" t="n">
        <v>0</v>
      </c>
      <c r="Z97" s="68" t="n">
        <v>0</v>
      </c>
      <c r="AA97" s="68" t="n">
        <v>0</v>
      </c>
      <c r="AB97" s="68" t="n">
        <v>0</v>
      </c>
      <c r="AC97" s="68" t="n">
        <v>0</v>
      </c>
      <c r="AD97" s="68" t="n">
        <v>0</v>
      </c>
      <c r="AE97" s="68" t="n">
        <v>0</v>
      </c>
      <c r="AF97" s="79" t="n">
        <v>0</v>
      </c>
      <c r="AG97" s="74" t="n">
        <v>0</v>
      </c>
      <c r="AH97" s="83" t="n">
        <v>95</v>
      </c>
    </row>
    <row r="98" ht="18" customHeight="1">
      <c r="C98" s="68">
        <f>_xlfn.XLOOKUP($A98,'01'!$G$3:$G$100,'01'!$R$3:$R$100,"-")</f>
        <v/>
      </c>
      <c r="D98" s="68">
        <f>_xlfn.XLOOKUP($A98,'02'!$G$3:$G$100,'02'!$R$3:$R$100,"-")</f>
        <v/>
      </c>
      <c r="E98" s="68">
        <f>_xlfn.XLOOKUP($A98,'03'!$G$3:$G$100,'03'!$R$3:$R$100,"-")</f>
        <v/>
      </c>
      <c r="F98" s="68">
        <f>_xlfn.XLOOKUP($A98,'04'!$G$3:$G$100,'04'!$R$3:$R$100,"-")</f>
        <v/>
      </c>
      <c r="G98" s="68">
        <f>_xlfn.XLOOKUP($A98,'05'!$G$3:$G$100,'05'!$R$3:$R$100,"-")</f>
        <v/>
      </c>
      <c r="H98" s="68">
        <f>_xlfn.XLOOKUP($A98,'06'!$G$3:$G$100,'06'!$R$3:$R$100,"-")</f>
        <v/>
      </c>
      <c r="I98" s="68">
        <f>_xlfn.XLOOKUP($A98,'07'!$G$3:$G$100,'07'!$R$3:$R$100,"-")</f>
        <v/>
      </c>
      <c r="J98" s="68">
        <f>_xlfn.XLOOKUP($A98,'08'!$G$3:$G$100,'08'!$R$3:$R$100,"-")</f>
        <v/>
      </c>
      <c r="K98" s="68">
        <f>_xlfn.XLOOKUP($A98,'09'!$G$3:$G$100,'09'!$R$3:$R$100,"-")</f>
        <v/>
      </c>
      <c r="L98" s="68">
        <f>_xlfn.XLOOKUP($A98,'10'!$G$3:$G$100,'10'!$R$3:$R$100,"-")</f>
        <v/>
      </c>
      <c r="M98" s="68">
        <f>_xlfn.XLOOKUP($A98,'11'!$G$3:$G$100,'11'!$R$3:$R$100,"-")</f>
        <v/>
      </c>
      <c r="N98" s="68">
        <f>_xlfn.XLOOKUP($A98,'12'!$G$3:$G$100,'12'!$R$3:$R$100,"-")</f>
        <v/>
      </c>
      <c r="O98" s="79">
        <f>SUM(C98:N98)</f>
        <v/>
      </c>
      <c r="P98" s="74" t="n"/>
      <c r="Q98" s="82" t="n">
        <v>96</v>
      </c>
      <c r="R98" s="38" t="n"/>
      <c r="S98" s="61" t="n">
        <v>0</v>
      </c>
      <c r="T98" s="68" t="n">
        <v>0</v>
      </c>
      <c r="U98" s="68" t="n">
        <v>0</v>
      </c>
      <c r="V98" s="68" t="n">
        <v>0</v>
      </c>
      <c r="W98" s="68" t="n">
        <v>0</v>
      </c>
      <c r="X98" s="68" t="n">
        <v>0</v>
      </c>
      <c r="Y98" s="68" t="n">
        <v>0</v>
      </c>
      <c r="Z98" s="68" t="n">
        <v>0</v>
      </c>
      <c r="AA98" s="68" t="n">
        <v>0</v>
      </c>
      <c r="AB98" s="68" t="n">
        <v>0</v>
      </c>
      <c r="AC98" s="68" t="n">
        <v>0</v>
      </c>
      <c r="AD98" s="68" t="n">
        <v>0</v>
      </c>
      <c r="AE98" s="68" t="n">
        <v>0</v>
      </c>
      <c r="AF98" s="79" t="n">
        <v>0</v>
      </c>
      <c r="AG98" s="74" t="n">
        <v>0</v>
      </c>
      <c r="AH98" s="82" t="n">
        <v>96</v>
      </c>
    </row>
    <row r="99" ht="18" customHeight="1">
      <c r="C99" s="68">
        <f>_xlfn.XLOOKUP($A99,'01'!$G$3:$G$100,'01'!$R$3:$R$100,"-")</f>
        <v/>
      </c>
      <c r="D99" s="68">
        <f>_xlfn.XLOOKUP($A99,'02'!$G$3:$G$100,'02'!$R$3:$R$100,"-")</f>
        <v/>
      </c>
      <c r="E99" s="68">
        <f>_xlfn.XLOOKUP($A99,'03'!$G$3:$G$100,'03'!$R$3:$R$100,"-")</f>
        <v/>
      </c>
      <c r="F99" s="68">
        <f>_xlfn.XLOOKUP($A99,'04'!$G$3:$G$100,'04'!$R$3:$R$100,"-")</f>
        <v/>
      </c>
      <c r="G99" s="68">
        <f>_xlfn.XLOOKUP($A99,'05'!$G$3:$G$100,'05'!$R$3:$R$100,"-")</f>
        <v/>
      </c>
      <c r="H99" s="68">
        <f>_xlfn.XLOOKUP($A99,'06'!$G$3:$G$100,'06'!$R$3:$R$100,"-")</f>
        <v/>
      </c>
      <c r="I99" s="68">
        <f>_xlfn.XLOOKUP($A99,'07'!$G$3:$G$100,'07'!$R$3:$R$100,"-")</f>
        <v/>
      </c>
      <c r="J99" s="68">
        <f>_xlfn.XLOOKUP($A99,'08'!$G$3:$G$100,'08'!$R$3:$R$100,"-")</f>
        <v/>
      </c>
      <c r="K99" s="68">
        <f>_xlfn.XLOOKUP($A99,'09'!$G$3:$G$100,'09'!$R$3:$R$100,"-")</f>
        <v/>
      </c>
      <c r="L99" s="68">
        <f>_xlfn.XLOOKUP($A99,'10'!$G$3:$G$100,'10'!$R$3:$R$100,"-")</f>
        <v/>
      </c>
      <c r="M99" s="68">
        <f>_xlfn.XLOOKUP($A99,'11'!$G$3:$G$100,'11'!$R$3:$R$100,"-")</f>
        <v/>
      </c>
      <c r="N99" s="68">
        <f>_xlfn.XLOOKUP($A99,'12'!$G$3:$G$100,'12'!$R$3:$R$100,"-")</f>
        <v/>
      </c>
      <c r="O99" s="79">
        <f>SUM(C99:N99)</f>
        <v/>
      </c>
      <c r="P99" s="74" t="n"/>
      <c r="Q99" s="82" t="n">
        <v>97</v>
      </c>
      <c r="R99" s="38" t="n"/>
      <c r="S99" s="61" t="n">
        <v>0</v>
      </c>
      <c r="T99" s="68" t="n">
        <v>0</v>
      </c>
      <c r="U99" s="68" t="n">
        <v>0</v>
      </c>
      <c r="V99" s="68" t="n">
        <v>0</v>
      </c>
      <c r="W99" s="68" t="n">
        <v>0</v>
      </c>
      <c r="X99" s="68" t="n">
        <v>0</v>
      </c>
      <c r="Y99" s="68" t="n">
        <v>0</v>
      </c>
      <c r="Z99" s="68" t="n">
        <v>0</v>
      </c>
      <c r="AA99" s="68" t="n">
        <v>0</v>
      </c>
      <c r="AB99" s="68" t="n">
        <v>0</v>
      </c>
      <c r="AC99" s="68" t="n">
        <v>0</v>
      </c>
      <c r="AD99" s="68" t="n">
        <v>0</v>
      </c>
      <c r="AE99" s="68" t="n">
        <v>0</v>
      </c>
      <c r="AF99" s="79" t="n">
        <v>0</v>
      </c>
      <c r="AG99" s="74" t="n">
        <v>0</v>
      </c>
      <c r="AH99" s="82" t="n">
        <v>97</v>
      </c>
    </row>
    <row r="100" ht="18" customHeight="1">
      <c r="C100" s="68">
        <f>_xlfn.XLOOKUP($A100,'01'!$G$3:$G$100,'01'!$R$3:$R$100,"-")</f>
        <v/>
      </c>
      <c r="D100" s="68">
        <f>_xlfn.XLOOKUP($A100,'02'!$G$3:$G$100,'02'!$R$3:$R$100,"-")</f>
        <v/>
      </c>
      <c r="E100" s="68">
        <f>_xlfn.XLOOKUP($A100,'03'!$G$3:$G$100,'03'!$R$3:$R$100,"-")</f>
        <v/>
      </c>
      <c r="F100" s="68">
        <f>_xlfn.XLOOKUP($A100,'04'!$G$3:$G$100,'04'!$R$3:$R$100,"-")</f>
        <v/>
      </c>
      <c r="G100" s="68">
        <f>_xlfn.XLOOKUP($A100,'05'!$G$3:$G$100,'05'!$R$3:$R$100,"-")</f>
        <v/>
      </c>
      <c r="H100" s="68">
        <f>_xlfn.XLOOKUP($A100,'06'!$G$3:$G$100,'06'!$R$3:$R$100,"-")</f>
        <v/>
      </c>
      <c r="I100" s="68">
        <f>_xlfn.XLOOKUP($A100,'07'!$G$3:$G$100,'07'!$R$3:$R$100,"-")</f>
        <v/>
      </c>
      <c r="J100" s="68">
        <f>_xlfn.XLOOKUP($A100,'08'!$G$3:$G$100,'08'!$R$3:$R$100,"-")</f>
        <v/>
      </c>
      <c r="K100" s="68">
        <f>_xlfn.XLOOKUP($A100,'09'!$G$3:$G$100,'09'!$R$3:$R$100,"-")</f>
        <v/>
      </c>
      <c r="L100" s="68">
        <f>_xlfn.XLOOKUP($A100,'10'!$G$3:$G$100,'10'!$R$3:$R$100,"-")</f>
        <v/>
      </c>
      <c r="M100" s="68">
        <f>_xlfn.XLOOKUP($A100,'11'!$G$3:$G$100,'11'!$R$3:$R$100,"-")</f>
        <v/>
      </c>
      <c r="N100" s="68">
        <f>_xlfn.XLOOKUP($A100,'12'!$G$3:$G$100,'12'!$R$3:$R$100,"-")</f>
        <v/>
      </c>
      <c r="O100" s="79">
        <f>SUM(C100:N100)</f>
        <v/>
      </c>
      <c r="P100" s="74" t="n"/>
      <c r="Q100" s="82" t="n">
        <v>98</v>
      </c>
      <c r="R100" s="38" t="n"/>
      <c r="S100" s="61" t="n">
        <v>0</v>
      </c>
      <c r="T100" s="68" t="n">
        <v>0</v>
      </c>
      <c r="U100" s="68" t="n">
        <v>0</v>
      </c>
      <c r="V100" s="68" t="n">
        <v>0</v>
      </c>
      <c r="W100" s="68" t="n">
        <v>0</v>
      </c>
      <c r="X100" s="68" t="n">
        <v>0</v>
      </c>
      <c r="Y100" s="68" t="n">
        <v>0</v>
      </c>
      <c r="Z100" s="68" t="n">
        <v>0</v>
      </c>
      <c r="AA100" s="68" t="n">
        <v>0</v>
      </c>
      <c r="AB100" s="68" t="n">
        <v>0</v>
      </c>
      <c r="AC100" s="68" t="n">
        <v>0</v>
      </c>
      <c r="AD100" s="68" t="n">
        <v>0</v>
      </c>
      <c r="AE100" s="68" t="n">
        <v>0</v>
      </c>
      <c r="AF100" s="79" t="n">
        <v>0</v>
      </c>
      <c r="AG100" s="74" t="n">
        <v>0</v>
      </c>
      <c r="AH100" s="82" t="n">
        <v>98</v>
      </c>
    </row>
    <row r="101" ht="18" customHeight="1">
      <c r="C101" s="68">
        <f>_xlfn.XLOOKUP($A101,'01'!$G$3:$G$100,'01'!$R$3:$R$100,"-")</f>
        <v/>
      </c>
      <c r="D101" s="68">
        <f>_xlfn.XLOOKUP($A101,'02'!$G$3:$G$100,'02'!$R$3:$R$100,"-")</f>
        <v/>
      </c>
      <c r="E101" s="68">
        <f>_xlfn.XLOOKUP($A101,'03'!$G$3:$G$100,'03'!$R$3:$R$100,"-")</f>
        <v/>
      </c>
      <c r="F101" s="68">
        <f>_xlfn.XLOOKUP($A101,'04'!$G$3:$G$100,'04'!$R$3:$R$100,"-")</f>
        <v/>
      </c>
      <c r="G101" s="68">
        <f>_xlfn.XLOOKUP($A101,'05'!$G$3:$G$100,'05'!$R$3:$R$100,"-")</f>
        <v/>
      </c>
      <c r="H101" s="68">
        <f>_xlfn.XLOOKUP($A101,'06'!$G$3:$G$100,'06'!$R$3:$R$100,"-")</f>
        <v/>
      </c>
      <c r="I101" s="68">
        <f>_xlfn.XLOOKUP($A101,'07'!$G$3:$G$100,'07'!$R$3:$R$100,"-")</f>
        <v/>
      </c>
      <c r="J101" s="68">
        <f>_xlfn.XLOOKUP($A101,'08'!$G$3:$G$100,'08'!$R$3:$R$100,"-")</f>
        <v/>
      </c>
      <c r="K101" s="68">
        <f>_xlfn.XLOOKUP($A101,'09'!$G$3:$G$100,'09'!$R$3:$R$100,"-")</f>
        <v/>
      </c>
      <c r="L101" s="68">
        <f>_xlfn.XLOOKUP($A101,'10'!$G$3:$G$100,'10'!$R$3:$R$100,"-")</f>
        <v/>
      </c>
      <c r="M101" s="68">
        <f>_xlfn.XLOOKUP($A101,'11'!$G$3:$G$100,'11'!$R$3:$R$100,"-")</f>
        <v/>
      </c>
      <c r="N101" s="68">
        <f>_xlfn.XLOOKUP($A101,'12'!$G$3:$G$100,'12'!$R$3:$R$100,"-")</f>
        <v/>
      </c>
      <c r="O101" s="79">
        <f>SUM(C101:N101)</f>
        <v/>
      </c>
      <c r="P101" s="74" t="n"/>
      <c r="Q101" s="82" t="n">
        <v>99</v>
      </c>
      <c r="R101" s="38" t="n"/>
      <c r="S101" s="61" t="n">
        <v>0</v>
      </c>
      <c r="T101" s="68" t="n">
        <v>0</v>
      </c>
      <c r="U101" s="68" t="n">
        <v>0</v>
      </c>
      <c r="V101" s="68" t="n">
        <v>0</v>
      </c>
      <c r="W101" s="68" t="n">
        <v>0</v>
      </c>
      <c r="X101" s="68" t="n">
        <v>0</v>
      </c>
      <c r="Y101" s="68" t="n">
        <v>0</v>
      </c>
      <c r="Z101" s="68" t="n">
        <v>0</v>
      </c>
      <c r="AA101" s="68" t="n">
        <v>0</v>
      </c>
      <c r="AB101" s="68" t="n">
        <v>0</v>
      </c>
      <c r="AC101" s="68" t="n">
        <v>0</v>
      </c>
      <c r="AD101" s="68" t="n">
        <v>0</v>
      </c>
      <c r="AE101" s="68" t="n">
        <v>0</v>
      </c>
      <c r="AF101" s="79" t="n">
        <v>0</v>
      </c>
      <c r="AG101" s="74" t="n">
        <v>0</v>
      </c>
      <c r="AH101" s="82" t="n">
        <v>99</v>
      </c>
    </row>
    <row r="102" ht="18" customHeight="1">
      <c r="C102" s="68">
        <f>_xlfn.XLOOKUP($A102,'01'!$G$3:$G$100,'01'!$R$3:$R$100,"-")</f>
        <v/>
      </c>
      <c r="D102" s="68">
        <f>_xlfn.XLOOKUP($A102,'02'!$G$3:$G$100,'02'!$R$3:$R$100,"-")</f>
        <v/>
      </c>
      <c r="E102" s="68">
        <f>_xlfn.XLOOKUP($A102,'03'!$G$3:$G$100,'03'!$R$3:$R$100,"-")</f>
        <v/>
      </c>
      <c r="F102" s="68">
        <f>_xlfn.XLOOKUP($A102,'04'!$G$3:$G$100,'04'!$R$3:$R$100,"-")</f>
        <v/>
      </c>
      <c r="G102" s="68">
        <f>_xlfn.XLOOKUP($A102,'05'!$G$3:$G$100,'05'!$R$3:$R$100,"-")</f>
        <v/>
      </c>
      <c r="H102" s="68">
        <f>_xlfn.XLOOKUP($A102,'06'!$G$3:$G$100,'06'!$R$3:$R$100,"-")</f>
        <v/>
      </c>
      <c r="I102" s="68">
        <f>_xlfn.XLOOKUP($A102,'07'!$G$3:$G$100,'07'!$R$3:$R$100,"-")</f>
        <v/>
      </c>
      <c r="J102" s="68">
        <f>_xlfn.XLOOKUP($A102,'08'!$G$3:$G$100,'08'!$R$3:$R$100,"-")</f>
        <v/>
      </c>
      <c r="K102" s="68">
        <f>_xlfn.XLOOKUP($A102,'09'!$G$3:$G$100,'09'!$R$3:$R$100,"-")</f>
        <v/>
      </c>
      <c r="L102" s="68">
        <f>_xlfn.XLOOKUP($A102,'10'!$G$3:$G$100,'10'!$R$3:$R$100,"-")</f>
        <v/>
      </c>
      <c r="M102" s="68">
        <f>_xlfn.XLOOKUP($A102,'11'!$G$3:$G$100,'11'!$R$3:$R$100,"-")</f>
        <v/>
      </c>
      <c r="N102" s="68">
        <f>_xlfn.XLOOKUP($A102,'12'!$G$3:$G$100,'12'!$R$3:$R$100,"-")</f>
        <v/>
      </c>
      <c r="O102" s="79">
        <f>SUM(C102:N102)</f>
        <v/>
      </c>
      <c r="P102" s="74" t="n"/>
      <c r="Q102" s="82" t="n">
        <v>100</v>
      </c>
      <c r="R102" s="38" t="n"/>
      <c r="S102" s="61" t="n">
        <v>0</v>
      </c>
      <c r="T102" s="68" t="n">
        <v>0</v>
      </c>
      <c r="U102" s="68" t="n">
        <v>0</v>
      </c>
      <c r="V102" s="68" t="n">
        <v>0</v>
      </c>
      <c r="W102" s="68" t="n">
        <v>0</v>
      </c>
      <c r="X102" s="68" t="n">
        <v>0</v>
      </c>
      <c r="Y102" s="68" t="n">
        <v>0</v>
      </c>
      <c r="Z102" s="68" t="n">
        <v>0</v>
      </c>
      <c r="AA102" s="68" t="n">
        <v>0</v>
      </c>
      <c r="AB102" s="68" t="n">
        <v>0</v>
      </c>
      <c r="AC102" s="68" t="n">
        <v>0</v>
      </c>
      <c r="AD102" s="68" t="n">
        <v>0</v>
      </c>
      <c r="AE102" s="68" t="n">
        <v>0</v>
      </c>
      <c r="AF102" s="79" t="n">
        <v>0</v>
      </c>
      <c r="AG102" s="74" t="n">
        <v>0</v>
      </c>
      <c r="AH102" s="82" t="n">
        <v>100</v>
      </c>
    </row>
    <row r="103" ht="18" customHeight="1">
      <c r="C103" s="68">
        <f>_xlfn.XLOOKUP($A103,'01'!$G$3:$G$100,'01'!$R$3:$R$100,"-")</f>
        <v/>
      </c>
      <c r="D103" s="68">
        <f>_xlfn.XLOOKUP($A103,'02'!$G$3:$G$100,'02'!$R$3:$R$100,"-")</f>
        <v/>
      </c>
      <c r="E103" s="68">
        <f>_xlfn.XLOOKUP($A103,'03'!$G$3:$G$100,'03'!$R$3:$R$100,"-")</f>
        <v/>
      </c>
      <c r="F103" s="68">
        <f>_xlfn.XLOOKUP($A103,'04'!$G$3:$G$100,'04'!$R$3:$R$100,"-")</f>
        <v/>
      </c>
      <c r="G103" s="68">
        <f>_xlfn.XLOOKUP($A103,'05'!$G$3:$G$100,'05'!$R$3:$R$100,"-")</f>
        <v/>
      </c>
      <c r="H103" s="68">
        <f>_xlfn.XLOOKUP($A103,'06'!$G$3:$G$100,'06'!$R$3:$R$100,"-")</f>
        <v/>
      </c>
      <c r="I103" s="68">
        <f>_xlfn.XLOOKUP($A103,'07'!$G$3:$G$100,'07'!$R$3:$R$100,"-")</f>
        <v/>
      </c>
      <c r="J103" s="68">
        <f>_xlfn.XLOOKUP($A103,'08'!$G$3:$G$100,'08'!$R$3:$R$100,"-")</f>
        <v/>
      </c>
      <c r="K103" s="68">
        <f>_xlfn.XLOOKUP($A103,'09'!$G$3:$G$100,'09'!$R$3:$R$100,"-")</f>
        <v/>
      </c>
      <c r="L103" s="68">
        <f>_xlfn.XLOOKUP($A103,'10'!$G$3:$G$100,'10'!$R$3:$R$100,"-")</f>
        <v/>
      </c>
      <c r="M103" s="68">
        <f>_xlfn.XLOOKUP($A103,'11'!$G$3:$G$100,'11'!$R$3:$R$100,"-")</f>
        <v/>
      </c>
      <c r="N103" s="68">
        <f>_xlfn.XLOOKUP($A103,'12'!$G$3:$G$100,'12'!$R$3:$R$100,"-")</f>
        <v/>
      </c>
      <c r="O103" s="79">
        <f>SUM(C103:N103)</f>
        <v/>
      </c>
      <c r="P103" s="74" t="n"/>
      <c r="Q103" s="82" t="n">
        <v>101</v>
      </c>
      <c r="R103" s="38" t="n"/>
      <c r="S103" s="61" t="n">
        <v>0</v>
      </c>
      <c r="T103" s="68" t="n">
        <v>0</v>
      </c>
      <c r="U103" s="68" t="n">
        <v>0</v>
      </c>
      <c r="V103" s="68" t="n">
        <v>0</v>
      </c>
      <c r="W103" s="68" t="n">
        <v>0</v>
      </c>
      <c r="X103" s="68" t="n">
        <v>0</v>
      </c>
      <c r="Y103" s="68" t="n">
        <v>0</v>
      </c>
      <c r="Z103" s="68" t="n">
        <v>0</v>
      </c>
      <c r="AA103" s="68" t="n">
        <v>0</v>
      </c>
      <c r="AB103" s="68" t="n">
        <v>0</v>
      </c>
      <c r="AC103" s="68" t="n">
        <v>0</v>
      </c>
      <c r="AD103" s="68" t="n">
        <v>0</v>
      </c>
      <c r="AE103" s="68" t="n">
        <v>0</v>
      </c>
      <c r="AF103" s="79" t="n">
        <v>0</v>
      </c>
      <c r="AG103" s="74" t="n">
        <v>0</v>
      </c>
      <c r="AH103" s="82" t="n">
        <v>101</v>
      </c>
    </row>
    <row r="104" ht="18" customHeight="1">
      <c r="C104" s="68">
        <f>_xlfn.XLOOKUP($A104,'01'!$G$3:$G$100,'01'!$R$3:$R$100,"-")</f>
        <v/>
      </c>
      <c r="D104" s="68">
        <f>_xlfn.XLOOKUP($A104,'02'!$G$3:$G$100,'02'!$R$3:$R$100,"-")</f>
        <v/>
      </c>
      <c r="E104" s="68">
        <f>_xlfn.XLOOKUP($A104,'03'!$G$3:$G$100,'03'!$R$3:$R$100,"-")</f>
        <v/>
      </c>
      <c r="F104" s="68">
        <f>_xlfn.XLOOKUP($A104,'04'!$G$3:$G$100,'04'!$R$3:$R$100,"-")</f>
        <v/>
      </c>
      <c r="G104" s="68">
        <f>_xlfn.XLOOKUP($A104,'05'!$G$3:$G$100,'05'!$R$3:$R$100,"-")</f>
        <v/>
      </c>
      <c r="H104" s="68">
        <f>_xlfn.XLOOKUP($A104,'06'!$G$3:$G$100,'06'!$R$3:$R$100,"-")</f>
        <v/>
      </c>
      <c r="I104" s="68">
        <f>_xlfn.XLOOKUP($A104,'07'!$G$3:$G$100,'07'!$R$3:$R$100,"-")</f>
        <v/>
      </c>
      <c r="J104" s="68">
        <f>_xlfn.XLOOKUP($A104,'08'!$G$3:$G$100,'08'!$R$3:$R$100,"-")</f>
        <v/>
      </c>
      <c r="K104" s="68">
        <f>_xlfn.XLOOKUP($A104,'09'!$G$3:$G$100,'09'!$R$3:$R$100,"-")</f>
        <v/>
      </c>
      <c r="L104" s="68">
        <f>_xlfn.XLOOKUP($A104,'10'!$G$3:$G$100,'10'!$R$3:$R$100,"-")</f>
        <v/>
      </c>
      <c r="M104" s="68">
        <f>_xlfn.XLOOKUP($A104,'11'!$G$3:$G$100,'11'!$R$3:$R$100,"-")</f>
        <v/>
      </c>
      <c r="N104" s="68">
        <f>_xlfn.XLOOKUP($A104,'12'!$G$3:$G$100,'12'!$R$3:$R$100,"-")</f>
        <v/>
      </c>
      <c r="O104" s="79">
        <f>SUM(C104:N104)</f>
        <v/>
      </c>
      <c r="P104" s="74" t="n"/>
      <c r="Q104" s="82" t="n">
        <v>102</v>
      </c>
      <c r="R104" s="38" t="n"/>
      <c r="S104" s="61" t="n">
        <v>0</v>
      </c>
      <c r="T104" s="68" t="n">
        <v>0</v>
      </c>
      <c r="U104" s="68" t="n">
        <v>0</v>
      </c>
      <c r="V104" s="68" t="n">
        <v>0</v>
      </c>
      <c r="W104" s="68" t="n">
        <v>0</v>
      </c>
      <c r="X104" s="68" t="n">
        <v>0</v>
      </c>
      <c r="Y104" s="68" t="n">
        <v>0</v>
      </c>
      <c r="Z104" s="68" t="n">
        <v>0</v>
      </c>
      <c r="AA104" s="68" t="n">
        <v>0</v>
      </c>
      <c r="AB104" s="68" t="n">
        <v>0</v>
      </c>
      <c r="AC104" s="68" t="n">
        <v>0</v>
      </c>
      <c r="AD104" s="68" t="n">
        <v>0</v>
      </c>
      <c r="AE104" s="68" t="n">
        <v>0</v>
      </c>
      <c r="AF104" s="79" t="n">
        <v>0</v>
      </c>
      <c r="AG104" s="74" t="n">
        <v>0</v>
      </c>
      <c r="AH104" s="82" t="n">
        <v>102</v>
      </c>
    </row>
    <row r="105" ht="18" customHeight="1">
      <c r="C105" s="68">
        <f>_xlfn.XLOOKUP($A105,'01'!$G$3:$G$100,'01'!$R$3:$R$100,"-")</f>
        <v/>
      </c>
      <c r="D105" s="68">
        <f>_xlfn.XLOOKUP($A105,'02'!$G$3:$G$100,'02'!$R$3:$R$100,"-")</f>
        <v/>
      </c>
      <c r="E105" s="68">
        <f>_xlfn.XLOOKUP($A105,'03'!$G$3:$G$100,'03'!$R$3:$R$100,"-")</f>
        <v/>
      </c>
      <c r="F105" s="68">
        <f>_xlfn.XLOOKUP($A105,'04'!$G$3:$G$100,'04'!$R$3:$R$100,"-")</f>
        <v/>
      </c>
      <c r="G105" s="68">
        <f>_xlfn.XLOOKUP($A105,'05'!$G$3:$G$100,'05'!$R$3:$R$100,"-")</f>
        <v/>
      </c>
      <c r="H105" s="68">
        <f>_xlfn.XLOOKUP($A105,'06'!$G$3:$G$100,'06'!$R$3:$R$100,"-")</f>
        <v/>
      </c>
      <c r="I105" s="68">
        <f>_xlfn.XLOOKUP($A105,'07'!$G$3:$G$100,'07'!$R$3:$R$100,"-")</f>
        <v/>
      </c>
      <c r="J105" s="68">
        <f>_xlfn.XLOOKUP($A105,'08'!$G$3:$G$100,'08'!$R$3:$R$100,"-")</f>
        <v/>
      </c>
      <c r="K105" s="68">
        <f>_xlfn.XLOOKUP($A105,'09'!$G$3:$G$100,'09'!$R$3:$R$100,"-")</f>
        <v/>
      </c>
      <c r="L105" s="68">
        <f>_xlfn.XLOOKUP($A105,'10'!$G$3:$G$100,'10'!$R$3:$R$100,"-")</f>
        <v/>
      </c>
      <c r="M105" s="68">
        <f>_xlfn.XLOOKUP($A105,'11'!$G$3:$G$100,'11'!$R$3:$R$100,"-")</f>
        <v/>
      </c>
      <c r="N105" s="68">
        <f>_xlfn.XLOOKUP($A105,'12'!$G$3:$G$100,'12'!$R$3:$R$100,"-")</f>
        <v/>
      </c>
      <c r="O105" s="79">
        <f>SUM(C105:N105)</f>
        <v/>
      </c>
      <c r="P105" s="74" t="n"/>
      <c r="Q105" s="82" t="n">
        <v>103</v>
      </c>
      <c r="R105" s="38" t="n"/>
      <c r="S105" s="61" t="n">
        <v>0</v>
      </c>
      <c r="T105" s="68" t="n">
        <v>0</v>
      </c>
      <c r="U105" s="68" t="n">
        <v>0</v>
      </c>
      <c r="V105" s="68" t="n">
        <v>0</v>
      </c>
      <c r="W105" s="68" t="n">
        <v>0</v>
      </c>
      <c r="X105" s="68" t="n">
        <v>0</v>
      </c>
      <c r="Y105" s="68" t="n">
        <v>0</v>
      </c>
      <c r="Z105" s="68" t="n">
        <v>0</v>
      </c>
      <c r="AA105" s="68" t="n">
        <v>0</v>
      </c>
      <c r="AB105" s="68" t="n">
        <v>0</v>
      </c>
      <c r="AC105" s="68" t="n">
        <v>0</v>
      </c>
      <c r="AD105" s="68" t="n">
        <v>0</v>
      </c>
      <c r="AE105" s="68" t="n">
        <v>0</v>
      </c>
      <c r="AF105" s="79" t="n">
        <v>0</v>
      </c>
      <c r="AG105" s="74" t="n">
        <v>0</v>
      </c>
      <c r="AH105" s="82" t="n">
        <v>103</v>
      </c>
    </row>
    <row r="106" ht="18" customHeight="1">
      <c r="C106" s="68">
        <f>_xlfn.XLOOKUP($A106,'01'!$G$3:$G$100,'01'!$R$3:$R$100,"-")</f>
        <v/>
      </c>
      <c r="D106" s="68">
        <f>_xlfn.XLOOKUP($A106,'02'!$G$3:$G$100,'02'!$R$3:$R$100,"-")</f>
        <v/>
      </c>
      <c r="E106" s="68">
        <f>_xlfn.XLOOKUP($A106,'03'!$G$3:$G$100,'03'!$R$3:$R$100,"-")</f>
        <v/>
      </c>
      <c r="F106" s="68">
        <f>_xlfn.XLOOKUP($A106,'04'!$G$3:$G$100,'04'!$R$3:$R$100,"-")</f>
        <v/>
      </c>
      <c r="G106" s="68">
        <f>_xlfn.XLOOKUP($A106,'05'!$G$3:$G$100,'05'!$R$3:$R$100,"-")</f>
        <v/>
      </c>
      <c r="H106" s="68">
        <f>_xlfn.XLOOKUP($A106,'06'!$G$3:$G$100,'06'!$R$3:$R$100,"-")</f>
        <v/>
      </c>
      <c r="I106" s="68">
        <f>_xlfn.XLOOKUP($A106,'07'!$G$3:$G$100,'07'!$R$3:$R$100,"-")</f>
        <v/>
      </c>
      <c r="J106" s="68">
        <f>_xlfn.XLOOKUP($A106,'08'!$G$3:$G$100,'08'!$R$3:$R$100,"-")</f>
        <v/>
      </c>
      <c r="K106" s="68">
        <f>_xlfn.XLOOKUP($A106,'09'!$G$3:$G$100,'09'!$R$3:$R$100,"-")</f>
        <v/>
      </c>
      <c r="L106" s="68">
        <f>_xlfn.XLOOKUP($A106,'10'!$G$3:$G$100,'10'!$R$3:$R$100,"-")</f>
        <v/>
      </c>
      <c r="M106" s="68">
        <f>_xlfn.XLOOKUP($A106,'11'!$G$3:$G$100,'11'!$R$3:$R$100,"-")</f>
        <v/>
      </c>
      <c r="N106" s="68">
        <f>_xlfn.XLOOKUP($A106,'12'!$G$3:$G$100,'12'!$R$3:$R$100,"-")</f>
        <v/>
      </c>
      <c r="O106" s="79">
        <f>SUM(C106:N106)</f>
        <v/>
      </c>
      <c r="P106" s="74" t="n"/>
      <c r="Q106" s="82" t="n">
        <v>104</v>
      </c>
      <c r="R106" s="38" t="n"/>
      <c r="S106" s="61" t="n">
        <v>0</v>
      </c>
      <c r="T106" s="68" t="n">
        <v>0</v>
      </c>
      <c r="U106" s="68" t="n">
        <v>0</v>
      </c>
      <c r="V106" s="68" t="n">
        <v>0</v>
      </c>
      <c r="W106" s="68" t="n">
        <v>0</v>
      </c>
      <c r="X106" s="68" t="n">
        <v>0</v>
      </c>
      <c r="Y106" s="68" t="n">
        <v>0</v>
      </c>
      <c r="Z106" s="68" t="n">
        <v>0</v>
      </c>
      <c r="AA106" s="68" t="n">
        <v>0</v>
      </c>
      <c r="AB106" s="68" t="n">
        <v>0</v>
      </c>
      <c r="AC106" s="68" t="n">
        <v>0</v>
      </c>
      <c r="AD106" s="68" t="n">
        <v>0</v>
      </c>
      <c r="AE106" s="68" t="n">
        <v>0</v>
      </c>
      <c r="AF106" s="79" t="n">
        <v>0</v>
      </c>
      <c r="AG106" s="74" t="n">
        <v>0</v>
      </c>
      <c r="AH106" s="82" t="n">
        <v>104</v>
      </c>
    </row>
    <row r="107" ht="18" customHeight="1">
      <c r="C107" s="68">
        <f>_xlfn.XLOOKUP($A107,'01'!$G$3:$G$100,'01'!$R$3:$R$100,"-")</f>
        <v/>
      </c>
      <c r="D107" s="68">
        <f>_xlfn.XLOOKUP($A107,'02'!$G$3:$G$100,'02'!$R$3:$R$100,"-")</f>
        <v/>
      </c>
      <c r="E107" s="68">
        <f>_xlfn.XLOOKUP($A107,'03'!$G$3:$G$100,'03'!$R$3:$R$100,"-")</f>
        <v/>
      </c>
      <c r="F107" s="68">
        <f>_xlfn.XLOOKUP($A107,'04'!$G$3:$G$100,'04'!$R$3:$R$100,"-")</f>
        <v/>
      </c>
      <c r="G107" s="68">
        <f>_xlfn.XLOOKUP($A107,'05'!$G$3:$G$100,'05'!$R$3:$R$100,"-")</f>
        <v/>
      </c>
      <c r="H107" s="68">
        <f>_xlfn.XLOOKUP($A107,'06'!$G$3:$G$100,'06'!$R$3:$R$100,"-")</f>
        <v/>
      </c>
      <c r="I107" s="68">
        <f>_xlfn.XLOOKUP($A107,'07'!$G$3:$G$100,'07'!$R$3:$R$100,"-")</f>
        <v/>
      </c>
      <c r="J107" s="68">
        <f>_xlfn.XLOOKUP($A107,'08'!$G$3:$G$100,'08'!$R$3:$R$100,"-")</f>
        <v/>
      </c>
      <c r="K107" s="68">
        <f>_xlfn.XLOOKUP($A107,'09'!$G$3:$G$100,'09'!$R$3:$R$100,"-")</f>
        <v/>
      </c>
      <c r="L107" s="68">
        <f>_xlfn.XLOOKUP($A107,'10'!$G$3:$G$100,'10'!$R$3:$R$100,"-")</f>
        <v/>
      </c>
      <c r="M107" s="68">
        <f>_xlfn.XLOOKUP($A107,'11'!$G$3:$G$100,'11'!$R$3:$R$100,"-")</f>
        <v/>
      </c>
      <c r="N107" s="68">
        <f>_xlfn.XLOOKUP($A107,'12'!$G$3:$G$100,'12'!$R$3:$R$100,"-")</f>
        <v/>
      </c>
      <c r="O107" s="79">
        <f>SUM(C107:N107)</f>
        <v/>
      </c>
      <c r="P107" s="74" t="n"/>
      <c r="Q107" s="83" t="n">
        <v>105</v>
      </c>
      <c r="R107" s="38" t="n"/>
      <c r="S107" s="61" t="n">
        <v>0</v>
      </c>
      <c r="T107" s="68" t="n">
        <v>0</v>
      </c>
      <c r="U107" s="68" t="n">
        <v>0</v>
      </c>
      <c r="V107" s="68" t="n">
        <v>0</v>
      </c>
      <c r="W107" s="68" t="n">
        <v>0</v>
      </c>
      <c r="X107" s="68" t="n">
        <v>0</v>
      </c>
      <c r="Y107" s="68" t="n">
        <v>0</v>
      </c>
      <c r="Z107" s="68" t="n">
        <v>0</v>
      </c>
      <c r="AA107" s="68" t="n">
        <v>0</v>
      </c>
      <c r="AB107" s="68" t="n">
        <v>0</v>
      </c>
      <c r="AC107" s="68" t="n">
        <v>0</v>
      </c>
      <c r="AD107" s="68" t="n">
        <v>0</v>
      </c>
      <c r="AE107" s="68" t="n">
        <v>0</v>
      </c>
      <c r="AF107" s="79" t="n">
        <v>0</v>
      </c>
      <c r="AG107" s="74" t="n">
        <v>0</v>
      </c>
      <c r="AH107" s="83" t="n">
        <v>105</v>
      </c>
    </row>
    <row r="108" ht="18" customHeight="1">
      <c r="C108" s="68">
        <f>_xlfn.XLOOKUP($A108,'01'!$G$3:$G$100,'01'!$R$3:$R$100,"-")</f>
        <v/>
      </c>
      <c r="D108" s="68">
        <f>_xlfn.XLOOKUP($A108,'02'!$G$3:$G$100,'02'!$R$3:$R$100,"-")</f>
        <v/>
      </c>
      <c r="E108" s="68">
        <f>_xlfn.XLOOKUP($A108,'03'!$G$3:$G$100,'03'!$R$3:$R$100,"-")</f>
        <v/>
      </c>
      <c r="F108" s="68">
        <f>_xlfn.XLOOKUP($A108,'04'!$G$3:$G$100,'04'!$R$3:$R$100,"-")</f>
        <v/>
      </c>
      <c r="G108" s="68">
        <f>_xlfn.XLOOKUP($A108,'05'!$G$3:$G$100,'05'!$R$3:$R$100,"-")</f>
        <v/>
      </c>
      <c r="H108" s="68">
        <f>_xlfn.XLOOKUP($A108,'06'!$G$3:$G$100,'06'!$R$3:$R$100,"-")</f>
        <v/>
      </c>
      <c r="I108" s="68">
        <f>_xlfn.XLOOKUP($A108,'07'!$G$3:$G$100,'07'!$R$3:$R$100,"-")</f>
        <v/>
      </c>
      <c r="J108" s="68">
        <f>_xlfn.XLOOKUP($A108,'08'!$G$3:$G$100,'08'!$R$3:$R$100,"-")</f>
        <v/>
      </c>
      <c r="K108" s="68">
        <f>_xlfn.XLOOKUP($A108,'09'!$G$3:$G$100,'09'!$R$3:$R$100,"-")</f>
        <v/>
      </c>
      <c r="L108" s="68">
        <f>_xlfn.XLOOKUP($A108,'10'!$G$3:$G$100,'10'!$R$3:$R$100,"-")</f>
        <v/>
      </c>
      <c r="M108" s="68">
        <f>_xlfn.XLOOKUP($A108,'11'!$G$3:$G$100,'11'!$R$3:$R$100,"-")</f>
        <v/>
      </c>
      <c r="N108" s="68">
        <f>_xlfn.XLOOKUP($A108,'12'!$G$3:$G$100,'12'!$R$3:$R$100,"-")</f>
        <v/>
      </c>
      <c r="O108" s="79">
        <f>SUM(C108:N108)</f>
        <v/>
      </c>
      <c r="P108" s="74" t="n"/>
      <c r="Q108" s="82" t="n">
        <v>106</v>
      </c>
      <c r="R108" s="38" t="n"/>
      <c r="S108" s="61" t="n">
        <v>0</v>
      </c>
      <c r="T108" s="68" t="n">
        <v>0</v>
      </c>
      <c r="U108" s="68" t="n">
        <v>0</v>
      </c>
      <c r="V108" s="68" t="n">
        <v>0</v>
      </c>
      <c r="W108" s="68" t="n">
        <v>0</v>
      </c>
      <c r="X108" s="68" t="n">
        <v>0</v>
      </c>
      <c r="Y108" s="68" t="n">
        <v>0</v>
      </c>
      <c r="Z108" s="68" t="n">
        <v>0</v>
      </c>
      <c r="AA108" s="68" t="n">
        <v>0</v>
      </c>
      <c r="AB108" s="68" t="n">
        <v>0</v>
      </c>
      <c r="AC108" s="68" t="n">
        <v>0</v>
      </c>
      <c r="AD108" s="68" t="n">
        <v>0</v>
      </c>
      <c r="AE108" s="68" t="n">
        <v>0</v>
      </c>
      <c r="AF108" s="79" t="n">
        <v>0</v>
      </c>
      <c r="AG108" s="74" t="n">
        <v>0</v>
      </c>
      <c r="AH108" s="82" t="n">
        <v>106</v>
      </c>
    </row>
    <row r="109" ht="18" customHeight="1">
      <c r="C109" s="68">
        <f>_xlfn.XLOOKUP($A109,'01'!$G$3:$G$100,'01'!$R$3:$R$100,"-")</f>
        <v/>
      </c>
      <c r="D109" s="68">
        <f>_xlfn.XLOOKUP($A109,'02'!$G$3:$G$100,'02'!$R$3:$R$100,"-")</f>
        <v/>
      </c>
      <c r="E109" s="68">
        <f>_xlfn.XLOOKUP($A109,'03'!$G$3:$G$100,'03'!$R$3:$R$100,"-")</f>
        <v/>
      </c>
      <c r="F109" s="68">
        <f>_xlfn.XLOOKUP($A109,'04'!$G$3:$G$100,'04'!$R$3:$R$100,"-")</f>
        <v/>
      </c>
      <c r="G109" s="68">
        <f>_xlfn.XLOOKUP($A109,'05'!$G$3:$G$100,'05'!$R$3:$R$100,"-")</f>
        <v/>
      </c>
      <c r="H109" s="68">
        <f>_xlfn.XLOOKUP($A109,'06'!$G$3:$G$100,'06'!$R$3:$R$100,"-")</f>
        <v/>
      </c>
      <c r="I109" s="68">
        <f>_xlfn.XLOOKUP($A109,'07'!$G$3:$G$100,'07'!$R$3:$R$100,"-")</f>
        <v/>
      </c>
      <c r="J109" s="68">
        <f>_xlfn.XLOOKUP($A109,'08'!$G$3:$G$100,'08'!$R$3:$R$100,"-")</f>
        <v/>
      </c>
      <c r="K109" s="68">
        <f>_xlfn.XLOOKUP($A109,'09'!$G$3:$G$100,'09'!$R$3:$R$100,"-")</f>
        <v/>
      </c>
      <c r="L109" s="68">
        <f>_xlfn.XLOOKUP($A109,'10'!$G$3:$G$100,'10'!$R$3:$R$100,"-")</f>
        <v/>
      </c>
      <c r="M109" s="68">
        <f>_xlfn.XLOOKUP($A109,'11'!$G$3:$G$100,'11'!$R$3:$R$100,"-")</f>
        <v/>
      </c>
      <c r="N109" s="68">
        <f>_xlfn.XLOOKUP($A109,'12'!$G$3:$G$100,'12'!$R$3:$R$100,"-")</f>
        <v/>
      </c>
      <c r="O109" s="79">
        <f>SUM(C109:N109)</f>
        <v/>
      </c>
      <c r="P109" s="74" t="n"/>
      <c r="Q109" s="82" t="n">
        <v>107</v>
      </c>
      <c r="R109" s="38" t="n"/>
      <c r="S109" s="61" t="n">
        <v>0</v>
      </c>
      <c r="T109" s="68" t="n">
        <v>0</v>
      </c>
      <c r="U109" s="68" t="n">
        <v>0</v>
      </c>
      <c r="V109" s="68" t="n">
        <v>0</v>
      </c>
      <c r="W109" s="68" t="n">
        <v>0</v>
      </c>
      <c r="X109" s="68" t="n">
        <v>0</v>
      </c>
      <c r="Y109" s="68" t="n">
        <v>0</v>
      </c>
      <c r="Z109" s="68" t="n">
        <v>0</v>
      </c>
      <c r="AA109" s="68" t="n">
        <v>0</v>
      </c>
      <c r="AB109" s="68" t="n">
        <v>0</v>
      </c>
      <c r="AC109" s="68" t="n">
        <v>0</v>
      </c>
      <c r="AD109" s="68" t="n">
        <v>0</v>
      </c>
      <c r="AE109" s="68" t="n">
        <v>0</v>
      </c>
      <c r="AF109" s="79" t="n">
        <v>0</v>
      </c>
      <c r="AG109" s="74" t="n">
        <v>0</v>
      </c>
      <c r="AH109" s="82" t="n">
        <v>107</v>
      </c>
    </row>
    <row r="110" ht="18" customHeight="1">
      <c r="C110" s="68">
        <f>_xlfn.XLOOKUP($A110,'01'!$G$3:$G$100,'01'!$R$3:$R$100,"-")</f>
        <v/>
      </c>
      <c r="D110" s="68">
        <f>_xlfn.XLOOKUP($A110,'02'!$G$3:$G$100,'02'!$R$3:$R$100,"-")</f>
        <v/>
      </c>
      <c r="E110" s="68">
        <f>_xlfn.XLOOKUP($A110,'03'!$G$3:$G$100,'03'!$R$3:$R$100,"-")</f>
        <v/>
      </c>
      <c r="F110" s="68">
        <f>_xlfn.XLOOKUP($A110,'04'!$G$3:$G$100,'04'!$R$3:$R$100,"-")</f>
        <v/>
      </c>
      <c r="G110" s="68">
        <f>_xlfn.XLOOKUP($A110,'05'!$G$3:$G$100,'05'!$R$3:$R$100,"-")</f>
        <v/>
      </c>
      <c r="H110" s="68">
        <f>_xlfn.XLOOKUP($A110,'06'!$G$3:$G$100,'06'!$R$3:$R$100,"-")</f>
        <v/>
      </c>
      <c r="I110" s="68">
        <f>_xlfn.XLOOKUP($A110,'07'!$G$3:$G$100,'07'!$R$3:$R$100,"-")</f>
        <v/>
      </c>
      <c r="J110" s="68">
        <f>_xlfn.XLOOKUP($A110,'08'!$G$3:$G$100,'08'!$R$3:$R$100,"-")</f>
        <v/>
      </c>
      <c r="K110" s="68">
        <f>_xlfn.XLOOKUP($A110,'09'!$G$3:$G$100,'09'!$R$3:$R$100,"-")</f>
        <v/>
      </c>
      <c r="L110" s="68">
        <f>_xlfn.XLOOKUP($A110,'10'!$G$3:$G$100,'10'!$R$3:$R$100,"-")</f>
        <v/>
      </c>
      <c r="M110" s="68">
        <f>_xlfn.XLOOKUP($A110,'11'!$G$3:$G$100,'11'!$R$3:$R$100,"-")</f>
        <v/>
      </c>
      <c r="N110" s="68">
        <f>_xlfn.XLOOKUP($A110,'12'!$G$3:$G$100,'12'!$R$3:$R$100,"-")</f>
        <v/>
      </c>
      <c r="O110" s="79">
        <f>SUM(C110:N110)</f>
        <v/>
      </c>
      <c r="P110" s="74" t="n"/>
      <c r="Q110" s="82" t="n">
        <v>108</v>
      </c>
      <c r="R110" s="38" t="n"/>
      <c r="S110" s="61" t="n">
        <v>0</v>
      </c>
      <c r="T110" s="68" t="n">
        <v>0</v>
      </c>
      <c r="U110" s="68" t="n">
        <v>0</v>
      </c>
      <c r="V110" s="68" t="n">
        <v>0</v>
      </c>
      <c r="W110" s="68" t="n">
        <v>0</v>
      </c>
      <c r="X110" s="68" t="n">
        <v>0</v>
      </c>
      <c r="Y110" s="68" t="n">
        <v>0</v>
      </c>
      <c r="Z110" s="68" t="n">
        <v>0</v>
      </c>
      <c r="AA110" s="68" t="n">
        <v>0</v>
      </c>
      <c r="AB110" s="68" t="n">
        <v>0</v>
      </c>
      <c r="AC110" s="68" t="n">
        <v>0</v>
      </c>
      <c r="AD110" s="68" t="n">
        <v>0</v>
      </c>
      <c r="AE110" s="68" t="n">
        <v>0</v>
      </c>
      <c r="AF110" s="79" t="n">
        <v>0</v>
      </c>
      <c r="AG110" s="74" t="n">
        <v>0</v>
      </c>
      <c r="AH110" s="82" t="n">
        <v>108</v>
      </c>
    </row>
    <row r="111" ht="18" customHeight="1">
      <c r="C111" s="68">
        <f>_xlfn.XLOOKUP($A111,'01'!$G$3:$G$100,'01'!$R$3:$R$100,"-")</f>
        <v/>
      </c>
      <c r="D111" s="68">
        <f>_xlfn.XLOOKUP($A111,'02'!$G$3:$G$100,'02'!$R$3:$R$100,"-")</f>
        <v/>
      </c>
      <c r="E111" s="68">
        <f>_xlfn.XLOOKUP($A111,'03'!$G$3:$G$100,'03'!$R$3:$R$100,"-")</f>
        <v/>
      </c>
      <c r="F111" s="68">
        <f>_xlfn.XLOOKUP($A111,'04'!$G$3:$G$100,'04'!$R$3:$R$100,"-")</f>
        <v/>
      </c>
      <c r="G111" s="68">
        <f>_xlfn.XLOOKUP($A111,'05'!$G$3:$G$100,'05'!$R$3:$R$100,"-")</f>
        <v/>
      </c>
      <c r="H111" s="68">
        <f>_xlfn.XLOOKUP($A111,'06'!$G$3:$G$100,'06'!$R$3:$R$100,"-")</f>
        <v/>
      </c>
      <c r="I111" s="68">
        <f>_xlfn.XLOOKUP($A111,'07'!$G$3:$G$100,'07'!$R$3:$R$100,"-")</f>
        <v/>
      </c>
      <c r="J111" s="68">
        <f>_xlfn.XLOOKUP($A111,'08'!$G$3:$G$100,'08'!$R$3:$R$100,"-")</f>
        <v/>
      </c>
      <c r="K111" s="68">
        <f>_xlfn.XLOOKUP($A111,'09'!$G$3:$G$100,'09'!$R$3:$R$100,"-")</f>
        <v/>
      </c>
      <c r="L111" s="68">
        <f>_xlfn.XLOOKUP($A111,'10'!$G$3:$G$100,'10'!$R$3:$R$100,"-")</f>
        <v/>
      </c>
      <c r="M111" s="68">
        <f>_xlfn.XLOOKUP($A111,'11'!$G$3:$G$100,'11'!$R$3:$R$100,"-")</f>
        <v/>
      </c>
      <c r="N111" s="68">
        <f>_xlfn.XLOOKUP($A111,'12'!$G$3:$G$100,'12'!$R$3:$R$100,"-")</f>
        <v/>
      </c>
      <c r="O111" s="79">
        <f>SUM(C111:N111)</f>
        <v/>
      </c>
      <c r="P111" s="74" t="n"/>
      <c r="Q111" s="82" t="n">
        <v>109</v>
      </c>
      <c r="R111" s="38" t="n"/>
      <c r="S111" s="61" t="n">
        <v>0</v>
      </c>
      <c r="T111" s="68" t="n">
        <v>0</v>
      </c>
      <c r="U111" s="68" t="n">
        <v>0</v>
      </c>
      <c r="V111" s="68" t="n">
        <v>0</v>
      </c>
      <c r="W111" s="68" t="n">
        <v>0</v>
      </c>
      <c r="X111" s="68" t="n">
        <v>0</v>
      </c>
      <c r="Y111" s="68" t="n">
        <v>0</v>
      </c>
      <c r="Z111" s="68" t="n">
        <v>0</v>
      </c>
      <c r="AA111" s="68" t="n">
        <v>0</v>
      </c>
      <c r="AB111" s="68" t="n">
        <v>0</v>
      </c>
      <c r="AC111" s="68" t="n">
        <v>0</v>
      </c>
      <c r="AD111" s="68" t="n">
        <v>0</v>
      </c>
      <c r="AE111" s="68" t="n">
        <v>0</v>
      </c>
      <c r="AF111" s="79" t="n">
        <v>0</v>
      </c>
      <c r="AG111" s="74" t="n">
        <v>0</v>
      </c>
      <c r="AH111" s="82" t="n">
        <v>109</v>
      </c>
    </row>
    <row r="112" ht="18" customHeight="1">
      <c r="C112" s="68">
        <f>_xlfn.XLOOKUP($A112,'01'!$G$3:$G$100,'01'!$R$3:$R$100,"-")</f>
        <v/>
      </c>
      <c r="D112" s="68">
        <f>_xlfn.XLOOKUP($A112,'02'!$G$3:$G$100,'02'!$R$3:$R$100,"-")</f>
        <v/>
      </c>
      <c r="E112" s="68">
        <f>_xlfn.XLOOKUP($A112,'03'!$G$3:$G$100,'03'!$R$3:$R$100,"-")</f>
        <v/>
      </c>
      <c r="F112" s="68">
        <f>_xlfn.XLOOKUP($A112,'04'!$G$3:$G$100,'04'!$R$3:$R$100,"-")</f>
        <v/>
      </c>
      <c r="G112" s="68">
        <f>_xlfn.XLOOKUP($A112,'05'!$G$3:$G$100,'05'!$R$3:$R$100,"-")</f>
        <v/>
      </c>
      <c r="H112" s="68">
        <f>_xlfn.XLOOKUP($A112,'06'!$G$3:$G$100,'06'!$R$3:$R$100,"-")</f>
        <v/>
      </c>
      <c r="I112" s="68">
        <f>_xlfn.XLOOKUP($A112,'07'!$G$3:$G$100,'07'!$R$3:$R$100,"-")</f>
        <v/>
      </c>
      <c r="J112" s="68">
        <f>_xlfn.XLOOKUP($A112,'08'!$G$3:$G$100,'08'!$R$3:$R$100,"-")</f>
        <v/>
      </c>
      <c r="K112" s="68">
        <f>_xlfn.XLOOKUP($A112,'09'!$G$3:$G$100,'09'!$R$3:$R$100,"-")</f>
        <v/>
      </c>
      <c r="L112" s="68">
        <f>_xlfn.XLOOKUP($A112,'10'!$G$3:$G$100,'10'!$R$3:$R$100,"-")</f>
        <v/>
      </c>
      <c r="M112" s="68">
        <f>_xlfn.XLOOKUP($A112,'11'!$G$3:$G$100,'11'!$R$3:$R$100,"-")</f>
        <v/>
      </c>
      <c r="N112" s="68">
        <f>_xlfn.XLOOKUP($A112,'12'!$G$3:$G$100,'12'!$R$3:$R$100,"-")</f>
        <v/>
      </c>
      <c r="O112" s="79">
        <f>SUM(C112:N112)</f>
        <v/>
      </c>
      <c r="P112" s="74" t="n"/>
      <c r="Q112" s="82" t="n">
        <v>110</v>
      </c>
      <c r="R112" s="38" t="n"/>
      <c r="S112" s="61" t="n">
        <v>0</v>
      </c>
      <c r="T112" s="68" t="n">
        <v>0</v>
      </c>
      <c r="U112" s="68" t="n">
        <v>0</v>
      </c>
      <c r="V112" s="68" t="n">
        <v>0</v>
      </c>
      <c r="W112" s="68" t="n">
        <v>0</v>
      </c>
      <c r="X112" s="68" t="n">
        <v>0</v>
      </c>
      <c r="Y112" s="68" t="n">
        <v>0</v>
      </c>
      <c r="Z112" s="68" t="n">
        <v>0</v>
      </c>
      <c r="AA112" s="68" t="n">
        <v>0</v>
      </c>
      <c r="AB112" s="68" t="n">
        <v>0</v>
      </c>
      <c r="AC112" s="68" t="n">
        <v>0</v>
      </c>
      <c r="AD112" s="68" t="n">
        <v>0</v>
      </c>
      <c r="AE112" s="68" t="n">
        <v>0</v>
      </c>
      <c r="AF112" s="79" t="n">
        <v>0</v>
      </c>
      <c r="AG112" s="74" t="n">
        <v>0</v>
      </c>
      <c r="AH112" s="82" t="n">
        <v>110</v>
      </c>
    </row>
    <row r="113" ht="18" customHeight="1">
      <c r="C113" s="68">
        <f>_xlfn.XLOOKUP($A113,'01'!$G$3:$G$100,'01'!$R$3:$R$100,"-")</f>
        <v/>
      </c>
      <c r="D113" s="68">
        <f>_xlfn.XLOOKUP($A113,'02'!$G$3:$G$100,'02'!$R$3:$R$100,"-")</f>
        <v/>
      </c>
      <c r="E113" s="68">
        <f>_xlfn.XLOOKUP($A113,'03'!$G$3:$G$100,'03'!$R$3:$R$100,"-")</f>
        <v/>
      </c>
      <c r="F113" s="68">
        <f>_xlfn.XLOOKUP($A113,'04'!$G$3:$G$100,'04'!$R$3:$R$100,"-")</f>
        <v/>
      </c>
      <c r="G113" s="68">
        <f>_xlfn.XLOOKUP($A113,'05'!$G$3:$G$100,'05'!$R$3:$R$100,"-")</f>
        <v/>
      </c>
      <c r="H113" s="68">
        <f>_xlfn.XLOOKUP($A113,'06'!$G$3:$G$100,'06'!$R$3:$R$100,"-")</f>
        <v/>
      </c>
      <c r="I113" s="68">
        <f>_xlfn.XLOOKUP($A113,'07'!$G$3:$G$100,'07'!$R$3:$R$100,"-")</f>
        <v/>
      </c>
      <c r="J113" s="68">
        <f>_xlfn.XLOOKUP($A113,'08'!$G$3:$G$100,'08'!$R$3:$R$100,"-")</f>
        <v/>
      </c>
      <c r="K113" s="68">
        <f>_xlfn.XLOOKUP($A113,'09'!$G$3:$G$100,'09'!$R$3:$R$100,"-")</f>
        <v/>
      </c>
      <c r="L113" s="68">
        <f>_xlfn.XLOOKUP($A113,'10'!$G$3:$G$100,'10'!$R$3:$R$100,"-")</f>
        <v/>
      </c>
      <c r="M113" s="68">
        <f>_xlfn.XLOOKUP($A113,'11'!$G$3:$G$100,'11'!$R$3:$R$100,"-")</f>
        <v/>
      </c>
      <c r="N113" s="68">
        <f>_xlfn.XLOOKUP($A113,'12'!$G$3:$G$100,'12'!$R$3:$R$100,"-")</f>
        <v/>
      </c>
      <c r="O113" s="79">
        <f>SUM(C113:N113)</f>
        <v/>
      </c>
      <c r="P113" s="74" t="n"/>
      <c r="Q113" s="82" t="n">
        <v>111</v>
      </c>
      <c r="R113" s="38" t="n"/>
      <c r="S113" s="61" t="n">
        <v>0</v>
      </c>
      <c r="T113" s="68" t="n">
        <v>0</v>
      </c>
      <c r="U113" s="68" t="n">
        <v>0</v>
      </c>
      <c r="V113" s="68" t="n">
        <v>0</v>
      </c>
      <c r="W113" s="68" t="n">
        <v>0</v>
      </c>
      <c r="X113" s="68" t="n">
        <v>0</v>
      </c>
      <c r="Y113" s="68" t="n">
        <v>0</v>
      </c>
      <c r="Z113" s="68" t="n">
        <v>0</v>
      </c>
      <c r="AA113" s="68" t="n">
        <v>0</v>
      </c>
      <c r="AB113" s="68" t="n">
        <v>0</v>
      </c>
      <c r="AC113" s="68" t="n">
        <v>0</v>
      </c>
      <c r="AD113" s="68" t="n">
        <v>0</v>
      </c>
      <c r="AE113" s="68" t="n">
        <v>0</v>
      </c>
      <c r="AF113" s="79" t="n">
        <v>0</v>
      </c>
      <c r="AG113" s="74" t="n">
        <v>0</v>
      </c>
      <c r="AH113" s="82" t="n">
        <v>111</v>
      </c>
    </row>
    <row r="114" ht="18" customHeight="1">
      <c r="C114" s="68">
        <f>_xlfn.XLOOKUP($A114,'01'!$G$3:$G$100,'01'!$R$3:$R$100,"-")</f>
        <v/>
      </c>
      <c r="D114" s="68">
        <f>_xlfn.XLOOKUP($A114,'02'!$G$3:$G$100,'02'!$R$3:$R$100,"-")</f>
        <v/>
      </c>
      <c r="E114" s="68">
        <f>_xlfn.XLOOKUP($A114,'03'!$G$3:$G$100,'03'!$R$3:$R$100,"-")</f>
        <v/>
      </c>
      <c r="F114" s="68">
        <f>_xlfn.XLOOKUP($A114,'04'!$G$3:$G$100,'04'!$R$3:$R$100,"-")</f>
        <v/>
      </c>
      <c r="G114" s="68">
        <f>_xlfn.XLOOKUP($A114,'05'!$G$3:$G$100,'05'!$R$3:$R$100,"-")</f>
        <v/>
      </c>
      <c r="H114" s="68">
        <f>_xlfn.XLOOKUP($A114,'06'!$G$3:$G$100,'06'!$R$3:$R$100,"-")</f>
        <v/>
      </c>
      <c r="I114" s="68">
        <f>_xlfn.XLOOKUP($A114,'07'!$G$3:$G$100,'07'!$R$3:$R$100,"-")</f>
        <v/>
      </c>
      <c r="J114" s="68">
        <f>_xlfn.XLOOKUP($A114,'08'!$G$3:$G$100,'08'!$R$3:$R$100,"-")</f>
        <v/>
      </c>
      <c r="K114" s="68">
        <f>_xlfn.XLOOKUP($A114,'09'!$G$3:$G$100,'09'!$R$3:$R$100,"-")</f>
        <v/>
      </c>
      <c r="L114" s="68">
        <f>_xlfn.XLOOKUP($A114,'10'!$G$3:$G$100,'10'!$R$3:$R$100,"-")</f>
        <v/>
      </c>
      <c r="M114" s="68">
        <f>_xlfn.XLOOKUP($A114,'11'!$G$3:$G$100,'11'!$R$3:$R$100,"-")</f>
        <v/>
      </c>
      <c r="N114" s="68">
        <f>_xlfn.XLOOKUP($A114,'12'!$G$3:$G$100,'12'!$R$3:$R$100,"-")</f>
        <v/>
      </c>
      <c r="O114" s="79">
        <f>SUM(C114:N114)</f>
        <v/>
      </c>
      <c r="P114" s="74" t="n"/>
      <c r="Q114" s="82" t="n">
        <v>112</v>
      </c>
      <c r="R114" s="38" t="n"/>
      <c r="S114" s="61" t="n">
        <v>0</v>
      </c>
      <c r="T114" s="68" t="n">
        <v>0</v>
      </c>
      <c r="U114" s="68" t="n">
        <v>0</v>
      </c>
      <c r="V114" s="68" t="n">
        <v>0</v>
      </c>
      <c r="W114" s="68" t="n">
        <v>0</v>
      </c>
      <c r="X114" s="68" t="n">
        <v>0</v>
      </c>
      <c r="Y114" s="68" t="n">
        <v>0</v>
      </c>
      <c r="Z114" s="68" t="n">
        <v>0</v>
      </c>
      <c r="AA114" s="68" t="n">
        <v>0</v>
      </c>
      <c r="AB114" s="68" t="n">
        <v>0</v>
      </c>
      <c r="AC114" s="68" t="n">
        <v>0</v>
      </c>
      <c r="AD114" s="68" t="n">
        <v>0</v>
      </c>
      <c r="AE114" s="68" t="n">
        <v>0</v>
      </c>
      <c r="AF114" s="79" t="n">
        <v>0</v>
      </c>
      <c r="AG114" s="74" t="n">
        <v>0</v>
      </c>
      <c r="AH114" s="82" t="n">
        <v>112</v>
      </c>
    </row>
    <row r="115" ht="18" customHeight="1">
      <c r="C115" s="68">
        <f>_xlfn.XLOOKUP($A115,'01'!$G$3:$G$100,'01'!$R$3:$R$100,"-")</f>
        <v/>
      </c>
      <c r="D115" s="68">
        <f>_xlfn.XLOOKUP($A115,'02'!$G$3:$G$100,'02'!$R$3:$R$100,"-")</f>
        <v/>
      </c>
      <c r="E115" s="68">
        <f>_xlfn.XLOOKUP($A115,'03'!$G$3:$G$100,'03'!$R$3:$R$100,"-")</f>
        <v/>
      </c>
      <c r="F115" s="68">
        <f>_xlfn.XLOOKUP($A115,'04'!$G$3:$G$100,'04'!$R$3:$R$100,"-")</f>
        <v/>
      </c>
      <c r="G115" s="68">
        <f>_xlfn.XLOOKUP($A115,'05'!$G$3:$G$100,'05'!$R$3:$R$100,"-")</f>
        <v/>
      </c>
      <c r="H115" s="68">
        <f>_xlfn.XLOOKUP($A115,'06'!$G$3:$G$100,'06'!$R$3:$R$100,"-")</f>
        <v/>
      </c>
      <c r="I115" s="68">
        <f>_xlfn.XLOOKUP($A115,'07'!$G$3:$G$100,'07'!$R$3:$R$100,"-")</f>
        <v/>
      </c>
      <c r="J115" s="68">
        <f>_xlfn.XLOOKUP($A115,'08'!$G$3:$G$100,'08'!$R$3:$R$100,"-")</f>
        <v/>
      </c>
      <c r="K115" s="68">
        <f>_xlfn.XLOOKUP($A115,'09'!$G$3:$G$100,'09'!$R$3:$R$100,"-")</f>
        <v/>
      </c>
      <c r="L115" s="68">
        <f>_xlfn.XLOOKUP($A115,'10'!$G$3:$G$100,'10'!$R$3:$R$100,"-")</f>
        <v/>
      </c>
      <c r="M115" s="68">
        <f>_xlfn.XLOOKUP($A115,'11'!$G$3:$G$100,'11'!$R$3:$R$100,"-")</f>
        <v/>
      </c>
      <c r="N115" s="68">
        <f>_xlfn.XLOOKUP($A115,'12'!$G$3:$G$100,'12'!$R$3:$R$100,"-")</f>
        <v/>
      </c>
      <c r="O115" s="79">
        <f>SUM(C115:N115)</f>
        <v/>
      </c>
      <c r="P115" s="74" t="n"/>
      <c r="Q115" s="82" t="n">
        <v>113</v>
      </c>
      <c r="R115" s="38" t="n"/>
      <c r="S115" s="61" t="n">
        <v>0</v>
      </c>
      <c r="T115" s="68" t="n">
        <v>0</v>
      </c>
      <c r="U115" s="68" t="n">
        <v>0</v>
      </c>
      <c r="V115" s="68" t="n">
        <v>0</v>
      </c>
      <c r="W115" s="68" t="n">
        <v>0</v>
      </c>
      <c r="X115" s="68" t="n">
        <v>0</v>
      </c>
      <c r="Y115" s="68" t="n">
        <v>0</v>
      </c>
      <c r="Z115" s="68" t="n">
        <v>0</v>
      </c>
      <c r="AA115" s="68" t="n">
        <v>0</v>
      </c>
      <c r="AB115" s="68" t="n">
        <v>0</v>
      </c>
      <c r="AC115" s="68" t="n">
        <v>0</v>
      </c>
      <c r="AD115" s="68" t="n">
        <v>0</v>
      </c>
      <c r="AE115" s="68" t="n">
        <v>0</v>
      </c>
      <c r="AF115" s="79" t="n">
        <v>0</v>
      </c>
      <c r="AG115" s="74" t="n">
        <v>0</v>
      </c>
      <c r="AH115" s="82" t="n">
        <v>113</v>
      </c>
    </row>
    <row r="116" ht="18" customHeight="1">
      <c r="C116" s="68">
        <f>_xlfn.XLOOKUP($A116,'01'!$G$3:$G$100,'01'!$R$3:$R$100,"-")</f>
        <v/>
      </c>
      <c r="D116" s="68">
        <f>_xlfn.XLOOKUP($A116,'02'!$G$3:$G$100,'02'!$R$3:$R$100,"-")</f>
        <v/>
      </c>
      <c r="E116" s="68">
        <f>_xlfn.XLOOKUP($A116,'03'!$G$3:$G$100,'03'!$R$3:$R$100,"-")</f>
        <v/>
      </c>
      <c r="F116" s="68">
        <f>_xlfn.XLOOKUP($A116,'04'!$G$3:$G$100,'04'!$R$3:$R$100,"-")</f>
        <v/>
      </c>
      <c r="G116" s="68">
        <f>_xlfn.XLOOKUP($A116,'05'!$G$3:$G$100,'05'!$R$3:$R$100,"-")</f>
        <v/>
      </c>
      <c r="H116" s="68">
        <f>_xlfn.XLOOKUP($A116,'06'!$G$3:$G$100,'06'!$R$3:$R$100,"-")</f>
        <v/>
      </c>
      <c r="I116" s="68">
        <f>_xlfn.XLOOKUP($A116,'07'!$G$3:$G$100,'07'!$R$3:$R$100,"-")</f>
        <v/>
      </c>
      <c r="J116" s="68">
        <f>_xlfn.XLOOKUP($A116,'08'!$G$3:$G$100,'08'!$R$3:$R$100,"-")</f>
        <v/>
      </c>
      <c r="K116" s="68">
        <f>_xlfn.XLOOKUP($A116,'09'!$G$3:$G$100,'09'!$R$3:$R$100,"-")</f>
        <v/>
      </c>
      <c r="L116" s="68">
        <f>_xlfn.XLOOKUP($A116,'10'!$G$3:$G$100,'10'!$R$3:$R$100,"-")</f>
        <v/>
      </c>
      <c r="M116" s="68">
        <f>_xlfn.XLOOKUP($A116,'11'!$G$3:$G$100,'11'!$R$3:$R$100,"-")</f>
        <v/>
      </c>
      <c r="N116" s="68">
        <f>_xlfn.XLOOKUP($A116,'12'!$G$3:$G$100,'12'!$R$3:$R$100,"-")</f>
        <v/>
      </c>
      <c r="O116" s="79">
        <f>SUM(C116:N116)</f>
        <v/>
      </c>
      <c r="P116" s="74" t="n"/>
      <c r="Q116" s="82" t="n">
        <v>114</v>
      </c>
      <c r="R116" s="38" t="n"/>
      <c r="S116" s="61" t="n">
        <v>0</v>
      </c>
      <c r="T116" s="68" t="n">
        <v>0</v>
      </c>
      <c r="U116" s="68" t="n">
        <v>0</v>
      </c>
      <c r="V116" s="68" t="n">
        <v>0</v>
      </c>
      <c r="W116" s="68" t="n">
        <v>0</v>
      </c>
      <c r="X116" s="68" t="n">
        <v>0</v>
      </c>
      <c r="Y116" s="68" t="n">
        <v>0</v>
      </c>
      <c r="Z116" s="68" t="n">
        <v>0</v>
      </c>
      <c r="AA116" s="68" t="n">
        <v>0</v>
      </c>
      <c r="AB116" s="68" t="n">
        <v>0</v>
      </c>
      <c r="AC116" s="68" t="n">
        <v>0</v>
      </c>
      <c r="AD116" s="68" t="n">
        <v>0</v>
      </c>
      <c r="AE116" s="68" t="n">
        <v>0</v>
      </c>
      <c r="AF116" s="79" t="n">
        <v>0</v>
      </c>
      <c r="AG116" s="74" t="n">
        <v>0</v>
      </c>
      <c r="AH116" s="82" t="n">
        <v>114</v>
      </c>
    </row>
    <row r="117" ht="18" customHeight="1">
      <c r="C117" s="68">
        <f>_xlfn.XLOOKUP($A117,'01'!$G$3:$G$100,'01'!$R$3:$R$100,"-")</f>
        <v/>
      </c>
      <c r="D117" s="68">
        <f>_xlfn.XLOOKUP($A117,'02'!$G$3:$G$100,'02'!$R$3:$R$100,"-")</f>
        <v/>
      </c>
      <c r="E117" s="68">
        <f>_xlfn.XLOOKUP($A117,'03'!$G$3:$G$100,'03'!$R$3:$R$100,"-")</f>
        <v/>
      </c>
      <c r="F117" s="68">
        <f>_xlfn.XLOOKUP($A117,'04'!$G$3:$G$100,'04'!$R$3:$R$100,"-")</f>
        <v/>
      </c>
      <c r="G117" s="68">
        <f>_xlfn.XLOOKUP($A117,'05'!$G$3:$G$100,'05'!$R$3:$R$100,"-")</f>
        <v/>
      </c>
      <c r="H117" s="68">
        <f>_xlfn.XLOOKUP($A117,'06'!$G$3:$G$100,'06'!$R$3:$R$100,"-")</f>
        <v/>
      </c>
      <c r="I117" s="68">
        <f>_xlfn.XLOOKUP($A117,'07'!$G$3:$G$100,'07'!$R$3:$R$100,"-")</f>
        <v/>
      </c>
      <c r="J117" s="68">
        <f>_xlfn.XLOOKUP($A117,'08'!$G$3:$G$100,'08'!$R$3:$R$100,"-")</f>
        <v/>
      </c>
      <c r="K117" s="68">
        <f>_xlfn.XLOOKUP($A117,'09'!$G$3:$G$100,'09'!$R$3:$R$100,"-")</f>
        <v/>
      </c>
      <c r="L117" s="68">
        <f>_xlfn.XLOOKUP($A117,'10'!$G$3:$G$100,'10'!$R$3:$R$100,"-")</f>
        <v/>
      </c>
      <c r="M117" s="68">
        <f>_xlfn.XLOOKUP($A117,'11'!$G$3:$G$100,'11'!$R$3:$R$100,"-")</f>
        <v/>
      </c>
      <c r="N117" s="68">
        <f>_xlfn.XLOOKUP($A117,'12'!$G$3:$G$100,'12'!$R$3:$R$100,"-")</f>
        <v/>
      </c>
      <c r="O117" s="79">
        <f>SUM(C117:N117)</f>
        <v/>
      </c>
      <c r="P117" s="74" t="n"/>
      <c r="Q117" s="83" t="n">
        <v>115</v>
      </c>
      <c r="R117" s="38" t="n"/>
      <c r="S117" s="61" t="n">
        <v>0</v>
      </c>
      <c r="T117" s="68" t="n">
        <v>0</v>
      </c>
      <c r="U117" s="68" t="n">
        <v>0</v>
      </c>
      <c r="V117" s="68" t="n">
        <v>0</v>
      </c>
      <c r="W117" s="68" t="n">
        <v>0</v>
      </c>
      <c r="X117" s="68" t="n">
        <v>0</v>
      </c>
      <c r="Y117" s="68" t="n">
        <v>0</v>
      </c>
      <c r="Z117" s="68" t="n">
        <v>0</v>
      </c>
      <c r="AA117" s="68" t="n">
        <v>0</v>
      </c>
      <c r="AB117" s="68" t="n">
        <v>0</v>
      </c>
      <c r="AC117" s="68" t="n">
        <v>0</v>
      </c>
      <c r="AD117" s="68" t="n">
        <v>0</v>
      </c>
      <c r="AE117" s="68" t="n">
        <v>0</v>
      </c>
      <c r="AF117" s="79" t="n">
        <v>0</v>
      </c>
      <c r="AG117" s="74" t="n">
        <v>0</v>
      </c>
      <c r="AH117" s="83" t="n">
        <v>115</v>
      </c>
    </row>
    <row r="118" ht="18" customHeight="1">
      <c r="C118" s="68">
        <f>_xlfn.XLOOKUP($A118,'01'!$G$3:$G$100,'01'!$R$3:$R$100,"-")</f>
        <v/>
      </c>
      <c r="D118" s="68">
        <f>_xlfn.XLOOKUP($A118,'02'!$G$3:$G$100,'02'!$R$3:$R$100,"-")</f>
        <v/>
      </c>
      <c r="E118" s="68">
        <f>_xlfn.XLOOKUP($A118,'03'!$G$3:$G$100,'03'!$R$3:$R$100,"-")</f>
        <v/>
      </c>
      <c r="F118" s="68">
        <f>_xlfn.XLOOKUP($A118,'04'!$G$3:$G$100,'04'!$R$3:$R$100,"-")</f>
        <v/>
      </c>
      <c r="G118" s="68">
        <f>_xlfn.XLOOKUP($A118,'05'!$G$3:$G$100,'05'!$R$3:$R$100,"-")</f>
        <v/>
      </c>
      <c r="H118" s="68">
        <f>_xlfn.XLOOKUP($A118,'06'!$G$3:$G$100,'06'!$R$3:$R$100,"-")</f>
        <v/>
      </c>
      <c r="I118" s="68">
        <f>_xlfn.XLOOKUP($A118,'07'!$G$3:$G$100,'07'!$R$3:$R$100,"-")</f>
        <v/>
      </c>
      <c r="J118" s="68">
        <f>_xlfn.XLOOKUP($A118,'08'!$G$3:$G$100,'08'!$R$3:$R$100,"-")</f>
        <v/>
      </c>
      <c r="K118" s="68">
        <f>_xlfn.XLOOKUP($A118,'09'!$G$3:$G$100,'09'!$R$3:$R$100,"-")</f>
        <v/>
      </c>
      <c r="L118" s="68">
        <f>_xlfn.XLOOKUP($A118,'10'!$G$3:$G$100,'10'!$R$3:$R$100,"-")</f>
        <v/>
      </c>
      <c r="M118" s="68">
        <f>_xlfn.XLOOKUP($A118,'11'!$G$3:$G$100,'11'!$R$3:$R$100,"-")</f>
        <v/>
      </c>
      <c r="N118" s="68">
        <f>_xlfn.XLOOKUP($A118,'12'!$G$3:$G$100,'12'!$R$3:$R$100,"-")</f>
        <v/>
      </c>
      <c r="O118" s="79">
        <f>SUM(C118:N118)</f>
        <v/>
      </c>
      <c r="P118" s="74" t="n"/>
      <c r="Q118" s="82" t="n">
        <v>116</v>
      </c>
      <c r="R118" s="38" t="n"/>
      <c r="S118" s="61" t="n">
        <v>0</v>
      </c>
      <c r="T118" s="68" t="n">
        <v>0</v>
      </c>
      <c r="U118" s="68" t="n">
        <v>0</v>
      </c>
      <c r="V118" s="68" t="n">
        <v>0</v>
      </c>
      <c r="W118" s="68" t="n">
        <v>0</v>
      </c>
      <c r="X118" s="68" t="n">
        <v>0</v>
      </c>
      <c r="Y118" s="68" t="n">
        <v>0</v>
      </c>
      <c r="Z118" s="68" t="n">
        <v>0</v>
      </c>
      <c r="AA118" s="68" t="n">
        <v>0</v>
      </c>
      <c r="AB118" s="68" t="n">
        <v>0</v>
      </c>
      <c r="AC118" s="68" t="n">
        <v>0</v>
      </c>
      <c r="AD118" s="68" t="n">
        <v>0</v>
      </c>
      <c r="AE118" s="68" t="n">
        <v>0</v>
      </c>
      <c r="AF118" s="79" t="n">
        <v>0</v>
      </c>
      <c r="AG118" s="74" t="n">
        <v>0</v>
      </c>
      <c r="AH118" s="82" t="n">
        <v>116</v>
      </c>
    </row>
    <row r="119" ht="18" customHeight="1">
      <c r="C119" s="68">
        <f>_xlfn.XLOOKUP($A119,'01'!$G$3:$G$100,'01'!$R$3:$R$100,"-")</f>
        <v/>
      </c>
      <c r="D119" s="68">
        <f>_xlfn.XLOOKUP($A119,'02'!$G$3:$G$100,'02'!$R$3:$R$100,"-")</f>
        <v/>
      </c>
      <c r="E119" s="68">
        <f>_xlfn.XLOOKUP($A119,'03'!$G$3:$G$100,'03'!$R$3:$R$100,"-")</f>
        <v/>
      </c>
      <c r="F119" s="68">
        <f>_xlfn.XLOOKUP($A119,'04'!$G$3:$G$100,'04'!$R$3:$R$100,"-")</f>
        <v/>
      </c>
      <c r="G119" s="68">
        <f>_xlfn.XLOOKUP($A119,'05'!$G$3:$G$100,'05'!$R$3:$R$100,"-")</f>
        <v/>
      </c>
      <c r="H119" s="68">
        <f>_xlfn.XLOOKUP($A119,'06'!$G$3:$G$100,'06'!$R$3:$R$100,"-")</f>
        <v/>
      </c>
      <c r="I119" s="68">
        <f>_xlfn.XLOOKUP($A119,'07'!$G$3:$G$100,'07'!$R$3:$R$100,"-")</f>
        <v/>
      </c>
      <c r="J119" s="68">
        <f>_xlfn.XLOOKUP($A119,'08'!$G$3:$G$100,'08'!$R$3:$R$100,"-")</f>
        <v/>
      </c>
      <c r="K119" s="68">
        <f>_xlfn.XLOOKUP($A119,'09'!$G$3:$G$100,'09'!$R$3:$R$100,"-")</f>
        <v/>
      </c>
      <c r="L119" s="68">
        <f>_xlfn.XLOOKUP($A119,'10'!$G$3:$G$100,'10'!$R$3:$R$100,"-")</f>
        <v/>
      </c>
      <c r="M119" s="68">
        <f>_xlfn.XLOOKUP($A119,'11'!$G$3:$G$100,'11'!$R$3:$R$100,"-")</f>
        <v/>
      </c>
      <c r="N119" s="68">
        <f>_xlfn.XLOOKUP($A119,'12'!$G$3:$G$100,'12'!$R$3:$R$100,"-")</f>
        <v/>
      </c>
      <c r="O119" s="79">
        <f>SUM(C119:N119)</f>
        <v/>
      </c>
      <c r="P119" s="74" t="n"/>
      <c r="Q119" s="82" t="n">
        <v>117</v>
      </c>
      <c r="R119" s="38" t="n"/>
      <c r="S119" s="61" t="n">
        <v>0</v>
      </c>
      <c r="T119" s="68" t="n">
        <v>0</v>
      </c>
      <c r="U119" s="68" t="n">
        <v>0</v>
      </c>
      <c r="V119" s="68" t="n">
        <v>0</v>
      </c>
      <c r="W119" s="68" t="n">
        <v>0</v>
      </c>
      <c r="X119" s="68" t="n">
        <v>0</v>
      </c>
      <c r="Y119" s="68" t="n">
        <v>0</v>
      </c>
      <c r="Z119" s="68" t="n">
        <v>0</v>
      </c>
      <c r="AA119" s="68" t="n">
        <v>0</v>
      </c>
      <c r="AB119" s="68" t="n">
        <v>0</v>
      </c>
      <c r="AC119" s="68" t="n">
        <v>0</v>
      </c>
      <c r="AD119" s="68" t="n">
        <v>0</v>
      </c>
      <c r="AE119" s="68" t="n">
        <v>0</v>
      </c>
      <c r="AF119" s="79" t="n">
        <v>0</v>
      </c>
      <c r="AG119" s="74" t="n">
        <v>0</v>
      </c>
      <c r="AH119" s="82" t="n">
        <v>117</v>
      </c>
    </row>
    <row r="120" ht="18" customHeight="1">
      <c r="C120" s="68">
        <f>_xlfn.XLOOKUP($A120,'01'!$G$3:$G$100,'01'!$R$3:$R$100,"-")</f>
        <v/>
      </c>
      <c r="D120" s="68">
        <f>_xlfn.XLOOKUP($A120,'02'!$G$3:$G$100,'02'!$R$3:$R$100,"-")</f>
        <v/>
      </c>
      <c r="E120" s="68">
        <f>_xlfn.XLOOKUP($A120,'03'!$G$3:$G$100,'03'!$R$3:$R$100,"-")</f>
        <v/>
      </c>
      <c r="F120" s="68">
        <f>_xlfn.XLOOKUP($A120,'04'!$G$3:$G$100,'04'!$R$3:$R$100,"-")</f>
        <v/>
      </c>
      <c r="G120" s="68">
        <f>_xlfn.XLOOKUP($A120,'05'!$G$3:$G$100,'05'!$R$3:$R$100,"-")</f>
        <v/>
      </c>
      <c r="H120" s="68">
        <f>_xlfn.XLOOKUP($A120,'06'!$G$3:$G$100,'06'!$R$3:$R$100,"-")</f>
        <v/>
      </c>
      <c r="I120" s="68">
        <f>_xlfn.XLOOKUP($A120,'07'!$G$3:$G$100,'07'!$R$3:$R$100,"-")</f>
        <v/>
      </c>
      <c r="J120" s="68">
        <f>_xlfn.XLOOKUP($A120,'08'!$G$3:$G$100,'08'!$R$3:$R$100,"-")</f>
        <v/>
      </c>
      <c r="K120" s="68">
        <f>_xlfn.XLOOKUP($A120,'09'!$G$3:$G$100,'09'!$R$3:$R$100,"-")</f>
        <v/>
      </c>
      <c r="L120" s="68">
        <f>_xlfn.XLOOKUP($A120,'10'!$G$3:$G$100,'10'!$R$3:$R$100,"-")</f>
        <v/>
      </c>
      <c r="M120" s="68">
        <f>_xlfn.XLOOKUP($A120,'11'!$G$3:$G$100,'11'!$R$3:$R$100,"-")</f>
        <v/>
      </c>
      <c r="N120" s="68">
        <f>_xlfn.XLOOKUP($A120,'12'!$G$3:$G$100,'12'!$R$3:$R$100,"-")</f>
        <v/>
      </c>
      <c r="O120" s="79">
        <f>SUM(C120:N120)</f>
        <v/>
      </c>
      <c r="P120" s="74" t="n"/>
      <c r="Q120" s="82" t="n">
        <v>118</v>
      </c>
      <c r="R120" s="38" t="n"/>
      <c r="S120" s="61" t="n">
        <v>0</v>
      </c>
      <c r="T120" s="68" t="n">
        <v>0</v>
      </c>
      <c r="U120" s="68" t="n">
        <v>0</v>
      </c>
      <c r="V120" s="68" t="n">
        <v>0</v>
      </c>
      <c r="W120" s="68" t="n">
        <v>0</v>
      </c>
      <c r="X120" s="68" t="n">
        <v>0</v>
      </c>
      <c r="Y120" s="68" t="n">
        <v>0</v>
      </c>
      <c r="Z120" s="68" t="n">
        <v>0</v>
      </c>
      <c r="AA120" s="68" t="n">
        <v>0</v>
      </c>
      <c r="AB120" s="68" t="n">
        <v>0</v>
      </c>
      <c r="AC120" s="68" t="n">
        <v>0</v>
      </c>
      <c r="AD120" s="68" t="n">
        <v>0</v>
      </c>
      <c r="AE120" s="68" t="n">
        <v>0</v>
      </c>
      <c r="AF120" s="79" t="n">
        <v>0</v>
      </c>
      <c r="AG120" s="74" t="n">
        <v>0</v>
      </c>
      <c r="AH120" s="82" t="n">
        <v>118</v>
      </c>
    </row>
    <row r="121" ht="18" customHeight="1">
      <c r="C121" s="68">
        <f>_xlfn.XLOOKUP($A121,'01'!$G$3:$G$100,'01'!$R$3:$R$100,"-")</f>
        <v/>
      </c>
      <c r="D121" s="68">
        <f>_xlfn.XLOOKUP($A121,'02'!$G$3:$G$100,'02'!$R$3:$R$100,"-")</f>
        <v/>
      </c>
      <c r="E121" s="68">
        <f>_xlfn.XLOOKUP($A121,'03'!$G$3:$G$100,'03'!$R$3:$R$100,"-")</f>
        <v/>
      </c>
      <c r="F121" s="68">
        <f>_xlfn.XLOOKUP($A121,'04'!$G$3:$G$100,'04'!$R$3:$R$100,"-")</f>
        <v/>
      </c>
      <c r="G121" s="68">
        <f>_xlfn.XLOOKUP($A121,'05'!$G$3:$G$100,'05'!$R$3:$R$100,"-")</f>
        <v/>
      </c>
      <c r="H121" s="68">
        <f>_xlfn.XLOOKUP($A121,'06'!$G$3:$G$100,'06'!$R$3:$R$100,"-")</f>
        <v/>
      </c>
      <c r="I121" s="68">
        <f>_xlfn.XLOOKUP($A121,'07'!$G$3:$G$100,'07'!$R$3:$R$100,"-")</f>
        <v/>
      </c>
      <c r="J121" s="68">
        <f>_xlfn.XLOOKUP($A121,'08'!$G$3:$G$100,'08'!$R$3:$R$100,"-")</f>
        <v/>
      </c>
      <c r="K121" s="68">
        <f>_xlfn.XLOOKUP($A121,'09'!$G$3:$G$100,'09'!$R$3:$R$100,"-")</f>
        <v/>
      </c>
      <c r="L121" s="68">
        <f>_xlfn.XLOOKUP($A121,'10'!$G$3:$G$100,'10'!$R$3:$R$100,"-")</f>
        <v/>
      </c>
      <c r="M121" s="68">
        <f>_xlfn.XLOOKUP($A121,'11'!$G$3:$G$100,'11'!$R$3:$R$100,"-")</f>
        <v/>
      </c>
      <c r="N121" s="68">
        <f>_xlfn.XLOOKUP($A121,'12'!$G$3:$G$100,'12'!$R$3:$R$100,"-")</f>
        <v/>
      </c>
      <c r="O121" s="79">
        <f>SUM(C121:N121)</f>
        <v/>
      </c>
      <c r="P121" s="74" t="n"/>
      <c r="Q121" s="82" t="n">
        <v>119</v>
      </c>
      <c r="R121" s="38" t="n"/>
      <c r="S121" s="61" t="n">
        <v>0</v>
      </c>
      <c r="T121" s="68" t="n">
        <v>0</v>
      </c>
      <c r="U121" s="68" t="n">
        <v>0</v>
      </c>
      <c r="V121" s="68" t="n">
        <v>0</v>
      </c>
      <c r="W121" s="68" t="n">
        <v>0</v>
      </c>
      <c r="X121" s="68" t="n">
        <v>0</v>
      </c>
      <c r="Y121" s="68" t="n">
        <v>0</v>
      </c>
      <c r="Z121" s="68" t="n">
        <v>0</v>
      </c>
      <c r="AA121" s="68" t="n">
        <v>0</v>
      </c>
      <c r="AB121" s="68" t="n">
        <v>0</v>
      </c>
      <c r="AC121" s="68" t="n">
        <v>0</v>
      </c>
      <c r="AD121" s="68" t="n">
        <v>0</v>
      </c>
      <c r="AE121" s="68" t="n">
        <v>0</v>
      </c>
      <c r="AF121" s="79" t="n">
        <v>0</v>
      </c>
      <c r="AG121" s="74" t="n">
        <v>0</v>
      </c>
      <c r="AH121" s="82" t="n">
        <v>119</v>
      </c>
    </row>
    <row r="122" ht="18" customHeight="1">
      <c r="C122" s="68">
        <f>_xlfn.XLOOKUP($A122,'01'!$G$3:$G$100,'01'!$R$3:$R$100,"-")</f>
        <v/>
      </c>
      <c r="D122" s="68">
        <f>_xlfn.XLOOKUP($A122,'02'!$G$3:$G$100,'02'!$R$3:$R$100,"-")</f>
        <v/>
      </c>
      <c r="E122" s="68">
        <f>_xlfn.XLOOKUP($A122,'03'!$G$3:$G$100,'03'!$R$3:$R$100,"-")</f>
        <v/>
      </c>
      <c r="F122" s="68">
        <f>_xlfn.XLOOKUP($A122,'04'!$G$3:$G$100,'04'!$R$3:$R$100,"-")</f>
        <v/>
      </c>
      <c r="G122" s="68">
        <f>_xlfn.XLOOKUP($A122,'05'!$G$3:$G$100,'05'!$R$3:$R$100,"-")</f>
        <v/>
      </c>
      <c r="H122" s="68">
        <f>_xlfn.XLOOKUP($A122,'06'!$G$3:$G$100,'06'!$R$3:$R$100,"-")</f>
        <v/>
      </c>
      <c r="I122" s="68">
        <f>_xlfn.XLOOKUP($A122,'07'!$G$3:$G$100,'07'!$R$3:$R$100,"-")</f>
        <v/>
      </c>
      <c r="J122" s="68">
        <f>_xlfn.XLOOKUP($A122,'08'!$G$3:$G$100,'08'!$R$3:$R$100,"-")</f>
        <v/>
      </c>
      <c r="K122" s="68">
        <f>_xlfn.XLOOKUP($A122,'09'!$G$3:$G$100,'09'!$R$3:$R$100,"-")</f>
        <v/>
      </c>
      <c r="L122" s="68">
        <f>_xlfn.XLOOKUP($A122,'10'!$G$3:$G$100,'10'!$R$3:$R$100,"-")</f>
        <v/>
      </c>
      <c r="M122" s="68">
        <f>_xlfn.XLOOKUP($A122,'11'!$G$3:$G$100,'11'!$R$3:$R$100,"-")</f>
        <v/>
      </c>
      <c r="N122" s="68">
        <f>_xlfn.XLOOKUP($A122,'12'!$G$3:$G$100,'12'!$R$3:$R$100,"-")</f>
        <v/>
      </c>
      <c r="O122" s="79">
        <f>SUM(C122:N122)</f>
        <v/>
      </c>
      <c r="P122" s="74" t="n"/>
      <c r="Q122" s="82" t="n">
        <v>120</v>
      </c>
      <c r="R122" s="38" t="n"/>
      <c r="S122" s="61" t="n">
        <v>0</v>
      </c>
      <c r="T122" s="68" t="n">
        <v>0</v>
      </c>
      <c r="U122" s="68" t="n">
        <v>0</v>
      </c>
      <c r="V122" s="68" t="n">
        <v>0</v>
      </c>
      <c r="W122" s="68" t="n">
        <v>0</v>
      </c>
      <c r="X122" s="68" t="n">
        <v>0</v>
      </c>
      <c r="Y122" s="68" t="n">
        <v>0</v>
      </c>
      <c r="Z122" s="68" t="n">
        <v>0</v>
      </c>
      <c r="AA122" s="68" t="n">
        <v>0</v>
      </c>
      <c r="AB122" s="68" t="n">
        <v>0</v>
      </c>
      <c r="AC122" s="68" t="n">
        <v>0</v>
      </c>
      <c r="AD122" s="68" t="n">
        <v>0</v>
      </c>
      <c r="AE122" s="68" t="n">
        <v>0</v>
      </c>
      <c r="AF122" s="79" t="n">
        <v>0</v>
      </c>
      <c r="AG122" s="74" t="n">
        <v>0</v>
      </c>
      <c r="AH122" s="82" t="n">
        <v>120</v>
      </c>
    </row>
    <row r="123" ht="18" customHeight="1">
      <c r="C123" s="68">
        <f>_xlfn.XLOOKUP($A123,'01'!$G$3:$G$100,'01'!$R$3:$R$100,"-")</f>
        <v/>
      </c>
      <c r="D123" s="68">
        <f>_xlfn.XLOOKUP($A123,'02'!$G$3:$G$100,'02'!$R$3:$R$100,"-")</f>
        <v/>
      </c>
      <c r="E123" s="68">
        <f>_xlfn.XLOOKUP($A123,'03'!$G$3:$G$100,'03'!$R$3:$R$100,"-")</f>
        <v/>
      </c>
      <c r="F123" s="68">
        <f>_xlfn.XLOOKUP($A123,'04'!$G$3:$G$100,'04'!$R$3:$R$100,"-")</f>
        <v/>
      </c>
      <c r="G123" s="68">
        <f>_xlfn.XLOOKUP($A123,'05'!$G$3:$G$100,'05'!$R$3:$R$100,"-")</f>
        <v/>
      </c>
      <c r="H123" s="68">
        <f>_xlfn.XLOOKUP($A123,'06'!$G$3:$G$100,'06'!$R$3:$R$100,"-")</f>
        <v/>
      </c>
      <c r="I123" s="68">
        <f>_xlfn.XLOOKUP($A123,'07'!$G$3:$G$100,'07'!$R$3:$R$100,"-")</f>
        <v/>
      </c>
      <c r="J123" s="68">
        <f>_xlfn.XLOOKUP($A123,'08'!$G$3:$G$100,'08'!$R$3:$R$100,"-")</f>
        <v/>
      </c>
      <c r="K123" s="68">
        <f>_xlfn.XLOOKUP($A123,'09'!$G$3:$G$100,'09'!$R$3:$R$100,"-")</f>
        <v/>
      </c>
      <c r="L123" s="68">
        <f>_xlfn.XLOOKUP($A123,'10'!$G$3:$G$100,'10'!$R$3:$R$100,"-")</f>
        <v/>
      </c>
      <c r="M123" s="68">
        <f>_xlfn.XLOOKUP($A123,'11'!$G$3:$G$100,'11'!$R$3:$R$100,"-")</f>
        <v/>
      </c>
      <c r="N123" s="68">
        <f>_xlfn.XLOOKUP($A123,'12'!$G$3:$G$100,'12'!$R$3:$R$100,"-")</f>
        <v/>
      </c>
      <c r="O123" s="79">
        <f>SUM(C123:N123)</f>
        <v/>
      </c>
      <c r="P123" s="74" t="n"/>
      <c r="Q123" s="82" t="n">
        <v>121</v>
      </c>
      <c r="R123" s="38" t="n"/>
      <c r="S123" s="61" t="n">
        <v>0</v>
      </c>
      <c r="T123" s="68" t="n">
        <v>0</v>
      </c>
      <c r="U123" s="68" t="n">
        <v>0</v>
      </c>
      <c r="V123" s="68" t="n">
        <v>0</v>
      </c>
      <c r="W123" s="68" t="n">
        <v>0</v>
      </c>
      <c r="X123" s="68" t="n">
        <v>0</v>
      </c>
      <c r="Y123" s="68" t="n">
        <v>0</v>
      </c>
      <c r="Z123" s="68" t="n">
        <v>0</v>
      </c>
      <c r="AA123" s="68" t="n">
        <v>0</v>
      </c>
      <c r="AB123" s="68" t="n">
        <v>0</v>
      </c>
      <c r="AC123" s="68" t="n">
        <v>0</v>
      </c>
      <c r="AD123" s="68" t="n">
        <v>0</v>
      </c>
      <c r="AE123" s="68" t="n">
        <v>0</v>
      </c>
      <c r="AF123" s="79" t="n">
        <v>0</v>
      </c>
      <c r="AG123" s="74" t="n">
        <v>0</v>
      </c>
      <c r="AH123" s="82" t="n">
        <v>121</v>
      </c>
    </row>
    <row r="124" ht="18" customHeight="1">
      <c r="C124" s="68">
        <f>_xlfn.XLOOKUP($A124,'01'!$G$3:$G$100,'01'!$R$3:$R$100,"-")</f>
        <v/>
      </c>
      <c r="D124" s="68">
        <f>_xlfn.XLOOKUP($A124,'02'!$G$3:$G$100,'02'!$R$3:$R$100,"-")</f>
        <v/>
      </c>
      <c r="E124" s="68">
        <f>_xlfn.XLOOKUP($A124,'03'!$G$3:$G$100,'03'!$R$3:$R$100,"-")</f>
        <v/>
      </c>
      <c r="F124" s="68">
        <f>_xlfn.XLOOKUP($A124,'04'!$G$3:$G$100,'04'!$R$3:$R$100,"-")</f>
        <v/>
      </c>
      <c r="G124" s="68">
        <f>_xlfn.XLOOKUP($A124,'05'!$G$3:$G$100,'05'!$R$3:$R$100,"-")</f>
        <v/>
      </c>
      <c r="H124" s="68">
        <f>_xlfn.XLOOKUP($A124,'06'!$G$3:$G$100,'06'!$R$3:$R$100,"-")</f>
        <v/>
      </c>
      <c r="I124" s="68">
        <f>_xlfn.XLOOKUP($A124,'07'!$G$3:$G$100,'07'!$R$3:$R$100,"-")</f>
        <v/>
      </c>
      <c r="J124" s="68">
        <f>_xlfn.XLOOKUP($A124,'08'!$G$3:$G$100,'08'!$R$3:$R$100,"-")</f>
        <v/>
      </c>
      <c r="K124" s="68">
        <f>_xlfn.XLOOKUP($A124,'09'!$G$3:$G$100,'09'!$R$3:$R$100,"-")</f>
        <v/>
      </c>
      <c r="L124" s="68">
        <f>_xlfn.XLOOKUP($A124,'10'!$G$3:$G$100,'10'!$R$3:$R$100,"-")</f>
        <v/>
      </c>
      <c r="M124" s="68">
        <f>_xlfn.XLOOKUP($A124,'11'!$G$3:$G$100,'11'!$R$3:$R$100,"-")</f>
        <v/>
      </c>
      <c r="N124" s="68">
        <f>_xlfn.XLOOKUP($A124,'12'!$G$3:$G$100,'12'!$R$3:$R$100,"-")</f>
        <v/>
      </c>
      <c r="O124" s="79">
        <f>SUM(C124:N124)</f>
        <v/>
      </c>
      <c r="P124" s="74" t="n"/>
      <c r="Q124" s="82" t="n">
        <v>122</v>
      </c>
      <c r="R124" s="38" t="n"/>
      <c r="S124" s="61" t="n">
        <v>0</v>
      </c>
      <c r="T124" s="68" t="n">
        <v>0</v>
      </c>
      <c r="U124" s="68" t="n">
        <v>0</v>
      </c>
      <c r="V124" s="68" t="n">
        <v>0</v>
      </c>
      <c r="W124" s="68" t="n">
        <v>0</v>
      </c>
      <c r="X124" s="68" t="n">
        <v>0</v>
      </c>
      <c r="Y124" s="68" t="n">
        <v>0</v>
      </c>
      <c r="Z124" s="68" t="n">
        <v>0</v>
      </c>
      <c r="AA124" s="68" t="n">
        <v>0</v>
      </c>
      <c r="AB124" s="68" t="n">
        <v>0</v>
      </c>
      <c r="AC124" s="68" t="n">
        <v>0</v>
      </c>
      <c r="AD124" s="68" t="n">
        <v>0</v>
      </c>
      <c r="AE124" s="68" t="n">
        <v>0</v>
      </c>
      <c r="AF124" s="79" t="n">
        <v>0</v>
      </c>
      <c r="AG124" s="74" t="n">
        <v>0</v>
      </c>
      <c r="AH124" s="82" t="n">
        <v>122</v>
      </c>
    </row>
    <row r="125" ht="18" customHeight="1">
      <c r="C125" s="68">
        <f>_xlfn.XLOOKUP($A125,'01'!$G$3:$G$100,'01'!$R$3:$R$100,"-")</f>
        <v/>
      </c>
      <c r="D125" s="68">
        <f>_xlfn.XLOOKUP($A125,'02'!$G$3:$G$100,'02'!$R$3:$R$100,"-")</f>
        <v/>
      </c>
      <c r="E125" s="68">
        <f>_xlfn.XLOOKUP($A125,'03'!$G$3:$G$100,'03'!$R$3:$R$100,"-")</f>
        <v/>
      </c>
      <c r="F125" s="68">
        <f>_xlfn.XLOOKUP($A125,'04'!$G$3:$G$100,'04'!$R$3:$R$100,"-")</f>
        <v/>
      </c>
      <c r="G125" s="68">
        <f>_xlfn.XLOOKUP($A125,'05'!$G$3:$G$100,'05'!$R$3:$R$100,"-")</f>
        <v/>
      </c>
      <c r="H125" s="68">
        <f>_xlfn.XLOOKUP($A125,'06'!$G$3:$G$100,'06'!$R$3:$R$100,"-")</f>
        <v/>
      </c>
      <c r="I125" s="68">
        <f>_xlfn.XLOOKUP($A125,'07'!$G$3:$G$100,'07'!$R$3:$R$100,"-")</f>
        <v/>
      </c>
      <c r="J125" s="68">
        <f>_xlfn.XLOOKUP($A125,'08'!$G$3:$G$100,'08'!$R$3:$R$100,"-")</f>
        <v/>
      </c>
      <c r="K125" s="68">
        <f>_xlfn.XLOOKUP($A125,'09'!$G$3:$G$100,'09'!$R$3:$R$100,"-")</f>
        <v/>
      </c>
      <c r="L125" s="68">
        <f>_xlfn.XLOOKUP($A125,'10'!$G$3:$G$100,'10'!$R$3:$R$100,"-")</f>
        <v/>
      </c>
      <c r="M125" s="68">
        <f>_xlfn.XLOOKUP($A125,'11'!$G$3:$G$100,'11'!$R$3:$R$100,"-")</f>
        <v/>
      </c>
      <c r="N125" s="68">
        <f>_xlfn.XLOOKUP($A125,'12'!$G$3:$G$100,'12'!$R$3:$R$100,"-")</f>
        <v/>
      </c>
      <c r="O125" s="79">
        <f>SUM(C125:N125)</f>
        <v/>
      </c>
      <c r="P125" s="74" t="n"/>
      <c r="Q125" s="82" t="n">
        <v>123</v>
      </c>
      <c r="R125" s="38" t="n"/>
      <c r="S125" s="61" t="n">
        <v>0</v>
      </c>
      <c r="T125" s="68" t="n">
        <v>0</v>
      </c>
      <c r="U125" s="68" t="n">
        <v>0</v>
      </c>
      <c r="V125" s="68" t="n">
        <v>0</v>
      </c>
      <c r="W125" s="68" t="n">
        <v>0</v>
      </c>
      <c r="X125" s="68" t="n">
        <v>0</v>
      </c>
      <c r="Y125" s="68" t="n">
        <v>0</v>
      </c>
      <c r="Z125" s="68" t="n">
        <v>0</v>
      </c>
      <c r="AA125" s="68" t="n">
        <v>0</v>
      </c>
      <c r="AB125" s="68" t="n">
        <v>0</v>
      </c>
      <c r="AC125" s="68" t="n">
        <v>0</v>
      </c>
      <c r="AD125" s="68" t="n">
        <v>0</v>
      </c>
      <c r="AE125" s="68" t="n">
        <v>0</v>
      </c>
      <c r="AF125" s="79" t="n">
        <v>0</v>
      </c>
      <c r="AG125" s="74" t="n">
        <v>0</v>
      </c>
      <c r="AH125" s="82" t="n">
        <v>123</v>
      </c>
    </row>
    <row r="126" ht="18" customHeight="1">
      <c r="C126" s="68">
        <f>_xlfn.XLOOKUP($A126,'01'!$G$3:$G$100,'01'!$R$3:$R$100,"-")</f>
        <v/>
      </c>
      <c r="D126" s="68">
        <f>_xlfn.XLOOKUP($A126,'02'!$G$3:$G$100,'02'!$R$3:$R$100,"-")</f>
        <v/>
      </c>
      <c r="E126" s="68">
        <f>_xlfn.XLOOKUP($A126,'03'!$G$3:$G$100,'03'!$R$3:$R$100,"-")</f>
        <v/>
      </c>
      <c r="F126" s="68">
        <f>_xlfn.XLOOKUP($A126,'04'!$G$3:$G$100,'04'!$R$3:$R$100,"-")</f>
        <v/>
      </c>
      <c r="G126" s="68">
        <f>_xlfn.XLOOKUP($A126,'05'!$G$3:$G$100,'05'!$R$3:$R$100,"-")</f>
        <v/>
      </c>
      <c r="H126" s="68">
        <f>_xlfn.XLOOKUP($A126,'06'!$G$3:$G$100,'06'!$R$3:$R$100,"-")</f>
        <v/>
      </c>
      <c r="I126" s="68">
        <f>_xlfn.XLOOKUP($A126,'07'!$G$3:$G$100,'07'!$R$3:$R$100,"-")</f>
        <v/>
      </c>
      <c r="J126" s="68">
        <f>_xlfn.XLOOKUP($A126,'08'!$G$3:$G$100,'08'!$R$3:$R$100,"-")</f>
        <v/>
      </c>
      <c r="K126" s="68">
        <f>_xlfn.XLOOKUP($A126,'09'!$G$3:$G$100,'09'!$R$3:$R$100,"-")</f>
        <v/>
      </c>
      <c r="L126" s="68">
        <f>_xlfn.XLOOKUP($A126,'10'!$G$3:$G$100,'10'!$R$3:$R$100,"-")</f>
        <v/>
      </c>
      <c r="M126" s="68">
        <f>_xlfn.XLOOKUP($A126,'11'!$G$3:$G$100,'11'!$R$3:$R$100,"-")</f>
        <v/>
      </c>
      <c r="N126" s="68">
        <f>_xlfn.XLOOKUP($A126,'12'!$G$3:$G$100,'12'!$R$3:$R$100,"-")</f>
        <v/>
      </c>
      <c r="O126" s="79">
        <f>SUM(C126:N126)</f>
        <v/>
      </c>
      <c r="P126" s="74" t="n"/>
      <c r="Q126" s="82" t="n">
        <v>124</v>
      </c>
      <c r="R126" s="38" t="n"/>
      <c r="S126" s="61" t="n">
        <v>0</v>
      </c>
      <c r="T126" s="68" t="n">
        <v>0</v>
      </c>
      <c r="U126" s="68" t="n">
        <v>0</v>
      </c>
      <c r="V126" s="68" t="n">
        <v>0</v>
      </c>
      <c r="W126" s="68" t="n">
        <v>0</v>
      </c>
      <c r="X126" s="68" t="n">
        <v>0</v>
      </c>
      <c r="Y126" s="68" t="n">
        <v>0</v>
      </c>
      <c r="Z126" s="68" t="n">
        <v>0</v>
      </c>
      <c r="AA126" s="68" t="n">
        <v>0</v>
      </c>
      <c r="AB126" s="68" t="n">
        <v>0</v>
      </c>
      <c r="AC126" s="68" t="n">
        <v>0</v>
      </c>
      <c r="AD126" s="68" t="n">
        <v>0</v>
      </c>
      <c r="AE126" s="68" t="n">
        <v>0</v>
      </c>
      <c r="AF126" s="79" t="n">
        <v>0</v>
      </c>
      <c r="AG126" s="74" t="n">
        <v>0</v>
      </c>
      <c r="AH126" s="82" t="n">
        <v>124</v>
      </c>
    </row>
    <row r="127" ht="18" customHeight="1">
      <c r="C127" s="68">
        <f>_xlfn.XLOOKUP($A127,'01'!$G$3:$G$100,'01'!$R$3:$R$100,"-")</f>
        <v/>
      </c>
      <c r="D127" s="68">
        <f>_xlfn.XLOOKUP($A127,'02'!$G$3:$G$100,'02'!$R$3:$R$100,"-")</f>
        <v/>
      </c>
      <c r="E127" s="68">
        <f>_xlfn.XLOOKUP($A127,'03'!$G$3:$G$100,'03'!$R$3:$R$100,"-")</f>
        <v/>
      </c>
      <c r="F127" s="68">
        <f>_xlfn.XLOOKUP($A127,'04'!$G$3:$G$100,'04'!$R$3:$R$100,"-")</f>
        <v/>
      </c>
      <c r="G127" s="68">
        <f>_xlfn.XLOOKUP($A127,'05'!$G$3:$G$100,'05'!$R$3:$R$100,"-")</f>
        <v/>
      </c>
      <c r="H127" s="68">
        <f>_xlfn.XLOOKUP($A127,'06'!$G$3:$G$100,'06'!$R$3:$R$100,"-")</f>
        <v/>
      </c>
      <c r="I127" s="68">
        <f>_xlfn.XLOOKUP($A127,'07'!$G$3:$G$100,'07'!$R$3:$R$100,"-")</f>
        <v/>
      </c>
      <c r="J127" s="68">
        <f>_xlfn.XLOOKUP($A127,'08'!$G$3:$G$100,'08'!$R$3:$R$100,"-")</f>
        <v/>
      </c>
      <c r="K127" s="68">
        <f>_xlfn.XLOOKUP($A127,'09'!$G$3:$G$100,'09'!$R$3:$R$100,"-")</f>
        <v/>
      </c>
      <c r="L127" s="68">
        <f>_xlfn.XLOOKUP($A127,'10'!$G$3:$G$100,'10'!$R$3:$R$100,"-")</f>
        <v/>
      </c>
      <c r="M127" s="68">
        <f>_xlfn.XLOOKUP($A127,'11'!$G$3:$G$100,'11'!$R$3:$R$100,"-")</f>
        <v/>
      </c>
      <c r="N127" s="68">
        <f>_xlfn.XLOOKUP($A127,'12'!$G$3:$G$100,'12'!$R$3:$R$100,"-")</f>
        <v/>
      </c>
      <c r="O127" s="79">
        <f>SUM(C127:N127)</f>
        <v/>
      </c>
      <c r="P127" s="74" t="n"/>
      <c r="Q127" s="83" t="n">
        <v>125</v>
      </c>
      <c r="R127" s="38" t="n"/>
      <c r="S127" s="61" t="n">
        <v>0</v>
      </c>
      <c r="T127" s="68" t="n">
        <v>0</v>
      </c>
      <c r="U127" s="68" t="n">
        <v>0</v>
      </c>
      <c r="V127" s="68" t="n">
        <v>0</v>
      </c>
      <c r="W127" s="68" t="n">
        <v>0</v>
      </c>
      <c r="X127" s="68" t="n">
        <v>0</v>
      </c>
      <c r="Y127" s="68" t="n">
        <v>0</v>
      </c>
      <c r="Z127" s="68" t="n">
        <v>0</v>
      </c>
      <c r="AA127" s="68" t="n">
        <v>0</v>
      </c>
      <c r="AB127" s="68" t="n">
        <v>0</v>
      </c>
      <c r="AC127" s="68" t="n">
        <v>0</v>
      </c>
      <c r="AD127" s="68" t="n">
        <v>0</v>
      </c>
      <c r="AE127" s="68" t="n">
        <v>0</v>
      </c>
      <c r="AF127" s="79" t="n">
        <v>0</v>
      </c>
      <c r="AG127" s="74" t="n">
        <v>0</v>
      </c>
      <c r="AH127" s="83" t="n">
        <v>125</v>
      </c>
    </row>
    <row r="128" ht="18" customHeight="1">
      <c r="C128" s="68">
        <f>_xlfn.XLOOKUP($A128,'01'!$G$3:$G$100,'01'!$R$3:$R$100,"-")</f>
        <v/>
      </c>
      <c r="D128" s="68">
        <f>_xlfn.XLOOKUP($A128,'02'!$G$3:$G$100,'02'!$R$3:$R$100,"-")</f>
        <v/>
      </c>
      <c r="E128" s="68">
        <f>_xlfn.XLOOKUP($A128,'03'!$G$3:$G$100,'03'!$R$3:$R$100,"-")</f>
        <v/>
      </c>
      <c r="F128" s="68">
        <f>_xlfn.XLOOKUP($A128,'04'!$G$3:$G$100,'04'!$R$3:$R$100,"-")</f>
        <v/>
      </c>
      <c r="G128" s="68">
        <f>_xlfn.XLOOKUP($A128,'05'!$G$3:$G$100,'05'!$R$3:$R$100,"-")</f>
        <v/>
      </c>
      <c r="H128" s="68">
        <f>_xlfn.XLOOKUP($A128,'06'!$G$3:$G$100,'06'!$R$3:$R$100,"-")</f>
        <v/>
      </c>
      <c r="I128" s="68">
        <f>_xlfn.XLOOKUP($A128,'07'!$G$3:$G$100,'07'!$R$3:$R$100,"-")</f>
        <v/>
      </c>
      <c r="J128" s="68">
        <f>_xlfn.XLOOKUP($A128,'08'!$G$3:$G$100,'08'!$R$3:$R$100,"-")</f>
        <v/>
      </c>
      <c r="K128" s="68">
        <f>_xlfn.XLOOKUP($A128,'09'!$G$3:$G$100,'09'!$R$3:$R$100,"-")</f>
        <v/>
      </c>
      <c r="L128" s="68">
        <f>_xlfn.XLOOKUP($A128,'10'!$G$3:$G$100,'10'!$R$3:$R$100,"-")</f>
        <v/>
      </c>
      <c r="M128" s="68">
        <f>_xlfn.XLOOKUP($A128,'11'!$G$3:$G$100,'11'!$R$3:$R$100,"-")</f>
        <v/>
      </c>
      <c r="N128" s="68">
        <f>_xlfn.XLOOKUP($A128,'12'!$G$3:$G$100,'12'!$R$3:$R$100,"-")</f>
        <v/>
      </c>
      <c r="O128" s="79">
        <f>SUM(C128:N128)</f>
        <v/>
      </c>
      <c r="P128" s="74" t="n"/>
      <c r="Q128" s="82" t="n">
        <v>126</v>
      </c>
      <c r="R128" s="38" t="n"/>
      <c r="S128" s="61" t="n">
        <v>0</v>
      </c>
      <c r="T128" s="68" t="n">
        <v>0</v>
      </c>
      <c r="U128" s="68" t="n">
        <v>0</v>
      </c>
      <c r="V128" s="68" t="n">
        <v>0</v>
      </c>
      <c r="W128" s="68" t="n">
        <v>0</v>
      </c>
      <c r="X128" s="68" t="n">
        <v>0</v>
      </c>
      <c r="Y128" s="68" t="n">
        <v>0</v>
      </c>
      <c r="Z128" s="68" t="n">
        <v>0</v>
      </c>
      <c r="AA128" s="68" t="n">
        <v>0</v>
      </c>
      <c r="AB128" s="68" t="n">
        <v>0</v>
      </c>
      <c r="AC128" s="68" t="n">
        <v>0</v>
      </c>
      <c r="AD128" s="68" t="n">
        <v>0</v>
      </c>
      <c r="AE128" s="68" t="n">
        <v>0</v>
      </c>
      <c r="AF128" s="79" t="n">
        <v>0</v>
      </c>
      <c r="AG128" s="74" t="n">
        <v>0</v>
      </c>
      <c r="AH128" s="82" t="n">
        <v>126</v>
      </c>
    </row>
    <row r="129" ht="18" customHeight="1">
      <c r="C129" s="68">
        <f>_xlfn.XLOOKUP($A129,'01'!$G$3:$G$100,'01'!$R$3:$R$100,"-")</f>
        <v/>
      </c>
      <c r="D129" s="68">
        <f>_xlfn.XLOOKUP($A129,'02'!$G$3:$G$100,'02'!$R$3:$R$100,"-")</f>
        <v/>
      </c>
      <c r="E129" s="68">
        <f>_xlfn.XLOOKUP($A129,'03'!$G$3:$G$100,'03'!$R$3:$R$100,"-")</f>
        <v/>
      </c>
      <c r="F129" s="68">
        <f>_xlfn.XLOOKUP($A129,'04'!$G$3:$G$100,'04'!$R$3:$R$100,"-")</f>
        <v/>
      </c>
      <c r="G129" s="68">
        <f>_xlfn.XLOOKUP($A129,'05'!$G$3:$G$100,'05'!$R$3:$R$100,"-")</f>
        <v/>
      </c>
      <c r="H129" s="68">
        <f>_xlfn.XLOOKUP($A129,'06'!$G$3:$G$100,'06'!$R$3:$R$100,"-")</f>
        <v/>
      </c>
      <c r="I129" s="68">
        <f>_xlfn.XLOOKUP($A129,'07'!$G$3:$G$100,'07'!$R$3:$R$100,"-")</f>
        <v/>
      </c>
      <c r="J129" s="68">
        <f>_xlfn.XLOOKUP($A129,'08'!$G$3:$G$100,'08'!$R$3:$R$100,"-")</f>
        <v/>
      </c>
      <c r="K129" s="68">
        <f>_xlfn.XLOOKUP($A129,'09'!$G$3:$G$100,'09'!$R$3:$R$100,"-")</f>
        <v/>
      </c>
      <c r="L129" s="68">
        <f>_xlfn.XLOOKUP($A129,'10'!$G$3:$G$100,'10'!$R$3:$R$100,"-")</f>
        <v/>
      </c>
      <c r="M129" s="68">
        <f>_xlfn.XLOOKUP($A129,'11'!$G$3:$G$100,'11'!$R$3:$R$100,"-")</f>
        <v/>
      </c>
      <c r="N129" s="68">
        <f>_xlfn.XLOOKUP($A129,'12'!$G$3:$G$100,'12'!$R$3:$R$100,"-")</f>
        <v/>
      </c>
      <c r="O129" s="79">
        <f>SUM(C129:N129)</f>
        <v/>
      </c>
      <c r="P129" s="74" t="n"/>
      <c r="Q129" s="82" t="n">
        <v>127</v>
      </c>
      <c r="R129" s="38" t="n"/>
      <c r="S129" s="61" t="n">
        <v>0</v>
      </c>
      <c r="T129" s="68" t="n">
        <v>0</v>
      </c>
      <c r="U129" s="68" t="n">
        <v>0</v>
      </c>
      <c r="V129" s="68" t="n">
        <v>0</v>
      </c>
      <c r="W129" s="68" t="n">
        <v>0</v>
      </c>
      <c r="X129" s="68" t="n">
        <v>0</v>
      </c>
      <c r="Y129" s="68" t="n">
        <v>0</v>
      </c>
      <c r="Z129" s="68" t="n">
        <v>0</v>
      </c>
      <c r="AA129" s="68" t="n">
        <v>0</v>
      </c>
      <c r="AB129" s="68" t="n">
        <v>0</v>
      </c>
      <c r="AC129" s="68" t="n">
        <v>0</v>
      </c>
      <c r="AD129" s="68" t="n">
        <v>0</v>
      </c>
      <c r="AE129" s="68" t="n">
        <v>0</v>
      </c>
      <c r="AF129" s="79" t="n">
        <v>0</v>
      </c>
      <c r="AG129" s="74" t="n">
        <v>0</v>
      </c>
      <c r="AH129" s="82" t="n">
        <v>127</v>
      </c>
    </row>
    <row r="130" ht="18" customHeight="1">
      <c r="C130" s="68">
        <f>_xlfn.XLOOKUP($A130,'01'!$G$3:$G$100,'01'!$R$3:$R$100,"-")</f>
        <v/>
      </c>
      <c r="D130" s="68">
        <f>_xlfn.XLOOKUP($A130,'02'!$G$3:$G$100,'02'!$R$3:$R$100,"-")</f>
        <v/>
      </c>
      <c r="E130" s="68">
        <f>_xlfn.XLOOKUP($A130,'03'!$G$3:$G$100,'03'!$R$3:$R$100,"-")</f>
        <v/>
      </c>
      <c r="F130" s="68">
        <f>_xlfn.XLOOKUP($A130,'04'!$G$3:$G$100,'04'!$R$3:$R$100,"-")</f>
        <v/>
      </c>
      <c r="G130" s="68">
        <f>_xlfn.XLOOKUP($A130,'05'!$G$3:$G$100,'05'!$R$3:$R$100,"-")</f>
        <v/>
      </c>
      <c r="H130" s="68">
        <f>_xlfn.XLOOKUP($A130,'06'!$G$3:$G$100,'06'!$R$3:$R$100,"-")</f>
        <v/>
      </c>
      <c r="I130" s="68">
        <f>_xlfn.XLOOKUP($A130,'07'!$G$3:$G$100,'07'!$R$3:$R$100,"-")</f>
        <v/>
      </c>
      <c r="J130" s="68">
        <f>_xlfn.XLOOKUP($A130,'08'!$G$3:$G$100,'08'!$R$3:$R$100,"-")</f>
        <v/>
      </c>
      <c r="K130" s="68">
        <f>_xlfn.XLOOKUP($A130,'09'!$G$3:$G$100,'09'!$R$3:$R$100,"-")</f>
        <v/>
      </c>
      <c r="L130" s="68">
        <f>_xlfn.XLOOKUP($A130,'10'!$G$3:$G$100,'10'!$R$3:$R$100,"-")</f>
        <v/>
      </c>
      <c r="M130" s="68">
        <f>_xlfn.XLOOKUP($A130,'11'!$G$3:$G$100,'11'!$R$3:$R$100,"-")</f>
        <v/>
      </c>
      <c r="N130" s="68">
        <f>_xlfn.XLOOKUP($A130,'12'!$G$3:$G$100,'12'!$R$3:$R$100,"-")</f>
        <v/>
      </c>
      <c r="O130" s="79">
        <f>SUM(C130:N130)</f>
        <v/>
      </c>
      <c r="P130" s="74" t="n"/>
      <c r="Q130" s="82" t="n">
        <v>128</v>
      </c>
      <c r="R130" s="38" t="n"/>
      <c r="S130" s="61" t="n">
        <v>0</v>
      </c>
      <c r="T130" s="68" t="n">
        <v>0</v>
      </c>
      <c r="U130" s="68" t="n">
        <v>0</v>
      </c>
      <c r="V130" s="68" t="n">
        <v>0</v>
      </c>
      <c r="W130" s="68" t="n">
        <v>0</v>
      </c>
      <c r="X130" s="68" t="n">
        <v>0</v>
      </c>
      <c r="Y130" s="68" t="n">
        <v>0</v>
      </c>
      <c r="Z130" s="68" t="n">
        <v>0</v>
      </c>
      <c r="AA130" s="68" t="n">
        <v>0</v>
      </c>
      <c r="AB130" s="68" t="n">
        <v>0</v>
      </c>
      <c r="AC130" s="68" t="n">
        <v>0</v>
      </c>
      <c r="AD130" s="68" t="n">
        <v>0</v>
      </c>
      <c r="AE130" s="68" t="n">
        <v>0</v>
      </c>
      <c r="AF130" s="79" t="n">
        <v>0</v>
      </c>
      <c r="AG130" s="74" t="n">
        <v>0</v>
      </c>
      <c r="AH130" s="82" t="n">
        <v>128</v>
      </c>
    </row>
    <row r="131" ht="18" customHeight="1">
      <c r="C131" s="68">
        <f>_xlfn.XLOOKUP($A131,'01'!$G$3:$G$100,'01'!$R$3:$R$100,"-")</f>
        <v/>
      </c>
      <c r="D131" s="68">
        <f>_xlfn.XLOOKUP($A131,'02'!$G$3:$G$100,'02'!$R$3:$R$100,"-")</f>
        <v/>
      </c>
      <c r="E131" s="68">
        <f>_xlfn.XLOOKUP($A131,'03'!$G$3:$G$100,'03'!$R$3:$R$100,"-")</f>
        <v/>
      </c>
      <c r="F131" s="68">
        <f>_xlfn.XLOOKUP($A131,'04'!$G$3:$G$100,'04'!$R$3:$R$100,"-")</f>
        <v/>
      </c>
      <c r="G131" s="68">
        <f>_xlfn.XLOOKUP($A131,'05'!$G$3:$G$100,'05'!$R$3:$R$100,"-")</f>
        <v/>
      </c>
      <c r="H131" s="68">
        <f>_xlfn.XLOOKUP($A131,'06'!$G$3:$G$100,'06'!$R$3:$R$100,"-")</f>
        <v/>
      </c>
      <c r="I131" s="68">
        <f>_xlfn.XLOOKUP($A131,'07'!$G$3:$G$100,'07'!$R$3:$R$100,"-")</f>
        <v/>
      </c>
      <c r="J131" s="68">
        <f>_xlfn.XLOOKUP($A131,'08'!$G$3:$G$100,'08'!$R$3:$R$100,"-")</f>
        <v/>
      </c>
      <c r="K131" s="68">
        <f>_xlfn.XLOOKUP($A131,'09'!$G$3:$G$100,'09'!$R$3:$R$100,"-")</f>
        <v/>
      </c>
      <c r="L131" s="68">
        <f>_xlfn.XLOOKUP($A131,'10'!$G$3:$G$100,'10'!$R$3:$R$100,"-")</f>
        <v/>
      </c>
      <c r="M131" s="68">
        <f>_xlfn.XLOOKUP($A131,'11'!$G$3:$G$100,'11'!$R$3:$R$100,"-")</f>
        <v/>
      </c>
      <c r="N131" s="68">
        <f>_xlfn.XLOOKUP($A131,'12'!$G$3:$G$100,'12'!$R$3:$R$100,"-")</f>
        <v/>
      </c>
      <c r="O131" s="79">
        <f>SUM(C131:N131)</f>
        <v/>
      </c>
      <c r="P131" s="74" t="n"/>
      <c r="Q131" s="82" t="n">
        <v>129</v>
      </c>
      <c r="R131" s="38" t="n"/>
      <c r="S131" s="61" t="n">
        <v>0</v>
      </c>
      <c r="T131" s="68" t="n">
        <v>0</v>
      </c>
      <c r="U131" s="68" t="n">
        <v>0</v>
      </c>
      <c r="V131" s="68" t="n">
        <v>0</v>
      </c>
      <c r="W131" s="68" t="n">
        <v>0</v>
      </c>
      <c r="X131" s="68" t="n">
        <v>0</v>
      </c>
      <c r="Y131" s="68" t="n">
        <v>0</v>
      </c>
      <c r="Z131" s="68" t="n">
        <v>0</v>
      </c>
      <c r="AA131" s="68" t="n">
        <v>0</v>
      </c>
      <c r="AB131" s="68" t="n">
        <v>0</v>
      </c>
      <c r="AC131" s="68" t="n">
        <v>0</v>
      </c>
      <c r="AD131" s="68" t="n">
        <v>0</v>
      </c>
      <c r="AE131" s="68" t="n">
        <v>0</v>
      </c>
      <c r="AF131" s="79" t="n">
        <v>0</v>
      </c>
      <c r="AG131" s="74" t="n">
        <v>0</v>
      </c>
      <c r="AH131" s="82" t="n">
        <v>129</v>
      </c>
    </row>
    <row r="132" ht="18" customHeight="1">
      <c r="C132" s="68">
        <f>_xlfn.XLOOKUP($A132,'01'!$G$3:$G$100,'01'!$R$3:$R$100,"-")</f>
        <v/>
      </c>
      <c r="D132" s="68">
        <f>_xlfn.XLOOKUP($A132,'02'!$G$3:$G$100,'02'!$R$3:$R$100,"-")</f>
        <v/>
      </c>
      <c r="E132" s="68">
        <f>_xlfn.XLOOKUP($A132,'03'!$G$3:$G$100,'03'!$R$3:$R$100,"-")</f>
        <v/>
      </c>
      <c r="F132" s="68">
        <f>_xlfn.XLOOKUP($A132,'04'!$G$3:$G$100,'04'!$R$3:$R$100,"-")</f>
        <v/>
      </c>
      <c r="G132" s="68">
        <f>_xlfn.XLOOKUP($A132,'05'!$G$3:$G$100,'05'!$R$3:$R$100,"-")</f>
        <v/>
      </c>
      <c r="H132" s="68">
        <f>_xlfn.XLOOKUP($A132,'06'!$G$3:$G$100,'06'!$R$3:$R$100,"-")</f>
        <v/>
      </c>
      <c r="I132" s="68">
        <f>_xlfn.XLOOKUP($A132,'07'!$G$3:$G$100,'07'!$R$3:$R$100,"-")</f>
        <v/>
      </c>
      <c r="J132" s="68">
        <f>_xlfn.XLOOKUP($A132,'08'!$G$3:$G$100,'08'!$R$3:$R$100,"-")</f>
        <v/>
      </c>
      <c r="K132" s="68">
        <f>_xlfn.XLOOKUP($A132,'09'!$G$3:$G$100,'09'!$R$3:$R$100,"-")</f>
        <v/>
      </c>
      <c r="L132" s="68">
        <f>_xlfn.XLOOKUP($A132,'10'!$G$3:$G$100,'10'!$R$3:$R$100,"-")</f>
        <v/>
      </c>
      <c r="M132" s="68">
        <f>_xlfn.XLOOKUP($A132,'11'!$G$3:$G$100,'11'!$R$3:$R$100,"-")</f>
        <v/>
      </c>
      <c r="N132" s="68">
        <f>_xlfn.XLOOKUP($A132,'12'!$G$3:$G$100,'12'!$R$3:$R$100,"-")</f>
        <v/>
      </c>
      <c r="O132" s="79">
        <f>SUM(C132:N132)</f>
        <v/>
      </c>
      <c r="P132" s="74" t="n"/>
      <c r="Q132" s="82" t="n">
        <v>130</v>
      </c>
      <c r="R132" s="38" t="n"/>
      <c r="S132" s="61" t="n">
        <v>0</v>
      </c>
      <c r="T132" s="68" t="n">
        <v>0</v>
      </c>
      <c r="U132" s="68" t="n">
        <v>0</v>
      </c>
      <c r="V132" s="68" t="n">
        <v>0</v>
      </c>
      <c r="W132" s="68" t="n">
        <v>0</v>
      </c>
      <c r="X132" s="68" t="n">
        <v>0</v>
      </c>
      <c r="Y132" s="68" t="n">
        <v>0</v>
      </c>
      <c r="Z132" s="68" t="n">
        <v>0</v>
      </c>
      <c r="AA132" s="68" t="n">
        <v>0</v>
      </c>
      <c r="AB132" s="68" t="n">
        <v>0</v>
      </c>
      <c r="AC132" s="68" t="n">
        <v>0</v>
      </c>
      <c r="AD132" s="68" t="n">
        <v>0</v>
      </c>
      <c r="AE132" s="68" t="n">
        <v>0</v>
      </c>
      <c r="AF132" s="79" t="n">
        <v>0</v>
      </c>
      <c r="AG132" s="74" t="n">
        <v>0</v>
      </c>
      <c r="AH132" s="82" t="n">
        <v>130</v>
      </c>
    </row>
    <row r="133" ht="18" customHeight="1">
      <c r="C133" s="68">
        <f>_xlfn.XLOOKUP($A133,'01'!$G$3:$G$100,'01'!$R$3:$R$100,"-")</f>
        <v/>
      </c>
      <c r="D133" s="68">
        <f>_xlfn.XLOOKUP($A133,'02'!$G$3:$G$100,'02'!$R$3:$R$100,"-")</f>
        <v/>
      </c>
      <c r="E133" s="68">
        <f>_xlfn.XLOOKUP($A133,'03'!$G$3:$G$100,'03'!$R$3:$R$100,"-")</f>
        <v/>
      </c>
      <c r="F133" s="68">
        <f>_xlfn.XLOOKUP($A133,'04'!$G$3:$G$100,'04'!$R$3:$R$100,"-")</f>
        <v/>
      </c>
      <c r="G133" s="68">
        <f>_xlfn.XLOOKUP($A133,'05'!$G$3:$G$100,'05'!$R$3:$R$100,"-")</f>
        <v/>
      </c>
      <c r="H133" s="68">
        <f>_xlfn.XLOOKUP($A133,'06'!$G$3:$G$100,'06'!$R$3:$R$100,"-")</f>
        <v/>
      </c>
      <c r="I133" s="68">
        <f>_xlfn.XLOOKUP($A133,'07'!$G$3:$G$100,'07'!$R$3:$R$100,"-")</f>
        <v/>
      </c>
      <c r="J133" s="68">
        <f>_xlfn.XLOOKUP($A133,'08'!$G$3:$G$100,'08'!$R$3:$R$100,"-")</f>
        <v/>
      </c>
      <c r="K133" s="68">
        <f>_xlfn.XLOOKUP($A133,'09'!$G$3:$G$100,'09'!$R$3:$R$100,"-")</f>
        <v/>
      </c>
      <c r="L133" s="68">
        <f>_xlfn.XLOOKUP($A133,'10'!$G$3:$G$100,'10'!$R$3:$R$100,"-")</f>
        <v/>
      </c>
      <c r="M133" s="68">
        <f>_xlfn.XLOOKUP($A133,'11'!$G$3:$G$100,'11'!$R$3:$R$100,"-")</f>
        <v/>
      </c>
      <c r="N133" s="68">
        <f>_xlfn.XLOOKUP($A133,'12'!$G$3:$G$100,'12'!$R$3:$R$100,"-")</f>
        <v/>
      </c>
      <c r="O133" s="79">
        <f>SUM(C133:N133)</f>
        <v/>
      </c>
      <c r="P133" s="74" t="n"/>
      <c r="Q133" s="82" t="n">
        <v>131</v>
      </c>
      <c r="R133" s="38" t="n"/>
      <c r="S133" s="61" t="n">
        <v>0</v>
      </c>
      <c r="T133" s="68" t="n">
        <v>0</v>
      </c>
      <c r="U133" s="68" t="n">
        <v>0</v>
      </c>
      <c r="V133" s="68" t="n">
        <v>0</v>
      </c>
      <c r="W133" s="68" t="n">
        <v>0</v>
      </c>
      <c r="X133" s="68" t="n">
        <v>0</v>
      </c>
      <c r="Y133" s="68" t="n">
        <v>0</v>
      </c>
      <c r="Z133" s="68" t="n">
        <v>0</v>
      </c>
      <c r="AA133" s="68" t="n">
        <v>0</v>
      </c>
      <c r="AB133" s="68" t="n">
        <v>0</v>
      </c>
      <c r="AC133" s="68" t="n">
        <v>0</v>
      </c>
      <c r="AD133" s="68" t="n">
        <v>0</v>
      </c>
      <c r="AE133" s="68" t="n">
        <v>0</v>
      </c>
      <c r="AF133" s="79" t="n">
        <v>0</v>
      </c>
      <c r="AG133" s="74" t="n">
        <v>0</v>
      </c>
      <c r="AH133" s="82" t="n">
        <v>131</v>
      </c>
    </row>
    <row r="134" ht="18" customHeight="1">
      <c r="C134" s="68">
        <f>_xlfn.XLOOKUP($A134,'01'!$G$3:$G$100,'01'!$R$3:$R$100,"-")</f>
        <v/>
      </c>
      <c r="D134" s="68">
        <f>_xlfn.XLOOKUP($A134,'02'!$G$3:$G$100,'02'!$R$3:$R$100,"-")</f>
        <v/>
      </c>
      <c r="E134" s="68">
        <f>_xlfn.XLOOKUP($A134,'03'!$G$3:$G$100,'03'!$R$3:$R$100,"-")</f>
        <v/>
      </c>
      <c r="F134" s="68">
        <f>_xlfn.XLOOKUP($A134,'04'!$G$3:$G$100,'04'!$R$3:$R$100,"-")</f>
        <v/>
      </c>
      <c r="G134" s="68">
        <f>_xlfn.XLOOKUP($A134,'05'!$G$3:$G$100,'05'!$R$3:$R$100,"-")</f>
        <v/>
      </c>
      <c r="H134" s="68">
        <f>_xlfn.XLOOKUP($A134,'06'!$G$3:$G$100,'06'!$R$3:$R$100,"-")</f>
        <v/>
      </c>
      <c r="I134" s="68">
        <f>_xlfn.XLOOKUP($A134,'07'!$G$3:$G$100,'07'!$R$3:$R$100,"-")</f>
        <v/>
      </c>
      <c r="J134" s="68">
        <f>_xlfn.XLOOKUP($A134,'08'!$G$3:$G$100,'08'!$R$3:$R$100,"-")</f>
        <v/>
      </c>
      <c r="K134" s="68">
        <f>_xlfn.XLOOKUP($A134,'09'!$G$3:$G$100,'09'!$R$3:$R$100,"-")</f>
        <v/>
      </c>
      <c r="L134" s="68">
        <f>_xlfn.XLOOKUP($A134,'10'!$G$3:$G$100,'10'!$R$3:$R$100,"-")</f>
        <v/>
      </c>
      <c r="M134" s="68">
        <f>_xlfn.XLOOKUP($A134,'11'!$G$3:$G$100,'11'!$R$3:$R$100,"-")</f>
        <v/>
      </c>
      <c r="N134" s="68">
        <f>_xlfn.XLOOKUP($A134,'12'!$G$3:$G$100,'12'!$R$3:$R$100,"-")</f>
        <v/>
      </c>
      <c r="O134" s="79">
        <f>SUM(C134:N134)</f>
        <v/>
      </c>
      <c r="P134" s="74" t="n"/>
      <c r="Q134" s="82" t="n">
        <v>132</v>
      </c>
      <c r="R134" s="38" t="n"/>
      <c r="S134" s="61" t="n">
        <v>0</v>
      </c>
      <c r="T134" s="68" t="n">
        <v>0</v>
      </c>
      <c r="U134" s="68" t="n">
        <v>0</v>
      </c>
      <c r="V134" s="68" t="n">
        <v>0</v>
      </c>
      <c r="W134" s="68" t="n">
        <v>0</v>
      </c>
      <c r="X134" s="68" t="n">
        <v>0</v>
      </c>
      <c r="Y134" s="68" t="n">
        <v>0</v>
      </c>
      <c r="Z134" s="68" t="n">
        <v>0</v>
      </c>
      <c r="AA134" s="68" t="n">
        <v>0</v>
      </c>
      <c r="AB134" s="68" t="n">
        <v>0</v>
      </c>
      <c r="AC134" s="68" t="n">
        <v>0</v>
      </c>
      <c r="AD134" s="68" t="n">
        <v>0</v>
      </c>
      <c r="AE134" s="68" t="n">
        <v>0</v>
      </c>
      <c r="AF134" s="79" t="n">
        <v>0</v>
      </c>
      <c r="AG134" s="74" t="n">
        <v>0</v>
      </c>
      <c r="AH134" s="82" t="n">
        <v>132</v>
      </c>
    </row>
    <row r="135" ht="18" customHeight="1">
      <c r="C135" s="68">
        <f>_xlfn.XLOOKUP($A135,'01'!$G$3:$G$100,'01'!$R$3:$R$100,"-")</f>
        <v/>
      </c>
      <c r="D135" s="68">
        <f>_xlfn.XLOOKUP($A135,'02'!$G$3:$G$100,'02'!$R$3:$R$100,"-")</f>
        <v/>
      </c>
      <c r="E135" s="68">
        <f>_xlfn.XLOOKUP($A135,'03'!$G$3:$G$100,'03'!$R$3:$R$100,"-")</f>
        <v/>
      </c>
      <c r="F135" s="68">
        <f>_xlfn.XLOOKUP($A135,'04'!$G$3:$G$100,'04'!$R$3:$R$100,"-")</f>
        <v/>
      </c>
      <c r="G135" s="68">
        <f>_xlfn.XLOOKUP($A135,'05'!$G$3:$G$100,'05'!$R$3:$R$100,"-")</f>
        <v/>
      </c>
      <c r="H135" s="68">
        <f>_xlfn.XLOOKUP($A135,'06'!$G$3:$G$100,'06'!$R$3:$R$100,"-")</f>
        <v/>
      </c>
      <c r="I135" s="68">
        <f>_xlfn.XLOOKUP($A135,'07'!$G$3:$G$100,'07'!$R$3:$R$100,"-")</f>
        <v/>
      </c>
      <c r="J135" s="68">
        <f>_xlfn.XLOOKUP($A135,'08'!$G$3:$G$100,'08'!$R$3:$R$100,"-")</f>
        <v/>
      </c>
      <c r="K135" s="68">
        <f>_xlfn.XLOOKUP($A135,'09'!$G$3:$G$100,'09'!$R$3:$R$100,"-")</f>
        <v/>
      </c>
      <c r="L135" s="68">
        <f>_xlfn.XLOOKUP($A135,'10'!$G$3:$G$100,'10'!$R$3:$R$100,"-")</f>
        <v/>
      </c>
      <c r="M135" s="68">
        <f>_xlfn.XLOOKUP($A135,'11'!$G$3:$G$100,'11'!$R$3:$R$100,"-")</f>
        <v/>
      </c>
      <c r="N135" s="68">
        <f>_xlfn.XLOOKUP($A135,'12'!$G$3:$G$100,'12'!$R$3:$R$100,"-")</f>
        <v/>
      </c>
      <c r="O135" s="79">
        <f>SUM(C135:N135)</f>
        <v/>
      </c>
      <c r="P135" s="74" t="n"/>
      <c r="Q135" s="82" t="n">
        <v>133</v>
      </c>
      <c r="R135" s="38" t="n"/>
      <c r="S135" s="61" t="n">
        <v>0</v>
      </c>
      <c r="T135" s="68" t="n">
        <v>0</v>
      </c>
      <c r="U135" s="68" t="n">
        <v>0</v>
      </c>
      <c r="V135" s="68" t="n">
        <v>0</v>
      </c>
      <c r="W135" s="68" t="n">
        <v>0</v>
      </c>
      <c r="X135" s="68" t="n">
        <v>0</v>
      </c>
      <c r="Y135" s="68" t="n">
        <v>0</v>
      </c>
      <c r="Z135" s="68" t="n">
        <v>0</v>
      </c>
      <c r="AA135" s="68" t="n">
        <v>0</v>
      </c>
      <c r="AB135" s="68" t="n">
        <v>0</v>
      </c>
      <c r="AC135" s="68" t="n">
        <v>0</v>
      </c>
      <c r="AD135" s="68" t="n">
        <v>0</v>
      </c>
      <c r="AE135" s="68" t="n">
        <v>0</v>
      </c>
      <c r="AF135" s="79" t="n">
        <v>0</v>
      </c>
      <c r="AG135" s="74" t="n">
        <v>0</v>
      </c>
      <c r="AH135" s="82" t="n">
        <v>133</v>
      </c>
    </row>
    <row r="136" ht="18" customHeight="1">
      <c r="C136" s="68">
        <f>_xlfn.XLOOKUP($A136,'01'!$G$3:$G$100,'01'!$R$3:$R$100,"-")</f>
        <v/>
      </c>
      <c r="D136" s="68">
        <f>_xlfn.XLOOKUP($A136,'02'!$G$3:$G$100,'02'!$R$3:$R$100,"-")</f>
        <v/>
      </c>
      <c r="E136" s="68">
        <f>_xlfn.XLOOKUP($A136,'03'!$G$3:$G$100,'03'!$R$3:$R$100,"-")</f>
        <v/>
      </c>
      <c r="F136" s="68">
        <f>_xlfn.XLOOKUP($A136,'04'!$G$3:$G$100,'04'!$R$3:$R$100,"-")</f>
        <v/>
      </c>
      <c r="G136" s="68">
        <f>_xlfn.XLOOKUP($A136,'05'!$G$3:$G$100,'05'!$R$3:$R$100,"-")</f>
        <v/>
      </c>
      <c r="H136" s="68">
        <f>_xlfn.XLOOKUP($A136,'06'!$G$3:$G$100,'06'!$R$3:$R$100,"-")</f>
        <v/>
      </c>
      <c r="I136" s="68">
        <f>_xlfn.XLOOKUP($A136,'07'!$G$3:$G$100,'07'!$R$3:$R$100,"-")</f>
        <v/>
      </c>
      <c r="J136" s="68">
        <f>_xlfn.XLOOKUP($A136,'08'!$G$3:$G$100,'08'!$R$3:$R$100,"-")</f>
        <v/>
      </c>
      <c r="K136" s="68">
        <f>_xlfn.XLOOKUP($A136,'09'!$G$3:$G$100,'09'!$R$3:$R$100,"-")</f>
        <v/>
      </c>
      <c r="L136" s="68">
        <f>_xlfn.XLOOKUP($A136,'10'!$G$3:$G$100,'10'!$R$3:$R$100,"-")</f>
        <v/>
      </c>
      <c r="M136" s="68">
        <f>_xlfn.XLOOKUP($A136,'11'!$G$3:$G$100,'11'!$R$3:$R$100,"-")</f>
        <v/>
      </c>
      <c r="N136" s="68">
        <f>_xlfn.XLOOKUP($A136,'12'!$G$3:$G$100,'12'!$R$3:$R$100,"-")</f>
        <v/>
      </c>
      <c r="O136" s="79">
        <f>SUM(C136:N136)</f>
        <v/>
      </c>
      <c r="P136" s="74" t="n"/>
      <c r="Q136" s="82" t="n">
        <v>134</v>
      </c>
      <c r="R136" s="38" t="n"/>
      <c r="S136" s="61" t="n">
        <v>0</v>
      </c>
      <c r="T136" s="68" t="n">
        <v>0</v>
      </c>
      <c r="U136" s="68" t="n">
        <v>0</v>
      </c>
      <c r="V136" s="68" t="n">
        <v>0</v>
      </c>
      <c r="W136" s="68" t="n">
        <v>0</v>
      </c>
      <c r="X136" s="68" t="n">
        <v>0</v>
      </c>
      <c r="Y136" s="68" t="n">
        <v>0</v>
      </c>
      <c r="Z136" s="68" t="n">
        <v>0</v>
      </c>
      <c r="AA136" s="68" t="n">
        <v>0</v>
      </c>
      <c r="AB136" s="68" t="n">
        <v>0</v>
      </c>
      <c r="AC136" s="68" t="n">
        <v>0</v>
      </c>
      <c r="AD136" s="68" t="n">
        <v>0</v>
      </c>
      <c r="AE136" s="68" t="n">
        <v>0</v>
      </c>
      <c r="AF136" s="79" t="n">
        <v>0</v>
      </c>
      <c r="AG136" s="74" t="n">
        <v>0</v>
      </c>
      <c r="AH136" s="82" t="n">
        <v>134</v>
      </c>
    </row>
    <row r="137" ht="18" customHeight="1">
      <c r="C137" s="68">
        <f>_xlfn.XLOOKUP($A137,'01'!$G$3:$G$100,'01'!$R$3:$R$100,"-")</f>
        <v/>
      </c>
      <c r="D137" s="68">
        <f>_xlfn.XLOOKUP($A137,'02'!$G$3:$G$100,'02'!$R$3:$R$100,"-")</f>
        <v/>
      </c>
      <c r="E137" s="68">
        <f>_xlfn.XLOOKUP($A137,'03'!$G$3:$G$100,'03'!$R$3:$R$100,"-")</f>
        <v/>
      </c>
      <c r="F137" s="68">
        <f>_xlfn.XLOOKUP($A137,'04'!$G$3:$G$100,'04'!$R$3:$R$100,"-")</f>
        <v/>
      </c>
      <c r="G137" s="68">
        <f>_xlfn.XLOOKUP($A137,'05'!$G$3:$G$100,'05'!$R$3:$R$100,"-")</f>
        <v/>
      </c>
      <c r="H137" s="68">
        <f>_xlfn.XLOOKUP($A137,'06'!$G$3:$G$100,'06'!$R$3:$R$100,"-")</f>
        <v/>
      </c>
      <c r="I137" s="68">
        <f>_xlfn.XLOOKUP($A137,'07'!$G$3:$G$100,'07'!$R$3:$R$100,"-")</f>
        <v/>
      </c>
      <c r="J137" s="68">
        <f>_xlfn.XLOOKUP($A137,'08'!$G$3:$G$100,'08'!$R$3:$R$100,"-")</f>
        <v/>
      </c>
      <c r="K137" s="68">
        <f>_xlfn.XLOOKUP($A137,'09'!$G$3:$G$100,'09'!$R$3:$R$100,"-")</f>
        <v/>
      </c>
      <c r="L137" s="68">
        <f>_xlfn.XLOOKUP($A137,'10'!$G$3:$G$100,'10'!$R$3:$R$100,"-")</f>
        <v/>
      </c>
      <c r="M137" s="68">
        <f>_xlfn.XLOOKUP($A137,'11'!$G$3:$G$100,'11'!$R$3:$R$100,"-")</f>
        <v/>
      </c>
      <c r="N137" s="68">
        <f>_xlfn.XLOOKUP($A137,'12'!$G$3:$G$100,'12'!$R$3:$R$100,"-")</f>
        <v/>
      </c>
      <c r="O137" s="79">
        <f>SUM(C137:N137)</f>
        <v/>
      </c>
      <c r="P137" s="74" t="n"/>
      <c r="Q137" s="83" t="n">
        <v>135</v>
      </c>
      <c r="R137" s="38" t="n"/>
      <c r="S137" s="61" t="n">
        <v>0</v>
      </c>
      <c r="T137" s="68" t="n">
        <v>0</v>
      </c>
      <c r="U137" s="68" t="n">
        <v>0</v>
      </c>
      <c r="V137" s="68" t="n">
        <v>0</v>
      </c>
      <c r="W137" s="68" t="n">
        <v>0</v>
      </c>
      <c r="X137" s="68" t="n">
        <v>0</v>
      </c>
      <c r="Y137" s="68" t="n">
        <v>0</v>
      </c>
      <c r="Z137" s="68" t="n">
        <v>0</v>
      </c>
      <c r="AA137" s="68" t="n">
        <v>0</v>
      </c>
      <c r="AB137" s="68" t="n">
        <v>0</v>
      </c>
      <c r="AC137" s="68" t="n">
        <v>0</v>
      </c>
      <c r="AD137" s="68" t="n">
        <v>0</v>
      </c>
      <c r="AE137" s="68" t="n">
        <v>0</v>
      </c>
      <c r="AF137" s="79" t="n">
        <v>0</v>
      </c>
      <c r="AG137" s="74" t="n">
        <v>0</v>
      </c>
      <c r="AH137" s="83" t="n">
        <v>135</v>
      </c>
    </row>
    <row r="138" ht="18" customHeight="1">
      <c r="C138" s="68">
        <f>_xlfn.XLOOKUP($A138,'01'!$G$3:$G$100,'01'!$R$3:$R$100,"-")</f>
        <v/>
      </c>
      <c r="D138" s="68">
        <f>_xlfn.XLOOKUP($A138,'02'!$G$3:$G$100,'02'!$R$3:$R$100,"-")</f>
        <v/>
      </c>
      <c r="E138" s="68">
        <f>_xlfn.XLOOKUP($A138,'03'!$G$3:$G$100,'03'!$R$3:$R$100,"-")</f>
        <v/>
      </c>
      <c r="F138" s="68">
        <f>_xlfn.XLOOKUP($A138,'04'!$G$3:$G$100,'04'!$R$3:$R$100,"-")</f>
        <v/>
      </c>
      <c r="G138" s="68">
        <f>_xlfn.XLOOKUP($A138,'05'!$G$3:$G$100,'05'!$R$3:$R$100,"-")</f>
        <v/>
      </c>
      <c r="H138" s="68">
        <f>_xlfn.XLOOKUP($A138,'06'!$G$3:$G$100,'06'!$R$3:$R$100,"-")</f>
        <v/>
      </c>
      <c r="I138" s="68">
        <f>_xlfn.XLOOKUP($A138,'07'!$G$3:$G$100,'07'!$R$3:$R$100,"-")</f>
        <v/>
      </c>
      <c r="J138" s="68">
        <f>_xlfn.XLOOKUP($A138,'08'!$G$3:$G$100,'08'!$R$3:$R$100,"-")</f>
        <v/>
      </c>
      <c r="K138" s="68">
        <f>_xlfn.XLOOKUP($A138,'09'!$G$3:$G$100,'09'!$R$3:$R$100,"-")</f>
        <v/>
      </c>
      <c r="L138" s="68">
        <f>_xlfn.XLOOKUP($A138,'10'!$G$3:$G$100,'10'!$R$3:$R$100,"-")</f>
        <v/>
      </c>
      <c r="M138" s="68">
        <f>_xlfn.XLOOKUP($A138,'11'!$G$3:$G$100,'11'!$R$3:$R$100,"-")</f>
        <v/>
      </c>
      <c r="N138" s="68">
        <f>_xlfn.XLOOKUP($A138,'12'!$G$3:$G$100,'12'!$R$3:$R$100,"-")</f>
        <v/>
      </c>
      <c r="O138" s="79">
        <f>SUM(C138:N138)</f>
        <v/>
      </c>
      <c r="P138" s="74" t="n"/>
      <c r="Q138" s="82" t="n">
        <v>136</v>
      </c>
      <c r="R138" s="38" t="n"/>
      <c r="S138" s="61" t="n">
        <v>0</v>
      </c>
      <c r="T138" s="68" t="n">
        <v>0</v>
      </c>
      <c r="U138" s="68" t="n">
        <v>0</v>
      </c>
      <c r="V138" s="68" t="n">
        <v>0</v>
      </c>
      <c r="W138" s="68" t="n">
        <v>0</v>
      </c>
      <c r="X138" s="68" t="n">
        <v>0</v>
      </c>
      <c r="Y138" s="68" t="n">
        <v>0</v>
      </c>
      <c r="Z138" s="68" t="n">
        <v>0</v>
      </c>
      <c r="AA138" s="68" t="n">
        <v>0</v>
      </c>
      <c r="AB138" s="68" t="n">
        <v>0</v>
      </c>
      <c r="AC138" s="68" t="n">
        <v>0</v>
      </c>
      <c r="AD138" s="68" t="n">
        <v>0</v>
      </c>
      <c r="AE138" s="68" t="n">
        <v>0</v>
      </c>
      <c r="AF138" s="79" t="n">
        <v>0</v>
      </c>
      <c r="AG138" s="74" t="n">
        <v>0</v>
      </c>
      <c r="AH138" s="82" t="n">
        <v>136</v>
      </c>
    </row>
    <row r="139" ht="18" customHeight="1">
      <c r="C139" s="68">
        <f>_xlfn.XLOOKUP($A139,'01'!$G$3:$G$100,'01'!$R$3:$R$100,"-")</f>
        <v/>
      </c>
      <c r="D139" s="68">
        <f>_xlfn.XLOOKUP($A139,'02'!$G$3:$G$100,'02'!$R$3:$R$100,"-")</f>
        <v/>
      </c>
      <c r="E139" s="68">
        <f>_xlfn.XLOOKUP($A139,'03'!$G$3:$G$100,'03'!$R$3:$R$100,"-")</f>
        <v/>
      </c>
      <c r="F139" s="68">
        <f>_xlfn.XLOOKUP($A139,'04'!$G$3:$G$100,'04'!$R$3:$R$100,"-")</f>
        <v/>
      </c>
      <c r="G139" s="68">
        <f>_xlfn.XLOOKUP($A139,'05'!$G$3:$G$100,'05'!$R$3:$R$100,"-")</f>
        <v/>
      </c>
      <c r="H139" s="68">
        <f>_xlfn.XLOOKUP($A139,'06'!$G$3:$G$100,'06'!$R$3:$R$100,"-")</f>
        <v/>
      </c>
      <c r="I139" s="68">
        <f>_xlfn.XLOOKUP($A139,'07'!$G$3:$G$100,'07'!$R$3:$R$100,"-")</f>
        <v/>
      </c>
      <c r="J139" s="68">
        <f>_xlfn.XLOOKUP($A139,'08'!$G$3:$G$100,'08'!$R$3:$R$100,"-")</f>
        <v/>
      </c>
      <c r="K139" s="68">
        <f>_xlfn.XLOOKUP($A139,'09'!$G$3:$G$100,'09'!$R$3:$R$100,"-")</f>
        <v/>
      </c>
      <c r="L139" s="68">
        <f>_xlfn.XLOOKUP($A139,'10'!$G$3:$G$100,'10'!$R$3:$R$100,"-")</f>
        <v/>
      </c>
      <c r="M139" s="68">
        <f>_xlfn.XLOOKUP($A139,'11'!$G$3:$G$100,'11'!$R$3:$R$100,"-")</f>
        <v/>
      </c>
      <c r="N139" s="68">
        <f>_xlfn.XLOOKUP($A139,'12'!$G$3:$G$100,'12'!$R$3:$R$100,"-")</f>
        <v/>
      </c>
      <c r="O139" s="79">
        <f>SUM(C139:N139)</f>
        <v/>
      </c>
      <c r="P139" s="74" t="n"/>
      <c r="Q139" s="82" t="n">
        <v>137</v>
      </c>
      <c r="R139" s="38" t="n"/>
      <c r="S139" s="61" t="n">
        <v>0</v>
      </c>
      <c r="T139" s="68" t="n">
        <v>0</v>
      </c>
      <c r="U139" s="68" t="n">
        <v>0</v>
      </c>
      <c r="V139" s="68" t="n">
        <v>0</v>
      </c>
      <c r="W139" s="68" t="n">
        <v>0</v>
      </c>
      <c r="X139" s="68" t="n">
        <v>0</v>
      </c>
      <c r="Y139" s="68" t="n">
        <v>0</v>
      </c>
      <c r="Z139" s="68" t="n">
        <v>0</v>
      </c>
      <c r="AA139" s="68" t="n">
        <v>0</v>
      </c>
      <c r="AB139" s="68" t="n">
        <v>0</v>
      </c>
      <c r="AC139" s="68" t="n">
        <v>0</v>
      </c>
      <c r="AD139" s="68" t="n">
        <v>0</v>
      </c>
      <c r="AE139" s="68" t="n">
        <v>0</v>
      </c>
      <c r="AF139" s="79" t="n">
        <v>0</v>
      </c>
      <c r="AG139" s="74" t="n">
        <v>0</v>
      </c>
      <c r="AH139" s="82" t="n">
        <v>137</v>
      </c>
    </row>
    <row r="140" ht="18" customHeight="1">
      <c r="C140" s="68">
        <f>_xlfn.XLOOKUP($A140,'01'!$G$3:$G$100,'01'!$R$3:$R$100,"-")</f>
        <v/>
      </c>
      <c r="D140" s="68">
        <f>_xlfn.XLOOKUP($A140,'02'!$G$3:$G$100,'02'!$R$3:$R$100,"-")</f>
        <v/>
      </c>
      <c r="E140" s="68">
        <f>_xlfn.XLOOKUP($A140,'03'!$G$3:$G$100,'03'!$R$3:$R$100,"-")</f>
        <v/>
      </c>
      <c r="F140" s="68">
        <f>_xlfn.XLOOKUP($A140,'04'!$G$3:$G$100,'04'!$R$3:$R$100,"-")</f>
        <v/>
      </c>
      <c r="G140" s="68">
        <f>_xlfn.XLOOKUP($A140,'05'!$G$3:$G$100,'05'!$R$3:$R$100,"-")</f>
        <v/>
      </c>
      <c r="H140" s="68">
        <f>_xlfn.XLOOKUP($A140,'06'!$G$3:$G$100,'06'!$R$3:$R$100,"-")</f>
        <v/>
      </c>
      <c r="I140" s="68">
        <f>_xlfn.XLOOKUP($A140,'07'!$G$3:$G$100,'07'!$R$3:$R$100,"-")</f>
        <v/>
      </c>
      <c r="J140" s="68">
        <f>_xlfn.XLOOKUP($A140,'08'!$G$3:$G$100,'08'!$R$3:$R$100,"-")</f>
        <v/>
      </c>
      <c r="K140" s="68">
        <f>_xlfn.XLOOKUP($A140,'09'!$G$3:$G$100,'09'!$R$3:$R$100,"-")</f>
        <v/>
      </c>
      <c r="L140" s="68">
        <f>_xlfn.XLOOKUP($A140,'10'!$G$3:$G$100,'10'!$R$3:$R$100,"-")</f>
        <v/>
      </c>
      <c r="M140" s="68">
        <f>_xlfn.XLOOKUP($A140,'11'!$G$3:$G$100,'11'!$R$3:$R$100,"-")</f>
        <v/>
      </c>
      <c r="N140" s="68">
        <f>_xlfn.XLOOKUP($A140,'12'!$G$3:$G$100,'12'!$R$3:$R$100,"-")</f>
        <v/>
      </c>
      <c r="O140" s="79">
        <f>SUM(C140:N140)</f>
        <v/>
      </c>
      <c r="P140" s="74" t="n"/>
      <c r="Q140" s="82" t="n">
        <v>138</v>
      </c>
      <c r="R140" s="38" t="n"/>
      <c r="S140" s="61" t="n">
        <v>0</v>
      </c>
      <c r="T140" s="68" t="n">
        <v>0</v>
      </c>
      <c r="U140" s="68" t="n">
        <v>0</v>
      </c>
      <c r="V140" s="68" t="n">
        <v>0</v>
      </c>
      <c r="W140" s="68" t="n">
        <v>0</v>
      </c>
      <c r="X140" s="68" t="n">
        <v>0</v>
      </c>
      <c r="Y140" s="68" t="n">
        <v>0</v>
      </c>
      <c r="Z140" s="68" t="n">
        <v>0</v>
      </c>
      <c r="AA140" s="68" t="n">
        <v>0</v>
      </c>
      <c r="AB140" s="68" t="n">
        <v>0</v>
      </c>
      <c r="AC140" s="68" t="n">
        <v>0</v>
      </c>
      <c r="AD140" s="68" t="n">
        <v>0</v>
      </c>
      <c r="AE140" s="68" t="n">
        <v>0</v>
      </c>
      <c r="AF140" s="79" t="n">
        <v>0</v>
      </c>
      <c r="AG140" s="74" t="n">
        <v>0</v>
      </c>
      <c r="AH140" s="82" t="n">
        <v>138</v>
      </c>
    </row>
    <row r="141" ht="18" customHeight="1">
      <c r="C141" s="68">
        <f>_xlfn.XLOOKUP($A141,'01'!$G$3:$G$100,'01'!$R$3:$R$100,"-")</f>
        <v/>
      </c>
      <c r="D141" s="68">
        <f>_xlfn.XLOOKUP($A141,'02'!$G$3:$G$100,'02'!$R$3:$R$100,"-")</f>
        <v/>
      </c>
      <c r="E141" s="68">
        <f>_xlfn.XLOOKUP($A141,'03'!$G$3:$G$100,'03'!$R$3:$R$100,"-")</f>
        <v/>
      </c>
      <c r="F141" s="68">
        <f>_xlfn.XLOOKUP($A141,'04'!$G$3:$G$100,'04'!$R$3:$R$100,"-")</f>
        <v/>
      </c>
      <c r="G141" s="68">
        <f>_xlfn.XLOOKUP($A141,'05'!$G$3:$G$100,'05'!$R$3:$R$100,"-")</f>
        <v/>
      </c>
      <c r="H141" s="68">
        <f>_xlfn.XLOOKUP($A141,'06'!$G$3:$G$100,'06'!$R$3:$R$100,"-")</f>
        <v/>
      </c>
      <c r="I141" s="68">
        <f>_xlfn.XLOOKUP($A141,'07'!$G$3:$G$100,'07'!$R$3:$R$100,"-")</f>
        <v/>
      </c>
      <c r="J141" s="68">
        <f>_xlfn.XLOOKUP($A141,'08'!$G$3:$G$100,'08'!$R$3:$R$100,"-")</f>
        <v/>
      </c>
      <c r="K141" s="68">
        <f>_xlfn.XLOOKUP($A141,'09'!$G$3:$G$100,'09'!$R$3:$R$100,"-")</f>
        <v/>
      </c>
      <c r="L141" s="68">
        <f>_xlfn.XLOOKUP($A141,'10'!$G$3:$G$100,'10'!$R$3:$R$100,"-")</f>
        <v/>
      </c>
      <c r="M141" s="68">
        <f>_xlfn.XLOOKUP($A141,'11'!$G$3:$G$100,'11'!$R$3:$R$100,"-")</f>
        <v/>
      </c>
      <c r="N141" s="68">
        <f>_xlfn.XLOOKUP($A141,'12'!$G$3:$G$100,'12'!$R$3:$R$100,"-")</f>
        <v/>
      </c>
      <c r="O141" s="79">
        <f>SUM(C141:N141)</f>
        <v/>
      </c>
      <c r="P141" s="74" t="n"/>
      <c r="Q141" s="82" t="n">
        <v>139</v>
      </c>
      <c r="R141" s="38" t="n"/>
      <c r="S141" s="61" t="n">
        <v>0</v>
      </c>
      <c r="T141" s="68" t="n">
        <v>0</v>
      </c>
      <c r="U141" s="68" t="n">
        <v>0</v>
      </c>
      <c r="V141" s="68" t="n">
        <v>0</v>
      </c>
      <c r="W141" s="68" t="n">
        <v>0</v>
      </c>
      <c r="X141" s="68" t="n">
        <v>0</v>
      </c>
      <c r="Y141" s="68" t="n">
        <v>0</v>
      </c>
      <c r="Z141" s="68" t="n">
        <v>0</v>
      </c>
      <c r="AA141" s="68" t="n">
        <v>0</v>
      </c>
      <c r="AB141" s="68" t="n">
        <v>0</v>
      </c>
      <c r="AC141" s="68" t="n">
        <v>0</v>
      </c>
      <c r="AD141" s="68" t="n">
        <v>0</v>
      </c>
      <c r="AE141" s="68" t="n">
        <v>0</v>
      </c>
      <c r="AF141" s="79" t="n">
        <v>0</v>
      </c>
      <c r="AG141" s="74" t="n">
        <v>0</v>
      </c>
      <c r="AH141" s="82" t="n">
        <v>139</v>
      </c>
    </row>
    <row r="142" ht="18" customHeight="1">
      <c r="C142" s="68">
        <f>_xlfn.XLOOKUP($A142,'01'!$G$3:$G$100,'01'!$R$3:$R$100,"-")</f>
        <v/>
      </c>
      <c r="D142" s="68">
        <f>_xlfn.XLOOKUP($A142,'02'!$G$3:$G$100,'02'!$R$3:$R$100,"-")</f>
        <v/>
      </c>
      <c r="E142" s="68">
        <f>_xlfn.XLOOKUP($A142,'03'!$G$3:$G$100,'03'!$R$3:$R$100,"-")</f>
        <v/>
      </c>
      <c r="F142" s="68">
        <f>_xlfn.XLOOKUP($A142,'04'!$G$3:$G$100,'04'!$R$3:$R$100,"-")</f>
        <v/>
      </c>
      <c r="G142" s="68">
        <f>_xlfn.XLOOKUP($A142,'05'!$G$3:$G$100,'05'!$R$3:$R$100,"-")</f>
        <v/>
      </c>
      <c r="H142" s="68">
        <f>_xlfn.XLOOKUP($A142,'06'!$G$3:$G$100,'06'!$R$3:$R$100,"-")</f>
        <v/>
      </c>
      <c r="I142" s="68">
        <f>_xlfn.XLOOKUP($A142,'07'!$G$3:$G$100,'07'!$R$3:$R$100,"-")</f>
        <v/>
      </c>
      <c r="J142" s="68">
        <f>_xlfn.XLOOKUP($A142,'08'!$G$3:$G$100,'08'!$R$3:$R$100,"-")</f>
        <v/>
      </c>
      <c r="K142" s="68">
        <f>_xlfn.XLOOKUP($A142,'09'!$G$3:$G$100,'09'!$R$3:$R$100,"-")</f>
        <v/>
      </c>
      <c r="L142" s="68">
        <f>_xlfn.XLOOKUP($A142,'10'!$G$3:$G$100,'10'!$R$3:$R$100,"-")</f>
        <v/>
      </c>
      <c r="M142" s="68">
        <f>_xlfn.XLOOKUP($A142,'11'!$G$3:$G$100,'11'!$R$3:$R$100,"-")</f>
        <v/>
      </c>
      <c r="N142" s="68">
        <f>_xlfn.XLOOKUP($A142,'12'!$G$3:$G$100,'12'!$R$3:$R$100,"-")</f>
        <v/>
      </c>
      <c r="O142" s="79">
        <f>SUM(C142:N142)</f>
        <v/>
      </c>
      <c r="P142" s="74" t="n"/>
      <c r="Q142" s="82" t="n">
        <v>140</v>
      </c>
      <c r="R142" s="38" t="n"/>
      <c r="S142" s="61" t="n">
        <v>0</v>
      </c>
      <c r="T142" s="68" t="n">
        <v>0</v>
      </c>
      <c r="U142" s="68" t="n">
        <v>0</v>
      </c>
      <c r="V142" s="68" t="n">
        <v>0</v>
      </c>
      <c r="W142" s="68" t="n">
        <v>0</v>
      </c>
      <c r="X142" s="68" t="n">
        <v>0</v>
      </c>
      <c r="Y142" s="68" t="n">
        <v>0</v>
      </c>
      <c r="Z142" s="68" t="n">
        <v>0</v>
      </c>
      <c r="AA142" s="68" t="n">
        <v>0</v>
      </c>
      <c r="AB142" s="68" t="n">
        <v>0</v>
      </c>
      <c r="AC142" s="68" t="n">
        <v>0</v>
      </c>
      <c r="AD142" s="68" t="n">
        <v>0</v>
      </c>
      <c r="AE142" s="68" t="n">
        <v>0</v>
      </c>
      <c r="AF142" s="79" t="n">
        <v>0</v>
      </c>
      <c r="AG142" s="74" t="n">
        <v>0</v>
      </c>
      <c r="AH142" s="82" t="n">
        <v>140</v>
      </c>
    </row>
    <row r="143" ht="18" customHeight="1">
      <c r="C143" s="68">
        <f>_xlfn.XLOOKUP($A143,'01'!$G$3:$G$100,'01'!$R$3:$R$100,"-")</f>
        <v/>
      </c>
      <c r="D143" s="68">
        <f>_xlfn.XLOOKUP($A143,'02'!$G$3:$G$100,'02'!$R$3:$R$100,"-")</f>
        <v/>
      </c>
      <c r="E143" s="68">
        <f>_xlfn.XLOOKUP($A143,'03'!$G$3:$G$100,'03'!$R$3:$R$100,"-")</f>
        <v/>
      </c>
      <c r="F143" s="68">
        <f>_xlfn.XLOOKUP($A143,'04'!$G$3:$G$100,'04'!$R$3:$R$100,"-")</f>
        <v/>
      </c>
      <c r="G143" s="68">
        <f>_xlfn.XLOOKUP($A143,'05'!$G$3:$G$100,'05'!$R$3:$R$100,"-")</f>
        <v/>
      </c>
      <c r="H143" s="68">
        <f>_xlfn.XLOOKUP($A143,'06'!$G$3:$G$100,'06'!$R$3:$R$100,"-")</f>
        <v/>
      </c>
      <c r="I143" s="68">
        <f>_xlfn.XLOOKUP($A143,'07'!$G$3:$G$100,'07'!$R$3:$R$100,"-")</f>
        <v/>
      </c>
      <c r="J143" s="68">
        <f>_xlfn.XLOOKUP($A143,'08'!$G$3:$G$100,'08'!$R$3:$R$100,"-")</f>
        <v/>
      </c>
      <c r="K143" s="68">
        <f>_xlfn.XLOOKUP($A143,'09'!$G$3:$G$100,'09'!$R$3:$R$100,"-")</f>
        <v/>
      </c>
      <c r="L143" s="68">
        <f>_xlfn.XLOOKUP($A143,'10'!$G$3:$G$100,'10'!$R$3:$R$100,"-")</f>
        <v/>
      </c>
      <c r="M143" s="68">
        <f>_xlfn.XLOOKUP($A143,'11'!$G$3:$G$100,'11'!$R$3:$R$100,"-")</f>
        <v/>
      </c>
      <c r="N143" s="68">
        <f>_xlfn.XLOOKUP($A143,'12'!$G$3:$G$100,'12'!$R$3:$R$100,"-")</f>
        <v/>
      </c>
      <c r="O143" s="79">
        <f>SUM(C143:N143)</f>
        <v/>
      </c>
      <c r="P143" s="74" t="n"/>
      <c r="Q143" s="82" t="n">
        <v>141</v>
      </c>
      <c r="R143" s="38" t="n"/>
      <c r="S143" s="61" t="n">
        <v>0</v>
      </c>
      <c r="T143" s="68" t="n">
        <v>0</v>
      </c>
      <c r="U143" s="68" t="n">
        <v>0</v>
      </c>
      <c r="V143" s="68" t="n">
        <v>0</v>
      </c>
      <c r="W143" s="68" t="n">
        <v>0</v>
      </c>
      <c r="X143" s="68" t="n">
        <v>0</v>
      </c>
      <c r="Y143" s="68" t="n">
        <v>0</v>
      </c>
      <c r="Z143" s="68" t="n">
        <v>0</v>
      </c>
      <c r="AA143" s="68" t="n">
        <v>0</v>
      </c>
      <c r="AB143" s="68" t="n">
        <v>0</v>
      </c>
      <c r="AC143" s="68" t="n">
        <v>0</v>
      </c>
      <c r="AD143" s="68" t="n">
        <v>0</v>
      </c>
      <c r="AE143" s="68" t="n">
        <v>0</v>
      </c>
      <c r="AF143" s="79" t="n">
        <v>0</v>
      </c>
      <c r="AG143" s="74" t="n">
        <v>0</v>
      </c>
      <c r="AH143" s="82" t="n">
        <v>141</v>
      </c>
    </row>
    <row r="144" ht="18" customHeight="1">
      <c r="C144" s="68">
        <f>_xlfn.XLOOKUP($A144,'01'!$G$3:$G$100,'01'!$R$3:$R$100,"-")</f>
        <v/>
      </c>
      <c r="D144" s="68">
        <f>_xlfn.XLOOKUP($A144,'02'!$G$3:$G$100,'02'!$R$3:$R$100,"-")</f>
        <v/>
      </c>
      <c r="E144" s="68">
        <f>_xlfn.XLOOKUP($A144,'03'!$G$3:$G$100,'03'!$R$3:$R$100,"-")</f>
        <v/>
      </c>
      <c r="F144" s="68">
        <f>_xlfn.XLOOKUP($A144,'04'!$G$3:$G$100,'04'!$R$3:$R$100,"-")</f>
        <v/>
      </c>
      <c r="G144" s="68">
        <f>_xlfn.XLOOKUP($A144,'05'!$G$3:$G$100,'05'!$R$3:$R$100,"-")</f>
        <v/>
      </c>
      <c r="H144" s="68">
        <f>_xlfn.XLOOKUP($A144,'06'!$G$3:$G$100,'06'!$R$3:$R$100,"-")</f>
        <v/>
      </c>
      <c r="I144" s="68">
        <f>_xlfn.XLOOKUP($A144,'07'!$G$3:$G$100,'07'!$R$3:$R$100,"-")</f>
        <v/>
      </c>
      <c r="J144" s="68">
        <f>_xlfn.XLOOKUP($A144,'08'!$G$3:$G$100,'08'!$R$3:$R$100,"-")</f>
        <v/>
      </c>
      <c r="K144" s="68">
        <f>_xlfn.XLOOKUP($A144,'09'!$G$3:$G$100,'09'!$R$3:$R$100,"-")</f>
        <v/>
      </c>
      <c r="L144" s="68">
        <f>_xlfn.XLOOKUP($A144,'10'!$G$3:$G$100,'10'!$R$3:$R$100,"-")</f>
        <v/>
      </c>
      <c r="M144" s="68">
        <f>_xlfn.XLOOKUP($A144,'11'!$G$3:$G$100,'11'!$R$3:$R$100,"-")</f>
        <v/>
      </c>
      <c r="N144" s="68">
        <f>_xlfn.XLOOKUP($A144,'12'!$G$3:$G$100,'12'!$R$3:$R$100,"-")</f>
        <v/>
      </c>
      <c r="O144" s="79">
        <f>SUM(C144:N144)</f>
        <v/>
      </c>
      <c r="P144" s="74" t="n"/>
      <c r="Q144" s="82" t="n">
        <v>142</v>
      </c>
      <c r="R144" s="38" t="n"/>
      <c r="S144" s="61" t="n">
        <v>0</v>
      </c>
      <c r="T144" s="68" t="n">
        <v>0</v>
      </c>
      <c r="U144" s="68" t="n">
        <v>0</v>
      </c>
      <c r="V144" s="68" t="n">
        <v>0</v>
      </c>
      <c r="W144" s="68" t="n">
        <v>0</v>
      </c>
      <c r="X144" s="68" t="n">
        <v>0</v>
      </c>
      <c r="Y144" s="68" t="n">
        <v>0</v>
      </c>
      <c r="Z144" s="68" t="n">
        <v>0</v>
      </c>
      <c r="AA144" s="68" t="n">
        <v>0</v>
      </c>
      <c r="AB144" s="68" t="n">
        <v>0</v>
      </c>
      <c r="AC144" s="68" t="n">
        <v>0</v>
      </c>
      <c r="AD144" s="68" t="n">
        <v>0</v>
      </c>
      <c r="AE144" s="68" t="n">
        <v>0</v>
      </c>
      <c r="AF144" s="79" t="n">
        <v>0</v>
      </c>
      <c r="AG144" s="74" t="n">
        <v>0</v>
      </c>
      <c r="AH144" s="82" t="n">
        <v>142</v>
      </c>
    </row>
    <row r="145" ht="18" customHeight="1">
      <c r="C145" s="68">
        <f>_xlfn.XLOOKUP($A145,'01'!$G$3:$G$100,'01'!$R$3:$R$100,"-")</f>
        <v/>
      </c>
      <c r="D145" s="68">
        <f>_xlfn.XLOOKUP($A145,'02'!$G$3:$G$100,'02'!$R$3:$R$100,"-")</f>
        <v/>
      </c>
      <c r="E145" s="68">
        <f>_xlfn.XLOOKUP($A145,'03'!$G$3:$G$100,'03'!$R$3:$R$100,"-")</f>
        <v/>
      </c>
      <c r="F145" s="68">
        <f>_xlfn.XLOOKUP($A145,'04'!$G$3:$G$100,'04'!$R$3:$R$100,"-")</f>
        <v/>
      </c>
      <c r="G145" s="68">
        <f>_xlfn.XLOOKUP($A145,'05'!$G$3:$G$100,'05'!$R$3:$R$100,"-")</f>
        <v/>
      </c>
      <c r="H145" s="68">
        <f>_xlfn.XLOOKUP($A145,'06'!$G$3:$G$100,'06'!$R$3:$R$100,"-")</f>
        <v/>
      </c>
      <c r="I145" s="68">
        <f>_xlfn.XLOOKUP($A145,'07'!$G$3:$G$100,'07'!$R$3:$R$100,"-")</f>
        <v/>
      </c>
      <c r="J145" s="68">
        <f>_xlfn.XLOOKUP($A145,'08'!$G$3:$G$100,'08'!$R$3:$R$100,"-")</f>
        <v/>
      </c>
      <c r="K145" s="68">
        <f>_xlfn.XLOOKUP($A145,'09'!$G$3:$G$100,'09'!$R$3:$R$100,"-")</f>
        <v/>
      </c>
      <c r="L145" s="68">
        <f>_xlfn.XLOOKUP($A145,'10'!$G$3:$G$100,'10'!$R$3:$R$100,"-")</f>
        <v/>
      </c>
      <c r="M145" s="68">
        <f>_xlfn.XLOOKUP($A145,'11'!$G$3:$G$100,'11'!$R$3:$R$100,"-")</f>
        <v/>
      </c>
      <c r="N145" s="68">
        <f>_xlfn.XLOOKUP($A145,'12'!$G$3:$G$100,'12'!$R$3:$R$100,"-")</f>
        <v/>
      </c>
      <c r="O145" s="79">
        <f>SUM(C145:N145)</f>
        <v/>
      </c>
      <c r="P145" s="74" t="n"/>
      <c r="Q145" s="82" t="n">
        <v>143</v>
      </c>
      <c r="R145" s="38" t="n"/>
      <c r="S145" s="61" t="n">
        <v>0</v>
      </c>
      <c r="T145" s="68" t="n">
        <v>0</v>
      </c>
      <c r="U145" s="68" t="n">
        <v>0</v>
      </c>
      <c r="V145" s="68" t="n">
        <v>0</v>
      </c>
      <c r="W145" s="68" t="n">
        <v>0</v>
      </c>
      <c r="X145" s="68" t="n">
        <v>0</v>
      </c>
      <c r="Y145" s="68" t="n">
        <v>0</v>
      </c>
      <c r="Z145" s="68" t="n">
        <v>0</v>
      </c>
      <c r="AA145" s="68" t="n">
        <v>0</v>
      </c>
      <c r="AB145" s="68" t="n">
        <v>0</v>
      </c>
      <c r="AC145" s="68" t="n">
        <v>0</v>
      </c>
      <c r="AD145" s="68" t="n">
        <v>0</v>
      </c>
      <c r="AE145" s="68" t="n">
        <v>0</v>
      </c>
      <c r="AF145" s="79" t="n">
        <v>0</v>
      </c>
      <c r="AG145" s="74" t="n">
        <v>0</v>
      </c>
      <c r="AH145" s="82" t="n">
        <v>143</v>
      </c>
    </row>
    <row r="146" ht="18" customHeight="1">
      <c r="C146" s="68">
        <f>_xlfn.XLOOKUP($A146,'01'!$G$3:$G$100,'01'!$R$3:$R$100,"-")</f>
        <v/>
      </c>
      <c r="D146" s="68">
        <f>_xlfn.XLOOKUP($A146,'02'!$G$3:$G$100,'02'!$R$3:$R$100,"-")</f>
        <v/>
      </c>
      <c r="E146" s="68">
        <f>_xlfn.XLOOKUP($A146,'03'!$G$3:$G$100,'03'!$R$3:$R$100,"-")</f>
        <v/>
      </c>
      <c r="F146" s="68">
        <f>_xlfn.XLOOKUP($A146,'04'!$G$3:$G$100,'04'!$R$3:$R$100,"-")</f>
        <v/>
      </c>
      <c r="G146" s="68">
        <f>_xlfn.XLOOKUP($A146,'05'!$G$3:$G$100,'05'!$R$3:$R$100,"-")</f>
        <v/>
      </c>
      <c r="H146" s="68">
        <f>_xlfn.XLOOKUP($A146,'06'!$G$3:$G$100,'06'!$R$3:$R$100,"-")</f>
        <v/>
      </c>
      <c r="I146" s="68">
        <f>_xlfn.XLOOKUP($A146,'07'!$G$3:$G$100,'07'!$R$3:$R$100,"-")</f>
        <v/>
      </c>
      <c r="J146" s="68">
        <f>_xlfn.XLOOKUP($A146,'08'!$G$3:$G$100,'08'!$R$3:$R$100,"-")</f>
        <v/>
      </c>
      <c r="K146" s="68">
        <f>_xlfn.XLOOKUP($A146,'09'!$G$3:$G$100,'09'!$R$3:$R$100,"-")</f>
        <v/>
      </c>
      <c r="L146" s="68">
        <f>_xlfn.XLOOKUP($A146,'10'!$G$3:$G$100,'10'!$R$3:$R$100,"-")</f>
        <v/>
      </c>
      <c r="M146" s="68">
        <f>_xlfn.XLOOKUP($A146,'11'!$G$3:$G$100,'11'!$R$3:$R$100,"-")</f>
        <v/>
      </c>
      <c r="N146" s="68">
        <f>_xlfn.XLOOKUP($A146,'12'!$G$3:$G$100,'12'!$R$3:$R$100,"-")</f>
        <v/>
      </c>
      <c r="O146" s="79">
        <f>SUM(C146:N146)</f>
        <v/>
      </c>
      <c r="P146" s="74" t="n"/>
      <c r="Q146" s="82" t="n">
        <v>144</v>
      </c>
      <c r="R146" s="38" t="n"/>
      <c r="S146" s="61" t="n">
        <v>0</v>
      </c>
      <c r="T146" s="68" t="n">
        <v>0</v>
      </c>
      <c r="U146" s="68" t="n">
        <v>0</v>
      </c>
      <c r="V146" s="68" t="n">
        <v>0</v>
      </c>
      <c r="W146" s="68" t="n">
        <v>0</v>
      </c>
      <c r="X146" s="68" t="n">
        <v>0</v>
      </c>
      <c r="Y146" s="68" t="n">
        <v>0</v>
      </c>
      <c r="Z146" s="68" t="n">
        <v>0</v>
      </c>
      <c r="AA146" s="68" t="n">
        <v>0</v>
      </c>
      <c r="AB146" s="68" t="n">
        <v>0</v>
      </c>
      <c r="AC146" s="68" t="n">
        <v>0</v>
      </c>
      <c r="AD146" s="68" t="n">
        <v>0</v>
      </c>
      <c r="AE146" s="68" t="n">
        <v>0</v>
      </c>
      <c r="AF146" s="79" t="n">
        <v>0</v>
      </c>
      <c r="AG146" s="74" t="n">
        <v>0</v>
      </c>
      <c r="AH146" s="82" t="n">
        <v>144</v>
      </c>
    </row>
    <row r="147" ht="18" customHeight="1">
      <c r="C147" s="68">
        <f>_xlfn.XLOOKUP($A147,'01'!$G$3:$G$100,'01'!$R$3:$R$100,"-")</f>
        <v/>
      </c>
      <c r="D147" s="68">
        <f>_xlfn.XLOOKUP($A147,'02'!$G$3:$G$100,'02'!$R$3:$R$100,"-")</f>
        <v/>
      </c>
      <c r="E147" s="68">
        <f>_xlfn.XLOOKUP($A147,'03'!$G$3:$G$100,'03'!$R$3:$R$100,"-")</f>
        <v/>
      </c>
      <c r="F147" s="68">
        <f>_xlfn.XLOOKUP($A147,'04'!$G$3:$G$100,'04'!$R$3:$R$100,"-")</f>
        <v/>
      </c>
      <c r="G147" s="68">
        <f>_xlfn.XLOOKUP($A147,'05'!$G$3:$G$100,'05'!$R$3:$R$100,"-")</f>
        <v/>
      </c>
      <c r="H147" s="68">
        <f>_xlfn.XLOOKUP($A147,'06'!$G$3:$G$100,'06'!$R$3:$R$100,"-")</f>
        <v/>
      </c>
      <c r="I147" s="68">
        <f>_xlfn.XLOOKUP($A147,'07'!$G$3:$G$100,'07'!$R$3:$R$100,"-")</f>
        <v/>
      </c>
      <c r="J147" s="68">
        <f>_xlfn.XLOOKUP($A147,'08'!$G$3:$G$100,'08'!$R$3:$R$100,"-")</f>
        <v/>
      </c>
      <c r="K147" s="68">
        <f>_xlfn.XLOOKUP($A147,'09'!$G$3:$G$100,'09'!$R$3:$R$100,"-")</f>
        <v/>
      </c>
      <c r="L147" s="68">
        <f>_xlfn.XLOOKUP($A147,'10'!$G$3:$G$100,'10'!$R$3:$R$100,"-")</f>
        <v/>
      </c>
      <c r="M147" s="68">
        <f>_xlfn.XLOOKUP($A147,'11'!$G$3:$G$100,'11'!$R$3:$R$100,"-")</f>
        <v/>
      </c>
      <c r="N147" s="68">
        <f>_xlfn.XLOOKUP($A147,'12'!$G$3:$G$100,'12'!$R$3:$R$100,"-")</f>
        <v/>
      </c>
      <c r="O147" s="79">
        <f>SUM(C147:N147)</f>
        <v/>
      </c>
      <c r="P147" s="74" t="n"/>
      <c r="Q147" s="83" t="n">
        <v>145</v>
      </c>
      <c r="R147" s="38" t="n"/>
      <c r="S147" s="61" t="n">
        <v>0</v>
      </c>
      <c r="T147" s="68" t="n">
        <v>0</v>
      </c>
      <c r="U147" s="68" t="n">
        <v>0</v>
      </c>
      <c r="V147" s="68" t="n">
        <v>0</v>
      </c>
      <c r="W147" s="68" t="n">
        <v>0</v>
      </c>
      <c r="X147" s="68" t="n">
        <v>0</v>
      </c>
      <c r="Y147" s="68" t="n">
        <v>0</v>
      </c>
      <c r="Z147" s="68" t="n">
        <v>0</v>
      </c>
      <c r="AA147" s="68" t="n">
        <v>0</v>
      </c>
      <c r="AB147" s="68" t="n">
        <v>0</v>
      </c>
      <c r="AC147" s="68" t="n">
        <v>0</v>
      </c>
      <c r="AD147" s="68" t="n">
        <v>0</v>
      </c>
      <c r="AE147" s="68" t="n">
        <v>0</v>
      </c>
      <c r="AF147" s="79" t="n">
        <v>0</v>
      </c>
      <c r="AG147" s="74" t="n">
        <v>0</v>
      </c>
      <c r="AH147" s="83" t="n">
        <v>145</v>
      </c>
    </row>
    <row r="148" ht="18" customHeight="1">
      <c r="C148" s="68">
        <f>_xlfn.XLOOKUP($A148,'01'!$G$3:$G$100,'01'!$R$3:$R$100,"-")</f>
        <v/>
      </c>
      <c r="D148" s="68">
        <f>_xlfn.XLOOKUP($A148,'02'!$G$3:$G$100,'02'!$R$3:$R$100,"-")</f>
        <v/>
      </c>
      <c r="E148" s="68">
        <f>_xlfn.XLOOKUP($A148,'03'!$G$3:$G$100,'03'!$R$3:$R$100,"-")</f>
        <v/>
      </c>
      <c r="F148" s="68">
        <f>_xlfn.XLOOKUP($A148,'04'!$G$3:$G$100,'04'!$R$3:$R$100,"-")</f>
        <v/>
      </c>
      <c r="G148" s="68">
        <f>_xlfn.XLOOKUP($A148,'05'!$G$3:$G$100,'05'!$R$3:$R$100,"-")</f>
        <v/>
      </c>
      <c r="H148" s="68">
        <f>_xlfn.XLOOKUP($A148,'06'!$G$3:$G$100,'06'!$R$3:$R$100,"-")</f>
        <v/>
      </c>
      <c r="I148" s="68">
        <f>_xlfn.XLOOKUP($A148,'07'!$G$3:$G$100,'07'!$R$3:$R$100,"-")</f>
        <v/>
      </c>
      <c r="J148" s="68">
        <f>_xlfn.XLOOKUP($A148,'08'!$G$3:$G$100,'08'!$R$3:$R$100,"-")</f>
        <v/>
      </c>
      <c r="K148" s="68">
        <f>_xlfn.XLOOKUP($A148,'09'!$G$3:$G$100,'09'!$R$3:$R$100,"-")</f>
        <v/>
      </c>
      <c r="L148" s="68">
        <f>_xlfn.XLOOKUP($A148,'10'!$G$3:$G$100,'10'!$R$3:$R$100,"-")</f>
        <v/>
      </c>
      <c r="M148" s="68">
        <f>_xlfn.XLOOKUP($A148,'11'!$G$3:$G$100,'11'!$R$3:$R$100,"-")</f>
        <v/>
      </c>
      <c r="N148" s="68">
        <f>_xlfn.XLOOKUP($A148,'12'!$G$3:$G$100,'12'!$R$3:$R$100,"-")</f>
        <v/>
      </c>
      <c r="O148" s="79">
        <f>SUM(C148:N148)</f>
        <v/>
      </c>
      <c r="P148" s="74" t="n"/>
      <c r="Q148" s="82" t="n">
        <v>146</v>
      </c>
      <c r="R148" s="38" t="n"/>
      <c r="S148" s="61" t="n">
        <v>0</v>
      </c>
      <c r="T148" s="68" t="n">
        <v>0</v>
      </c>
      <c r="U148" s="68" t="n">
        <v>0</v>
      </c>
      <c r="V148" s="68" t="n">
        <v>0</v>
      </c>
      <c r="W148" s="68" t="n">
        <v>0</v>
      </c>
      <c r="X148" s="68" t="n">
        <v>0</v>
      </c>
      <c r="Y148" s="68" t="n">
        <v>0</v>
      </c>
      <c r="Z148" s="68" t="n">
        <v>0</v>
      </c>
      <c r="AA148" s="68" t="n">
        <v>0</v>
      </c>
      <c r="AB148" s="68" t="n">
        <v>0</v>
      </c>
      <c r="AC148" s="68" t="n">
        <v>0</v>
      </c>
      <c r="AD148" s="68" t="n">
        <v>0</v>
      </c>
      <c r="AE148" s="68" t="n">
        <v>0</v>
      </c>
      <c r="AF148" s="79" t="n">
        <v>0</v>
      </c>
      <c r="AG148" s="74" t="n">
        <v>0</v>
      </c>
      <c r="AH148" s="82" t="n">
        <v>146</v>
      </c>
    </row>
    <row r="149" ht="18" customHeight="1">
      <c r="C149" s="68">
        <f>_xlfn.XLOOKUP($A149,'01'!$G$3:$G$100,'01'!$R$3:$R$100,"-")</f>
        <v/>
      </c>
      <c r="D149" s="68">
        <f>_xlfn.XLOOKUP($A149,'02'!$G$3:$G$100,'02'!$R$3:$R$100,"-")</f>
        <v/>
      </c>
      <c r="E149" s="68">
        <f>_xlfn.XLOOKUP($A149,'03'!$G$3:$G$100,'03'!$R$3:$R$100,"-")</f>
        <v/>
      </c>
      <c r="F149" s="68">
        <f>_xlfn.XLOOKUP($A149,'04'!$G$3:$G$100,'04'!$R$3:$R$100,"-")</f>
        <v/>
      </c>
      <c r="G149" s="68">
        <f>_xlfn.XLOOKUP($A149,'05'!$G$3:$G$100,'05'!$R$3:$R$100,"-")</f>
        <v/>
      </c>
      <c r="H149" s="68">
        <f>_xlfn.XLOOKUP($A149,'06'!$G$3:$G$100,'06'!$R$3:$R$100,"-")</f>
        <v/>
      </c>
      <c r="I149" s="68">
        <f>_xlfn.XLOOKUP($A149,'07'!$G$3:$G$100,'07'!$R$3:$R$100,"-")</f>
        <v/>
      </c>
      <c r="J149" s="68">
        <f>_xlfn.XLOOKUP($A149,'08'!$G$3:$G$100,'08'!$R$3:$R$100,"-")</f>
        <v/>
      </c>
      <c r="K149" s="68">
        <f>_xlfn.XLOOKUP($A149,'09'!$G$3:$G$100,'09'!$R$3:$R$100,"-")</f>
        <v/>
      </c>
      <c r="L149" s="68">
        <f>_xlfn.XLOOKUP($A149,'10'!$G$3:$G$100,'10'!$R$3:$R$100,"-")</f>
        <v/>
      </c>
      <c r="M149" s="68">
        <f>_xlfn.XLOOKUP($A149,'11'!$G$3:$G$100,'11'!$R$3:$R$100,"-")</f>
        <v/>
      </c>
      <c r="N149" s="68">
        <f>_xlfn.XLOOKUP($A149,'12'!$G$3:$G$100,'12'!$R$3:$R$100,"-")</f>
        <v/>
      </c>
      <c r="O149" s="79">
        <f>SUM(C149:N149)</f>
        <v/>
      </c>
      <c r="P149" s="74" t="n"/>
      <c r="Q149" s="82" t="n">
        <v>147</v>
      </c>
      <c r="R149" s="38" t="n"/>
      <c r="S149" s="61" t="n">
        <v>0</v>
      </c>
      <c r="T149" s="68" t="n">
        <v>0</v>
      </c>
      <c r="U149" s="68" t="n">
        <v>0</v>
      </c>
      <c r="V149" s="68" t="n">
        <v>0</v>
      </c>
      <c r="W149" s="68" t="n">
        <v>0</v>
      </c>
      <c r="X149" s="68" t="n">
        <v>0</v>
      </c>
      <c r="Y149" s="68" t="n">
        <v>0</v>
      </c>
      <c r="Z149" s="68" t="n">
        <v>0</v>
      </c>
      <c r="AA149" s="68" t="n">
        <v>0</v>
      </c>
      <c r="AB149" s="68" t="n">
        <v>0</v>
      </c>
      <c r="AC149" s="68" t="n">
        <v>0</v>
      </c>
      <c r="AD149" s="68" t="n">
        <v>0</v>
      </c>
      <c r="AE149" s="68" t="n">
        <v>0</v>
      </c>
      <c r="AF149" s="79" t="n">
        <v>0</v>
      </c>
      <c r="AG149" s="74" t="n">
        <v>0</v>
      </c>
      <c r="AH149" s="82" t="n">
        <v>147</v>
      </c>
    </row>
    <row r="150" ht="18" customHeight="1">
      <c r="C150" s="68">
        <f>_xlfn.XLOOKUP($A150,'01'!$G$3:$G$100,'01'!$R$3:$R$100,"-")</f>
        <v/>
      </c>
      <c r="D150" s="68">
        <f>_xlfn.XLOOKUP($A150,'02'!$G$3:$G$100,'02'!$R$3:$R$100,"-")</f>
        <v/>
      </c>
      <c r="E150" s="68">
        <f>_xlfn.XLOOKUP($A150,'03'!$G$3:$G$100,'03'!$R$3:$R$100,"-")</f>
        <v/>
      </c>
      <c r="F150" s="68">
        <f>_xlfn.XLOOKUP($A150,'04'!$G$3:$G$100,'04'!$R$3:$R$100,"-")</f>
        <v/>
      </c>
      <c r="G150" s="68">
        <f>_xlfn.XLOOKUP($A150,'05'!$G$3:$G$100,'05'!$R$3:$R$100,"-")</f>
        <v/>
      </c>
      <c r="H150" s="68">
        <f>_xlfn.XLOOKUP($A150,'06'!$G$3:$G$100,'06'!$R$3:$R$100,"-")</f>
        <v/>
      </c>
      <c r="I150" s="68">
        <f>_xlfn.XLOOKUP($A150,'07'!$G$3:$G$100,'07'!$R$3:$R$100,"-")</f>
        <v/>
      </c>
      <c r="J150" s="68">
        <f>_xlfn.XLOOKUP($A150,'08'!$G$3:$G$100,'08'!$R$3:$R$100,"-")</f>
        <v/>
      </c>
      <c r="K150" s="68">
        <f>_xlfn.XLOOKUP($A150,'09'!$G$3:$G$100,'09'!$R$3:$R$100,"-")</f>
        <v/>
      </c>
      <c r="L150" s="68">
        <f>_xlfn.XLOOKUP($A150,'10'!$G$3:$G$100,'10'!$R$3:$R$100,"-")</f>
        <v/>
      </c>
      <c r="M150" s="68">
        <f>_xlfn.XLOOKUP($A150,'11'!$G$3:$G$100,'11'!$R$3:$R$100,"-")</f>
        <v/>
      </c>
      <c r="N150" s="68">
        <f>_xlfn.XLOOKUP($A150,'12'!$G$3:$G$100,'12'!$R$3:$R$100,"-")</f>
        <v/>
      </c>
      <c r="O150" s="79">
        <f>SUM(C150:N150)</f>
        <v/>
      </c>
      <c r="P150" s="74" t="n"/>
      <c r="Q150" s="82" t="n">
        <v>148</v>
      </c>
      <c r="R150" s="38" t="n"/>
      <c r="S150" s="61" t="n">
        <v>0</v>
      </c>
      <c r="T150" s="68" t="n">
        <v>0</v>
      </c>
      <c r="U150" s="68" t="n">
        <v>0</v>
      </c>
      <c r="V150" s="68" t="n">
        <v>0</v>
      </c>
      <c r="W150" s="68" t="n">
        <v>0</v>
      </c>
      <c r="X150" s="68" t="n">
        <v>0</v>
      </c>
      <c r="Y150" s="68" t="n">
        <v>0</v>
      </c>
      <c r="Z150" s="68" t="n">
        <v>0</v>
      </c>
      <c r="AA150" s="68" t="n">
        <v>0</v>
      </c>
      <c r="AB150" s="68" t="n">
        <v>0</v>
      </c>
      <c r="AC150" s="68" t="n">
        <v>0</v>
      </c>
      <c r="AD150" s="68" t="n">
        <v>0</v>
      </c>
      <c r="AE150" s="68" t="n">
        <v>0</v>
      </c>
      <c r="AF150" s="79" t="n">
        <v>0</v>
      </c>
      <c r="AG150" s="74" t="n">
        <v>0</v>
      </c>
      <c r="AH150" s="82" t="n">
        <v>148</v>
      </c>
    </row>
    <row r="151" ht="18" customHeight="1">
      <c r="C151" s="68">
        <f>_xlfn.XLOOKUP($A151,'01'!$G$3:$G$100,'01'!$R$3:$R$100,"-")</f>
        <v/>
      </c>
      <c r="D151" s="68">
        <f>_xlfn.XLOOKUP($A151,'02'!$G$3:$G$100,'02'!$R$3:$R$100,"-")</f>
        <v/>
      </c>
      <c r="E151" s="68">
        <f>_xlfn.XLOOKUP($A151,'03'!$G$3:$G$100,'03'!$R$3:$R$100,"-")</f>
        <v/>
      </c>
      <c r="F151" s="68">
        <f>_xlfn.XLOOKUP($A151,'04'!$G$3:$G$100,'04'!$R$3:$R$100,"-")</f>
        <v/>
      </c>
      <c r="G151" s="68">
        <f>_xlfn.XLOOKUP($A151,'05'!$G$3:$G$100,'05'!$R$3:$R$100,"-")</f>
        <v/>
      </c>
      <c r="H151" s="68">
        <f>_xlfn.XLOOKUP($A151,'06'!$G$3:$G$100,'06'!$R$3:$R$100,"-")</f>
        <v/>
      </c>
      <c r="I151" s="68">
        <f>_xlfn.XLOOKUP($A151,'07'!$G$3:$G$100,'07'!$R$3:$R$100,"-")</f>
        <v/>
      </c>
      <c r="J151" s="68">
        <f>_xlfn.XLOOKUP($A151,'08'!$G$3:$G$100,'08'!$R$3:$R$100,"-")</f>
        <v/>
      </c>
      <c r="K151" s="68">
        <f>_xlfn.XLOOKUP($A151,'09'!$G$3:$G$100,'09'!$R$3:$R$100,"-")</f>
        <v/>
      </c>
      <c r="L151" s="68">
        <f>_xlfn.XLOOKUP($A151,'10'!$G$3:$G$100,'10'!$R$3:$R$100,"-")</f>
        <v/>
      </c>
      <c r="M151" s="68">
        <f>_xlfn.XLOOKUP($A151,'11'!$G$3:$G$100,'11'!$R$3:$R$100,"-")</f>
        <v/>
      </c>
      <c r="N151" s="68">
        <f>_xlfn.XLOOKUP($A151,'12'!$G$3:$G$100,'12'!$R$3:$R$100,"-")</f>
        <v/>
      </c>
      <c r="O151" s="79">
        <f>SUM(C151:N151)</f>
        <v/>
      </c>
      <c r="P151" s="74" t="n"/>
      <c r="Q151" s="82" t="n">
        <v>149</v>
      </c>
      <c r="R151" s="38" t="n"/>
      <c r="S151" s="61" t="n">
        <v>0</v>
      </c>
      <c r="T151" s="68" t="n">
        <v>0</v>
      </c>
      <c r="U151" s="68" t="n">
        <v>0</v>
      </c>
      <c r="V151" s="68" t="n">
        <v>0</v>
      </c>
      <c r="W151" s="68" t="n">
        <v>0</v>
      </c>
      <c r="X151" s="68" t="n">
        <v>0</v>
      </c>
      <c r="Y151" s="68" t="n">
        <v>0</v>
      </c>
      <c r="Z151" s="68" t="n">
        <v>0</v>
      </c>
      <c r="AA151" s="68" t="n">
        <v>0</v>
      </c>
      <c r="AB151" s="68" t="n">
        <v>0</v>
      </c>
      <c r="AC151" s="68" t="n">
        <v>0</v>
      </c>
      <c r="AD151" s="68" t="n">
        <v>0</v>
      </c>
      <c r="AE151" s="68" t="n">
        <v>0</v>
      </c>
      <c r="AF151" s="79" t="n">
        <v>0</v>
      </c>
      <c r="AG151" s="74" t="n">
        <v>0</v>
      </c>
      <c r="AH151" s="82" t="n">
        <v>149</v>
      </c>
    </row>
    <row r="152" ht="18" customHeight="1">
      <c r="C152" s="68">
        <f>_xlfn.XLOOKUP($A152,'01'!$G$3:$G$100,'01'!$R$3:$R$100,"-")</f>
        <v/>
      </c>
      <c r="D152" s="68">
        <f>_xlfn.XLOOKUP($A152,'02'!$G$3:$G$100,'02'!$R$3:$R$100,"-")</f>
        <v/>
      </c>
      <c r="E152" s="68">
        <f>_xlfn.XLOOKUP($A152,'03'!$G$3:$G$100,'03'!$R$3:$R$100,"-")</f>
        <v/>
      </c>
      <c r="F152" s="68">
        <f>_xlfn.XLOOKUP($A152,'04'!$G$3:$G$100,'04'!$R$3:$R$100,"-")</f>
        <v/>
      </c>
      <c r="G152" s="68">
        <f>_xlfn.XLOOKUP($A152,'05'!$G$3:$G$100,'05'!$R$3:$R$100,"-")</f>
        <v/>
      </c>
      <c r="H152" s="68">
        <f>_xlfn.XLOOKUP($A152,'06'!$G$3:$G$100,'06'!$R$3:$R$100,"-")</f>
        <v/>
      </c>
      <c r="I152" s="68">
        <f>_xlfn.XLOOKUP($A152,'07'!$G$3:$G$100,'07'!$R$3:$R$100,"-")</f>
        <v/>
      </c>
      <c r="J152" s="68">
        <f>_xlfn.XLOOKUP($A152,'08'!$G$3:$G$100,'08'!$R$3:$R$100,"-")</f>
        <v/>
      </c>
      <c r="K152" s="68">
        <f>_xlfn.XLOOKUP($A152,'09'!$G$3:$G$100,'09'!$R$3:$R$100,"-")</f>
        <v/>
      </c>
      <c r="L152" s="68">
        <f>_xlfn.XLOOKUP($A152,'10'!$G$3:$G$100,'10'!$R$3:$R$100,"-")</f>
        <v/>
      </c>
      <c r="M152" s="68">
        <f>_xlfn.XLOOKUP($A152,'11'!$G$3:$G$100,'11'!$R$3:$R$100,"-")</f>
        <v/>
      </c>
      <c r="N152" s="68">
        <f>_xlfn.XLOOKUP($A152,'12'!$G$3:$G$100,'12'!$R$3:$R$100,"-")</f>
        <v/>
      </c>
      <c r="O152" s="79">
        <f>SUM(C152:N152)</f>
        <v/>
      </c>
      <c r="P152" s="74" t="n"/>
      <c r="Q152" s="82" t="n">
        <v>150</v>
      </c>
      <c r="R152" s="38" t="n"/>
      <c r="S152" s="61" t="n">
        <v>0</v>
      </c>
      <c r="T152" s="68" t="n">
        <v>0</v>
      </c>
      <c r="U152" s="68" t="n">
        <v>0</v>
      </c>
      <c r="V152" s="68" t="n">
        <v>0</v>
      </c>
      <c r="W152" s="68" t="n">
        <v>0</v>
      </c>
      <c r="X152" s="68" t="n">
        <v>0</v>
      </c>
      <c r="Y152" s="68" t="n">
        <v>0</v>
      </c>
      <c r="Z152" s="68" t="n">
        <v>0</v>
      </c>
      <c r="AA152" s="68" t="n">
        <v>0</v>
      </c>
      <c r="AB152" s="68" t="n">
        <v>0</v>
      </c>
      <c r="AC152" s="68" t="n">
        <v>0</v>
      </c>
      <c r="AD152" s="68" t="n">
        <v>0</v>
      </c>
      <c r="AE152" s="68" t="n">
        <v>0</v>
      </c>
      <c r="AF152" s="79" t="n">
        <v>0</v>
      </c>
      <c r="AG152" s="74" t="n">
        <v>0</v>
      </c>
      <c r="AH152" s="82" t="n">
        <v>150</v>
      </c>
    </row>
    <row r="153" ht="18" customHeight="1">
      <c r="C153" s="68">
        <f>_xlfn.XLOOKUP($A153,'01'!$G$3:$G$100,'01'!$R$3:$R$100,"-")</f>
        <v/>
      </c>
      <c r="D153" s="68">
        <f>_xlfn.XLOOKUP($A153,'02'!$G$3:$G$100,'02'!$R$3:$R$100,"-")</f>
        <v/>
      </c>
      <c r="E153" s="68">
        <f>_xlfn.XLOOKUP($A153,'03'!$G$3:$G$100,'03'!$R$3:$R$100,"-")</f>
        <v/>
      </c>
      <c r="F153" s="68">
        <f>_xlfn.XLOOKUP($A153,'04'!$G$3:$G$100,'04'!$R$3:$R$100,"-")</f>
        <v/>
      </c>
      <c r="G153" s="68">
        <f>_xlfn.XLOOKUP($A153,'05'!$G$3:$G$100,'05'!$R$3:$R$100,"-")</f>
        <v/>
      </c>
      <c r="H153" s="68">
        <f>_xlfn.XLOOKUP($A153,'06'!$G$3:$G$100,'06'!$R$3:$R$100,"-")</f>
        <v/>
      </c>
      <c r="I153" s="68">
        <f>_xlfn.XLOOKUP($A153,'07'!$G$3:$G$100,'07'!$R$3:$R$100,"-")</f>
        <v/>
      </c>
      <c r="J153" s="68">
        <f>_xlfn.XLOOKUP($A153,'08'!$G$3:$G$100,'08'!$R$3:$R$100,"-")</f>
        <v/>
      </c>
      <c r="K153" s="68">
        <f>_xlfn.XLOOKUP($A153,'09'!$G$3:$G$100,'09'!$R$3:$R$100,"-")</f>
        <v/>
      </c>
      <c r="L153" s="68">
        <f>_xlfn.XLOOKUP($A153,'10'!$G$3:$G$100,'10'!$R$3:$R$100,"-")</f>
        <v/>
      </c>
      <c r="M153" s="68">
        <f>_xlfn.XLOOKUP($A153,'11'!$G$3:$G$100,'11'!$R$3:$R$100,"-")</f>
        <v/>
      </c>
      <c r="N153" s="68">
        <f>_xlfn.XLOOKUP($A153,'12'!$G$3:$G$100,'12'!$R$3:$R$100,"-")</f>
        <v/>
      </c>
      <c r="O153" s="79">
        <f>SUM(C153:N153)</f>
        <v/>
      </c>
      <c r="P153" s="74" t="n"/>
      <c r="Q153" s="82" t="n">
        <v>151</v>
      </c>
      <c r="R153" s="38" t="n"/>
      <c r="S153" s="61" t="n">
        <v>0</v>
      </c>
      <c r="T153" s="68" t="n">
        <v>0</v>
      </c>
      <c r="U153" s="68" t="n">
        <v>0</v>
      </c>
      <c r="V153" s="68" t="n">
        <v>0</v>
      </c>
      <c r="W153" s="68" t="n">
        <v>0</v>
      </c>
      <c r="X153" s="68" t="n">
        <v>0</v>
      </c>
      <c r="Y153" s="68" t="n">
        <v>0</v>
      </c>
      <c r="Z153" s="68" t="n">
        <v>0</v>
      </c>
      <c r="AA153" s="68" t="n">
        <v>0</v>
      </c>
      <c r="AB153" s="68" t="n">
        <v>0</v>
      </c>
      <c r="AC153" s="68" t="n">
        <v>0</v>
      </c>
      <c r="AD153" s="68" t="n">
        <v>0</v>
      </c>
      <c r="AE153" s="68" t="n">
        <v>0</v>
      </c>
      <c r="AF153" s="79" t="n">
        <v>0</v>
      </c>
      <c r="AG153" s="74" t="n">
        <v>0</v>
      </c>
      <c r="AH153" s="82" t="n">
        <v>151</v>
      </c>
    </row>
    <row r="154" ht="18" customHeight="1">
      <c r="C154" s="68">
        <f>_xlfn.XLOOKUP($A154,'01'!$G$3:$G$100,'01'!$R$3:$R$100,"-")</f>
        <v/>
      </c>
      <c r="D154" s="68">
        <f>_xlfn.XLOOKUP($A154,'02'!$G$3:$G$100,'02'!$R$3:$R$100,"-")</f>
        <v/>
      </c>
      <c r="E154" s="68">
        <f>_xlfn.XLOOKUP($A154,'03'!$G$3:$G$100,'03'!$R$3:$R$100,"-")</f>
        <v/>
      </c>
      <c r="F154" s="68">
        <f>_xlfn.XLOOKUP($A154,'04'!$G$3:$G$100,'04'!$R$3:$R$100,"-")</f>
        <v/>
      </c>
      <c r="G154" s="68">
        <f>_xlfn.XLOOKUP($A154,'05'!$G$3:$G$100,'05'!$R$3:$R$100,"-")</f>
        <v/>
      </c>
      <c r="H154" s="68">
        <f>_xlfn.XLOOKUP($A154,'06'!$G$3:$G$100,'06'!$R$3:$R$100,"-")</f>
        <v/>
      </c>
      <c r="I154" s="68">
        <f>_xlfn.XLOOKUP($A154,'07'!$G$3:$G$100,'07'!$R$3:$R$100,"-")</f>
        <v/>
      </c>
      <c r="J154" s="68">
        <f>_xlfn.XLOOKUP($A154,'08'!$G$3:$G$100,'08'!$R$3:$R$100,"-")</f>
        <v/>
      </c>
      <c r="K154" s="68">
        <f>_xlfn.XLOOKUP($A154,'09'!$G$3:$G$100,'09'!$R$3:$R$100,"-")</f>
        <v/>
      </c>
      <c r="L154" s="68">
        <f>_xlfn.XLOOKUP($A154,'10'!$G$3:$G$100,'10'!$R$3:$R$100,"-")</f>
        <v/>
      </c>
      <c r="M154" s="68">
        <f>_xlfn.XLOOKUP($A154,'11'!$G$3:$G$100,'11'!$R$3:$R$100,"-")</f>
        <v/>
      </c>
      <c r="N154" s="68">
        <f>_xlfn.XLOOKUP($A154,'12'!$G$3:$G$100,'12'!$R$3:$R$100,"-")</f>
        <v/>
      </c>
      <c r="O154" s="79">
        <f>SUM(C154:N154)</f>
        <v/>
      </c>
      <c r="P154" s="74" t="n"/>
      <c r="Q154" s="82" t="n">
        <v>152</v>
      </c>
      <c r="R154" s="38" t="n"/>
      <c r="S154" s="61" t="n">
        <v>0</v>
      </c>
      <c r="T154" s="68" t="n">
        <v>0</v>
      </c>
      <c r="U154" s="68" t="n">
        <v>0</v>
      </c>
      <c r="V154" s="68" t="n">
        <v>0</v>
      </c>
      <c r="W154" s="68" t="n">
        <v>0</v>
      </c>
      <c r="X154" s="68" t="n">
        <v>0</v>
      </c>
      <c r="Y154" s="68" t="n">
        <v>0</v>
      </c>
      <c r="Z154" s="68" t="n">
        <v>0</v>
      </c>
      <c r="AA154" s="68" t="n">
        <v>0</v>
      </c>
      <c r="AB154" s="68" t="n">
        <v>0</v>
      </c>
      <c r="AC154" s="68" t="n">
        <v>0</v>
      </c>
      <c r="AD154" s="68" t="n">
        <v>0</v>
      </c>
      <c r="AE154" s="68" t="n">
        <v>0</v>
      </c>
      <c r="AF154" s="79" t="n">
        <v>0</v>
      </c>
      <c r="AG154" s="74" t="n">
        <v>0</v>
      </c>
      <c r="AH154" s="82" t="n">
        <v>152</v>
      </c>
    </row>
    <row r="155" ht="18" customHeight="1">
      <c r="C155" s="68">
        <f>_xlfn.XLOOKUP($A155,'01'!$G$3:$G$100,'01'!$R$3:$R$100,"-")</f>
        <v/>
      </c>
      <c r="D155" s="68">
        <f>_xlfn.XLOOKUP($A155,'02'!$G$3:$G$100,'02'!$R$3:$R$100,"-")</f>
        <v/>
      </c>
      <c r="E155" s="68">
        <f>_xlfn.XLOOKUP($A155,'03'!$G$3:$G$100,'03'!$R$3:$R$100,"-")</f>
        <v/>
      </c>
      <c r="F155" s="68">
        <f>_xlfn.XLOOKUP($A155,'04'!$G$3:$G$100,'04'!$R$3:$R$100,"-")</f>
        <v/>
      </c>
      <c r="G155" s="68">
        <f>_xlfn.XLOOKUP($A155,'05'!$G$3:$G$100,'05'!$R$3:$R$100,"-")</f>
        <v/>
      </c>
      <c r="H155" s="68">
        <f>_xlfn.XLOOKUP($A155,'06'!$G$3:$G$100,'06'!$R$3:$R$100,"-")</f>
        <v/>
      </c>
      <c r="I155" s="68">
        <f>_xlfn.XLOOKUP($A155,'07'!$G$3:$G$100,'07'!$R$3:$R$100,"-")</f>
        <v/>
      </c>
      <c r="J155" s="68">
        <f>_xlfn.XLOOKUP($A155,'08'!$G$3:$G$100,'08'!$R$3:$R$100,"-")</f>
        <v/>
      </c>
      <c r="K155" s="68">
        <f>_xlfn.XLOOKUP($A155,'09'!$G$3:$G$100,'09'!$R$3:$R$100,"-")</f>
        <v/>
      </c>
      <c r="L155" s="68">
        <f>_xlfn.XLOOKUP($A155,'10'!$G$3:$G$100,'10'!$R$3:$R$100,"-")</f>
        <v/>
      </c>
      <c r="M155" s="68">
        <f>_xlfn.XLOOKUP($A155,'11'!$G$3:$G$100,'11'!$R$3:$R$100,"-")</f>
        <v/>
      </c>
      <c r="N155" s="68">
        <f>_xlfn.XLOOKUP($A155,'12'!$G$3:$G$100,'12'!$R$3:$R$100,"-")</f>
        <v/>
      </c>
      <c r="O155" s="79">
        <f>SUM(C155:N155)</f>
        <v/>
      </c>
      <c r="P155" s="74" t="n"/>
      <c r="Q155" s="82" t="n">
        <v>153</v>
      </c>
      <c r="R155" s="38" t="n"/>
      <c r="S155" s="61" t="n">
        <v>0</v>
      </c>
      <c r="T155" s="68" t="n">
        <v>0</v>
      </c>
      <c r="U155" s="68" t="n">
        <v>0</v>
      </c>
      <c r="V155" s="68" t="n">
        <v>0</v>
      </c>
      <c r="W155" s="68" t="n">
        <v>0</v>
      </c>
      <c r="X155" s="68" t="n">
        <v>0</v>
      </c>
      <c r="Y155" s="68" t="n">
        <v>0</v>
      </c>
      <c r="Z155" s="68" t="n">
        <v>0</v>
      </c>
      <c r="AA155" s="68" t="n">
        <v>0</v>
      </c>
      <c r="AB155" s="68" t="n">
        <v>0</v>
      </c>
      <c r="AC155" s="68" t="n">
        <v>0</v>
      </c>
      <c r="AD155" s="68" t="n">
        <v>0</v>
      </c>
      <c r="AE155" s="68" t="n">
        <v>0</v>
      </c>
      <c r="AF155" s="79" t="n">
        <v>0</v>
      </c>
      <c r="AG155" s="74" t="n">
        <v>0</v>
      </c>
      <c r="AH155" s="82" t="n">
        <v>153</v>
      </c>
    </row>
    <row r="156" ht="18" customHeight="1">
      <c r="C156" s="68">
        <f>_xlfn.XLOOKUP($A156,'01'!$G$3:$G$100,'01'!$R$3:$R$100,"-")</f>
        <v/>
      </c>
      <c r="D156" s="68">
        <f>_xlfn.XLOOKUP($A156,'02'!$G$3:$G$100,'02'!$R$3:$R$100,"-")</f>
        <v/>
      </c>
      <c r="E156" s="68">
        <f>_xlfn.XLOOKUP($A156,'03'!$G$3:$G$100,'03'!$R$3:$R$100,"-")</f>
        <v/>
      </c>
      <c r="F156" s="68">
        <f>_xlfn.XLOOKUP($A156,'04'!$G$3:$G$100,'04'!$R$3:$R$100,"-")</f>
        <v/>
      </c>
      <c r="G156" s="68">
        <f>_xlfn.XLOOKUP($A156,'05'!$G$3:$G$100,'05'!$R$3:$R$100,"-")</f>
        <v/>
      </c>
      <c r="H156" s="68">
        <f>_xlfn.XLOOKUP($A156,'06'!$G$3:$G$100,'06'!$R$3:$R$100,"-")</f>
        <v/>
      </c>
      <c r="I156" s="68">
        <f>_xlfn.XLOOKUP($A156,'07'!$G$3:$G$100,'07'!$R$3:$R$100,"-")</f>
        <v/>
      </c>
      <c r="J156" s="68">
        <f>_xlfn.XLOOKUP($A156,'08'!$G$3:$G$100,'08'!$R$3:$R$100,"-")</f>
        <v/>
      </c>
      <c r="K156" s="68">
        <f>_xlfn.XLOOKUP($A156,'09'!$G$3:$G$100,'09'!$R$3:$R$100,"-")</f>
        <v/>
      </c>
      <c r="L156" s="68">
        <f>_xlfn.XLOOKUP($A156,'10'!$G$3:$G$100,'10'!$R$3:$R$100,"-")</f>
        <v/>
      </c>
      <c r="M156" s="68">
        <f>_xlfn.XLOOKUP($A156,'11'!$G$3:$G$100,'11'!$R$3:$R$100,"-")</f>
        <v/>
      </c>
      <c r="N156" s="68">
        <f>_xlfn.XLOOKUP($A156,'12'!$G$3:$G$100,'12'!$R$3:$R$100,"-")</f>
        <v/>
      </c>
      <c r="O156" s="79">
        <f>SUM(C156:N156)</f>
        <v/>
      </c>
      <c r="P156" s="74" t="n"/>
      <c r="Q156" s="82" t="n">
        <v>154</v>
      </c>
      <c r="R156" s="38" t="n"/>
      <c r="S156" s="61" t="n">
        <v>0</v>
      </c>
      <c r="T156" s="68" t="n">
        <v>0</v>
      </c>
      <c r="U156" s="68" t="n">
        <v>0</v>
      </c>
      <c r="V156" s="68" t="n">
        <v>0</v>
      </c>
      <c r="W156" s="68" t="n">
        <v>0</v>
      </c>
      <c r="X156" s="68" t="n">
        <v>0</v>
      </c>
      <c r="Y156" s="68" t="n">
        <v>0</v>
      </c>
      <c r="Z156" s="68" t="n">
        <v>0</v>
      </c>
      <c r="AA156" s="68" t="n">
        <v>0</v>
      </c>
      <c r="AB156" s="68" t="n">
        <v>0</v>
      </c>
      <c r="AC156" s="68" t="n">
        <v>0</v>
      </c>
      <c r="AD156" s="68" t="n">
        <v>0</v>
      </c>
      <c r="AE156" s="68" t="n">
        <v>0</v>
      </c>
      <c r="AF156" s="79" t="n">
        <v>0</v>
      </c>
      <c r="AG156" s="74" t="n">
        <v>0</v>
      </c>
      <c r="AH156" s="82" t="n">
        <v>154</v>
      </c>
    </row>
    <row r="157" ht="18" customHeight="1">
      <c r="C157" s="68">
        <f>_xlfn.XLOOKUP($A157,'01'!$G$3:$G$100,'01'!$R$3:$R$100,"-")</f>
        <v/>
      </c>
      <c r="D157" s="68">
        <f>_xlfn.XLOOKUP($A157,'02'!$G$3:$G$100,'02'!$R$3:$R$100,"-")</f>
        <v/>
      </c>
      <c r="E157" s="68">
        <f>_xlfn.XLOOKUP($A157,'03'!$G$3:$G$100,'03'!$R$3:$R$100,"-")</f>
        <v/>
      </c>
      <c r="F157" s="68">
        <f>_xlfn.XLOOKUP($A157,'04'!$G$3:$G$100,'04'!$R$3:$R$100,"-")</f>
        <v/>
      </c>
      <c r="G157" s="68">
        <f>_xlfn.XLOOKUP($A157,'05'!$G$3:$G$100,'05'!$R$3:$R$100,"-")</f>
        <v/>
      </c>
      <c r="H157" s="68">
        <f>_xlfn.XLOOKUP($A157,'06'!$G$3:$G$100,'06'!$R$3:$R$100,"-")</f>
        <v/>
      </c>
      <c r="I157" s="68">
        <f>_xlfn.XLOOKUP($A157,'07'!$G$3:$G$100,'07'!$R$3:$R$100,"-")</f>
        <v/>
      </c>
      <c r="J157" s="68">
        <f>_xlfn.XLOOKUP($A157,'08'!$G$3:$G$100,'08'!$R$3:$R$100,"-")</f>
        <v/>
      </c>
      <c r="K157" s="68">
        <f>_xlfn.XLOOKUP($A157,'09'!$G$3:$G$100,'09'!$R$3:$R$100,"-")</f>
        <v/>
      </c>
      <c r="L157" s="68">
        <f>_xlfn.XLOOKUP($A157,'10'!$G$3:$G$100,'10'!$R$3:$R$100,"-")</f>
        <v/>
      </c>
      <c r="M157" s="68">
        <f>_xlfn.XLOOKUP($A157,'11'!$G$3:$G$100,'11'!$R$3:$R$100,"-")</f>
        <v/>
      </c>
      <c r="N157" s="68">
        <f>_xlfn.XLOOKUP($A157,'12'!$G$3:$G$100,'12'!$R$3:$R$100,"-")</f>
        <v/>
      </c>
      <c r="O157" s="79">
        <f>SUM(C157:N157)</f>
        <v/>
      </c>
      <c r="P157" s="74" t="n"/>
      <c r="Q157" s="83" t="n">
        <v>155</v>
      </c>
      <c r="R157" s="38" t="n"/>
      <c r="S157" s="61" t="n">
        <v>0</v>
      </c>
      <c r="T157" s="68" t="n">
        <v>0</v>
      </c>
      <c r="U157" s="68" t="n">
        <v>0</v>
      </c>
      <c r="V157" s="68" t="n">
        <v>0</v>
      </c>
      <c r="W157" s="68" t="n">
        <v>0</v>
      </c>
      <c r="X157" s="68" t="n">
        <v>0</v>
      </c>
      <c r="Y157" s="68" t="n">
        <v>0</v>
      </c>
      <c r="Z157" s="68" t="n">
        <v>0</v>
      </c>
      <c r="AA157" s="68" t="n">
        <v>0</v>
      </c>
      <c r="AB157" s="68" t="n">
        <v>0</v>
      </c>
      <c r="AC157" s="68" t="n">
        <v>0</v>
      </c>
      <c r="AD157" s="68" t="n">
        <v>0</v>
      </c>
      <c r="AE157" s="68" t="n">
        <v>0</v>
      </c>
      <c r="AF157" s="79" t="n">
        <v>0</v>
      </c>
      <c r="AG157" s="74" t="n">
        <v>0</v>
      </c>
      <c r="AH157" s="83" t="n">
        <v>155</v>
      </c>
    </row>
    <row r="158" ht="18" customHeight="1">
      <c r="C158" s="68">
        <f>_xlfn.XLOOKUP($A158,'01'!$G$3:$G$100,'01'!$R$3:$R$100,"-")</f>
        <v/>
      </c>
      <c r="D158" s="68">
        <f>_xlfn.XLOOKUP($A158,'02'!$G$3:$G$100,'02'!$R$3:$R$100,"-")</f>
        <v/>
      </c>
      <c r="E158" s="68">
        <f>_xlfn.XLOOKUP($A158,'03'!$G$3:$G$100,'03'!$R$3:$R$100,"-")</f>
        <v/>
      </c>
      <c r="F158" s="68">
        <f>_xlfn.XLOOKUP($A158,'04'!$G$3:$G$100,'04'!$R$3:$R$100,"-")</f>
        <v/>
      </c>
      <c r="G158" s="68">
        <f>_xlfn.XLOOKUP($A158,'05'!$G$3:$G$100,'05'!$R$3:$R$100,"-")</f>
        <v/>
      </c>
      <c r="H158" s="68">
        <f>_xlfn.XLOOKUP($A158,'06'!$G$3:$G$100,'06'!$R$3:$R$100,"-")</f>
        <v/>
      </c>
      <c r="I158" s="68">
        <f>_xlfn.XLOOKUP($A158,'07'!$G$3:$G$100,'07'!$R$3:$R$100,"-")</f>
        <v/>
      </c>
      <c r="J158" s="68">
        <f>_xlfn.XLOOKUP($A158,'08'!$G$3:$G$100,'08'!$R$3:$R$100,"-")</f>
        <v/>
      </c>
      <c r="K158" s="68">
        <f>_xlfn.XLOOKUP($A158,'09'!$G$3:$G$100,'09'!$R$3:$R$100,"-")</f>
        <v/>
      </c>
      <c r="L158" s="68">
        <f>_xlfn.XLOOKUP($A158,'10'!$G$3:$G$100,'10'!$R$3:$R$100,"-")</f>
        <v/>
      </c>
      <c r="M158" s="68">
        <f>_xlfn.XLOOKUP($A158,'11'!$G$3:$G$100,'11'!$R$3:$R$100,"-")</f>
        <v/>
      </c>
      <c r="N158" s="68">
        <f>_xlfn.XLOOKUP($A158,'12'!$G$3:$G$100,'12'!$R$3:$R$100,"-")</f>
        <v/>
      </c>
      <c r="O158" s="79">
        <f>SUM(C158:N158)</f>
        <v/>
      </c>
      <c r="P158" s="74" t="n"/>
      <c r="Q158" s="82" t="n">
        <v>156</v>
      </c>
      <c r="R158" s="38" t="n"/>
      <c r="S158" s="61" t="n">
        <v>0</v>
      </c>
      <c r="T158" s="68" t="n">
        <v>0</v>
      </c>
      <c r="U158" s="68" t="n">
        <v>0</v>
      </c>
      <c r="V158" s="68" t="n">
        <v>0</v>
      </c>
      <c r="W158" s="68" t="n">
        <v>0</v>
      </c>
      <c r="X158" s="68" t="n">
        <v>0</v>
      </c>
      <c r="Y158" s="68" t="n">
        <v>0</v>
      </c>
      <c r="Z158" s="68" t="n">
        <v>0</v>
      </c>
      <c r="AA158" s="68" t="n">
        <v>0</v>
      </c>
      <c r="AB158" s="68" t="n">
        <v>0</v>
      </c>
      <c r="AC158" s="68" t="n">
        <v>0</v>
      </c>
      <c r="AD158" s="68" t="n">
        <v>0</v>
      </c>
      <c r="AE158" s="68" t="n">
        <v>0</v>
      </c>
      <c r="AF158" s="79" t="n">
        <v>0</v>
      </c>
      <c r="AG158" s="74" t="n">
        <v>0</v>
      </c>
      <c r="AH158" s="82" t="n">
        <v>156</v>
      </c>
    </row>
    <row r="159" ht="18" customHeight="1">
      <c r="C159" s="68">
        <f>_xlfn.XLOOKUP($A159,'01'!$G$3:$G$100,'01'!$R$3:$R$100,"-")</f>
        <v/>
      </c>
      <c r="D159" s="68">
        <f>_xlfn.XLOOKUP($A159,'02'!$G$3:$G$100,'02'!$R$3:$R$100,"-")</f>
        <v/>
      </c>
      <c r="E159" s="68">
        <f>_xlfn.XLOOKUP($A159,'03'!$G$3:$G$100,'03'!$R$3:$R$100,"-")</f>
        <v/>
      </c>
      <c r="F159" s="68">
        <f>_xlfn.XLOOKUP($A159,'04'!$G$3:$G$100,'04'!$R$3:$R$100,"-")</f>
        <v/>
      </c>
      <c r="G159" s="68">
        <f>_xlfn.XLOOKUP($A159,'05'!$G$3:$G$100,'05'!$R$3:$R$100,"-")</f>
        <v/>
      </c>
      <c r="H159" s="68">
        <f>_xlfn.XLOOKUP($A159,'06'!$G$3:$G$100,'06'!$R$3:$R$100,"-")</f>
        <v/>
      </c>
      <c r="I159" s="68">
        <f>_xlfn.XLOOKUP($A159,'07'!$G$3:$G$100,'07'!$R$3:$R$100,"-")</f>
        <v/>
      </c>
      <c r="J159" s="68">
        <f>_xlfn.XLOOKUP($A159,'08'!$G$3:$G$100,'08'!$R$3:$R$100,"-")</f>
        <v/>
      </c>
      <c r="K159" s="68">
        <f>_xlfn.XLOOKUP($A159,'09'!$G$3:$G$100,'09'!$R$3:$R$100,"-")</f>
        <v/>
      </c>
      <c r="L159" s="68">
        <f>_xlfn.XLOOKUP($A159,'10'!$G$3:$G$100,'10'!$R$3:$R$100,"-")</f>
        <v/>
      </c>
      <c r="M159" s="68">
        <f>_xlfn.XLOOKUP($A159,'11'!$G$3:$G$100,'11'!$R$3:$R$100,"-")</f>
        <v/>
      </c>
      <c r="N159" s="68">
        <f>_xlfn.XLOOKUP($A159,'12'!$G$3:$G$100,'12'!$R$3:$R$100,"-")</f>
        <v/>
      </c>
      <c r="O159" s="79">
        <f>SUM(C159:N159)</f>
        <v/>
      </c>
      <c r="P159" s="74" t="n"/>
      <c r="Q159" s="82" t="n">
        <v>157</v>
      </c>
      <c r="R159" s="38" t="n"/>
      <c r="S159" s="61" t="n">
        <v>0</v>
      </c>
      <c r="T159" s="68" t="n">
        <v>0</v>
      </c>
      <c r="U159" s="68" t="n">
        <v>0</v>
      </c>
      <c r="V159" s="68" t="n">
        <v>0</v>
      </c>
      <c r="W159" s="68" t="n">
        <v>0</v>
      </c>
      <c r="X159" s="68" t="n">
        <v>0</v>
      </c>
      <c r="Y159" s="68" t="n">
        <v>0</v>
      </c>
      <c r="Z159" s="68" t="n">
        <v>0</v>
      </c>
      <c r="AA159" s="68" t="n">
        <v>0</v>
      </c>
      <c r="AB159" s="68" t="n">
        <v>0</v>
      </c>
      <c r="AC159" s="68" t="n">
        <v>0</v>
      </c>
      <c r="AD159" s="68" t="n">
        <v>0</v>
      </c>
      <c r="AE159" s="68" t="n">
        <v>0</v>
      </c>
      <c r="AF159" s="79" t="n">
        <v>0</v>
      </c>
      <c r="AG159" s="74" t="n">
        <v>0</v>
      </c>
      <c r="AH159" s="82" t="n">
        <v>157</v>
      </c>
    </row>
    <row r="160" ht="18" customHeight="1">
      <c r="C160" s="68">
        <f>_xlfn.XLOOKUP($A160,'01'!$G$3:$G$100,'01'!$R$3:$R$100,"-")</f>
        <v/>
      </c>
      <c r="D160" s="68">
        <f>_xlfn.XLOOKUP($A160,'02'!$G$3:$G$100,'02'!$R$3:$R$100,"-")</f>
        <v/>
      </c>
      <c r="E160" s="68">
        <f>_xlfn.XLOOKUP($A160,'03'!$G$3:$G$100,'03'!$R$3:$R$100,"-")</f>
        <v/>
      </c>
      <c r="F160" s="68">
        <f>_xlfn.XLOOKUP($A160,'04'!$G$3:$G$100,'04'!$R$3:$R$100,"-")</f>
        <v/>
      </c>
      <c r="G160" s="68">
        <f>_xlfn.XLOOKUP($A160,'05'!$G$3:$G$100,'05'!$R$3:$R$100,"-")</f>
        <v/>
      </c>
      <c r="H160" s="68">
        <f>_xlfn.XLOOKUP($A160,'06'!$G$3:$G$100,'06'!$R$3:$R$100,"-")</f>
        <v/>
      </c>
      <c r="I160" s="68">
        <f>_xlfn.XLOOKUP($A160,'07'!$G$3:$G$100,'07'!$R$3:$R$100,"-")</f>
        <v/>
      </c>
      <c r="J160" s="68">
        <f>_xlfn.XLOOKUP($A160,'08'!$G$3:$G$100,'08'!$R$3:$R$100,"-")</f>
        <v/>
      </c>
      <c r="K160" s="68">
        <f>_xlfn.XLOOKUP($A160,'09'!$G$3:$G$100,'09'!$R$3:$R$100,"-")</f>
        <v/>
      </c>
      <c r="L160" s="68">
        <f>_xlfn.XLOOKUP($A160,'10'!$G$3:$G$100,'10'!$R$3:$R$100,"-")</f>
        <v/>
      </c>
      <c r="M160" s="68">
        <f>_xlfn.XLOOKUP($A160,'11'!$G$3:$G$100,'11'!$R$3:$R$100,"-")</f>
        <v/>
      </c>
      <c r="N160" s="68">
        <f>_xlfn.XLOOKUP($A160,'12'!$G$3:$G$100,'12'!$R$3:$R$100,"-")</f>
        <v/>
      </c>
      <c r="O160" s="79">
        <f>SUM(C160:N160)</f>
        <v/>
      </c>
      <c r="P160" s="74" t="n"/>
      <c r="Q160" s="82" t="n">
        <v>158</v>
      </c>
      <c r="R160" s="38" t="n"/>
      <c r="S160" s="61" t="n">
        <v>0</v>
      </c>
      <c r="T160" s="68" t="n">
        <v>0</v>
      </c>
      <c r="U160" s="68" t="n">
        <v>0</v>
      </c>
      <c r="V160" s="68" t="n">
        <v>0</v>
      </c>
      <c r="W160" s="68" t="n">
        <v>0</v>
      </c>
      <c r="X160" s="68" t="n">
        <v>0</v>
      </c>
      <c r="Y160" s="68" t="n">
        <v>0</v>
      </c>
      <c r="Z160" s="68" t="n">
        <v>0</v>
      </c>
      <c r="AA160" s="68" t="n">
        <v>0</v>
      </c>
      <c r="AB160" s="68" t="n">
        <v>0</v>
      </c>
      <c r="AC160" s="68" t="n">
        <v>0</v>
      </c>
      <c r="AD160" s="68" t="n">
        <v>0</v>
      </c>
      <c r="AE160" s="68" t="n">
        <v>0</v>
      </c>
      <c r="AF160" s="79" t="n">
        <v>0</v>
      </c>
      <c r="AG160" s="74" t="n">
        <v>0</v>
      </c>
      <c r="AH160" s="82" t="n">
        <v>158</v>
      </c>
    </row>
    <row r="161" ht="18" customHeight="1">
      <c r="C161" s="68">
        <f>_xlfn.XLOOKUP($A161,'01'!$G$3:$G$100,'01'!$R$3:$R$100,"-")</f>
        <v/>
      </c>
      <c r="D161" s="68">
        <f>_xlfn.XLOOKUP($A161,'02'!$G$3:$G$100,'02'!$R$3:$R$100,"-")</f>
        <v/>
      </c>
      <c r="E161" s="68">
        <f>_xlfn.XLOOKUP($A161,'03'!$G$3:$G$100,'03'!$R$3:$R$100,"-")</f>
        <v/>
      </c>
      <c r="F161" s="68">
        <f>_xlfn.XLOOKUP($A161,'04'!$G$3:$G$100,'04'!$R$3:$R$100,"-")</f>
        <v/>
      </c>
      <c r="G161" s="68">
        <f>_xlfn.XLOOKUP($A161,'05'!$G$3:$G$100,'05'!$R$3:$R$100,"-")</f>
        <v/>
      </c>
      <c r="H161" s="68">
        <f>_xlfn.XLOOKUP($A161,'06'!$G$3:$G$100,'06'!$R$3:$R$100,"-")</f>
        <v/>
      </c>
      <c r="I161" s="68">
        <f>_xlfn.XLOOKUP($A161,'07'!$G$3:$G$100,'07'!$R$3:$R$100,"-")</f>
        <v/>
      </c>
      <c r="J161" s="68">
        <f>_xlfn.XLOOKUP($A161,'08'!$G$3:$G$100,'08'!$R$3:$R$100,"-")</f>
        <v/>
      </c>
      <c r="K161" s="68">
        <f>_xlfn.XLOOKUP($A161,'09'!$G$3:$G$100,'09'!$R$3:$R$100,"-")</f>
        <v/>
      </c>
      <c r="L161" s="68">
        <f>_xlfn.XLOOKUP($A161,'10'!$G$3:$G$100,'10'!$R$3:$R$100,"-")</f>
        <v/>
      </c>
      <c r="M161" s="68">
        <f>_xlfn.XLOOKUP($A161,'11'!$G$3:$G$100,'11'!$R$3:$R$100,"-")</f>
        <v/>
      </c>
      <c r="N161" s="68">
        <f>_xlfn.XLOOKUP($A161,'12'!$G$3:$G$100,'12'!$R$3:$R$100,"-")</f>
        <v/>
      </c>
      <c r="O161" s="79">
        <f>SUM(C161:N161)</f>
        <v/>
      </c>
      <c r="P161" s="74" t="n"/>
      <c r="Q161" s="82" t="n">
        <v>159</v>
      </c>
      <c r="R161" s="38" t="n"/>
      <c r="S161" s="61" t="n">
        <v>0</v>
      </c>
      <c r="T161" s="68" t="n">
        <v>0</v>
      </c>
      <c r="U161" s="68" t="n">
        <v>0</v>
      </c>
      <c r="V161" s="68" t="n">
        <v>0</v>
      </c>
      <c r="W161" s="68" t="n">
        <v>0</v>
      </c>
      <c r="X161" s="68" t="n">
        <v>0</v>
      </c>
      <c r="Y161" s="68" t="n">
        <v>0</v>
      </c>
      <c r="Z161" s="68" t="n">
        <v>0</v>
      </c>
      <c r="AA161" s="68" t="n">
        <v>0</v>
      </c>
      <c r="AB161" s="68" t="n">
        <v>0</v>
      </c>
      <c r="AC161" s="68" t="n">
        <v>0</v>
      </c>
      <c r="AD161" s="68" t="n">
        <v>0</v>
      </c>
      <c r="AE161" s="68" t="n">
        <v>0</v>
      </c>
      <c r="AF161" s="79" t="n">
        <v>0</v>
      </c>
      <c r="AG161" s="74" t="n">
        <v>0</v>
      </c>
      <c r="AH161" s="82" t="n">
        <v>159</v>
      </c>
    </row>
    <row r="162" ht="18" customHeight="1">
      <c r="C162" s="68">
        <f>_xlfn.XLOOKUP($A162,'01'!$G$3:$G$100,'01'!$R$3:$R$100,"-")</f>
        <v/>
      </c>
      <c r="D162" s="68">
        <f>_xlfn.XLOOKUP($A162,'02'!$G$3:$G$100,'02'!$R$3:$R$100,"-")</f>
        <v/>
      </c>
      <c r="E162" s="68">
        <f>_xlfn.XLOOKUP($A162,'03'!$G$3:$G$100,'03'!$R$3:$R$100,"-")</f>
        <v/>
      </c>
      <c r="F162" s="68">
        <f>_xlfn.XLOOKUP($A162,'04'!$G$3:$G$100,'04'!$R$3:$R$100,"-")</f>
        <v/>
      </c>
      <c r="G162" s="68">
        <f>_xlfn.XLOOKUP($A162,'05'!$G$3:$G$100,'05'!$R$3:$R$100,"-")</f>
        <v/>
      </c>
      <c r="H162" s="68">
        <f>_xlfn.XLOOKUP($A162,'06'!$G$3:$G$100,'06'!$R$3:$R$100,"-")</f>
        <v/>
      </c>
      <c r="I162" s="68">
        <f>_xlfn.XLOOKUP($A162,'07'!$G$3:$G$100,'07'!$R$3:$R$100,"-")</f>
        <v/>
      </c>
      <c r="J162" s="68">
        <f>_xlfn.XLOOKUP($A162,'08'!$G$3:$G$100,'08'!$R$3:$R$100,"-")</f>
        <v/>
      </c>
      <c r="K162" s="68">
        <f>_xlfn.XLOOKUP($A162,'09'!$G$3:$G$100,'09'!$R$3:$R$100,"-")</f>
        <v/>
      </c>
      <c r="L162" s="68">
        <f>_xlfn.XLOOKUP($A162,'10'!$G$3:$G$100,'10'!$R$3:$R$100,"-")</f>
        <v/>
      </c>
      <c r="M162" s="68">
        <f>_xlfn.XLOOKUP($A162,'11'!$G$3:$G$100,'11'!$R$3:$R$100,"-")</f>
        <v/>
      </c>
      <c r="N162" s="68">
        <f>_xlfn.XLOOKUP($A162,'12'!$G$3:$G$100,'12'!$R$3:$R$100,"-")</f>
        <v/>
      </c>
      <c r="O162" s="79">
        <f>SUM(C162:N162)</f>
        <v/>
      </c>
      <c r="P162" s="74" t="n"/>
      <c r="Q162" s="82" t="n">
        <v>160</v>
      </c>
      <c r="R162" s="38" t="n"/>
      <c r="S162" s="61" t="n">
        <v>0</v>
      </c>
      <c r="T162" s="68" t="n">
        <v>0</v>
      </c>
      <c r="U162" s="68" t="n">
        <v>0</v>
      </c>
      <c r="V162" s="68" t="n">
        <v>0</v>
      </c>
      <c r="W162" s="68" t="n">
        <v>0</v>
      </c>
      <c r="X162" s="68" t="n">
        <v>0</v>
      </c>
      <c r="Y162" s="68" t="n">
        <v>0</v>
      </c>
      <c r="Z162" s="68" t="n">
        <v>0</v>
      </c>
      <c r="AA162" s="68" t="n">
        <v>0</v>
      </c>
      <c r="AB162" s="68" t="n">
        <v>0</v>
      </c>
      <c r="AC162" s="68" t="n">
        <v>0</v>
      </c>
      <c r="AD162" s="68" t="n">
        <v>0</v>
      </c>
      <c r="AE162" s="68" t="n">
        <v>0</v>
      </c>
      <c r="AF162" s="79" t="n">
        <v>0</v>
      </c>
      <c r="AG162" s="74" t="n">
        <v>0</v>
      </c>
      <c r="AH162" s="82" t="n">
        <v>160</v>
      </c>
    </row>
    <row r="163" ht="18" customHeight="1">
      <c r="C163" s="68">
        <f>_xlfn.XLOOKUP($A163,'01'!$G$3:$G$100,'01'!$R$3:$R$100,"-")</f>
        <v/>
      </c>
      <c r="D163" s="68">
        <f>_xlfn.XLOOKUP($A163,'02'!$G$3:$G$100,'02'!$R$3:$R$100,"-")</f>
        <v/>
      </c>
      <c r="E163" s="68">
        <f>_xlfn.XLOOKUP($A163,'03'!$G$3:$G$100,'03'!$R$3:$R$100,"-")</f>
        <v/>
      </c>
      <c r="F163" s="68">
        <f>_xlfn.XLOOKUP($A163,'04'!$G$3:$G$100,'04'!$R$3:$R$100,"-")</f>
        <v/>
      </c>
      <c r="G163" s="68">
        <f>_xlfn.XLOOKUP($A163,'05'!$G$3:$G$100,'05'!$R$3:$R$100,"-")</f>
        <v/>
      </c>
      <c r="H163" s="68">
        <f>_xlfn.XLOOKUP($A163,'06'!$G$3:$G$100,'06'!$R$3:$R$100,"-")</f>
        <v/>
      </c>
      <c r="I163" s="68">
        <f>_xlfn.XLOOKUP($A163,'07'!$G$3:$G$100,'07'!$R$3:$R$100,"-")</f>
        <v/>
      </c>
      <c r="J163" s="68">
        <f>_xlfn.XLOOKUP($A163,'08'!$G$3:$G$100,'08'!$R$3:$R$100,"-")</f>
        <v/>
      </c>
      <c r="K163" s="68">
        <f>_xlfn.XLOOKUP($A163,'09'!$G$3:$G$100,'09'!$R$3:$R$100,"-")</f>
        <v/>
      </c>
      <c r="L163" s="68">
        <f>_xlfn.XLOOKUP($A163,'10'!$G$3:$G$100,'10'!$R$3:$R$100,"-")</f>
        <v/>
      </c>
      <c r="M163" s="68">
        <f>_xlfn.XLOOKUP($A163,'11'!$G$3:$G$100,'11'!$R$3:$R$100,"-")</f>
        <v/>
      </c>
      <c r="N163" s="68">
        <f>_xlfn.XLOOKUP($A163,'12'!$G$3:$G$100,'12'!$R$3:$R$100,"-")</f>
        <v/>
      </c>
      <c r="O163" s="79">
        <f>SUM(C163:N163)</f>
        <v/>
      </c>
      <c r="P163" s="74" t="n"/>
      <c r="Q163" s="82" t="n">
        <v>161</v>
      </c>
      <c r="R163" s="38" t="n"/>
      <c r="S163" s="61" t="n">
        <v>0</v>
      </c>
      <c r="T163" s="68" t="n">
        <v>0</v>
      </c>
      <c r="U163" s="68" t="n">
        <v>0</v>
      </c>
      <c r="V163" s="68" t="n">
        <v>0</v>
      </c>
      <c r="W163" s="68" t="n">
        <v>0</v>
      </c>
      <c r="X163" s="68" t="n">
        <v>0</v>
      </c>
      <c r="Y163" s="68" t="n">
        <v>0</v>
      </c>
      <c r="Z163" s="68" t="n">
        <v>0</v>
      </c>
      <c r="AA163" s="68" t="n">
        <v>0</v>
      </c>
      <c r="AB163" s="68" t="n">
        <v>0</v>
      </c>
      <c r="AC163" s="68" t="n">
        <v>0</v>
      </c>
      <c r="AD163" s="68" t="n">
        <v>0</v>
      </c>
      <c r="AE163" s="68" t="n">
        <v>0</v>
      </c>
      <c r="AF163" s="79" t="n">
        <v>0</v>
      </c>
      <c r="AG163" s="74" t="n">
        <v>0</v>
      </c>
      <c r="AH163" s="82" t="n">
        <v>161</v>
      </c>
    </row>
    <row r="164" ht="18" customHeight="1">
      <c r="C164" s="68">
        <f>_xlfn.XLOOKUP($A164,'01'!$G$3:$G$100,'01'!$R$3:$R$100,"-")</f>
        <v/>
      </c>
      <c r="D164" s="68">
        <f>_xlfn.XLOOKUP($A164,'02'!$G$3:$G$100,'02'!$R$3:$R$100,"-")</f>
        <v/>
      </c>
      <c r="E164" s="68">
        <f>_xlfn.XLOOKUP($A164,'03'!$G$3:$G$100,'03'!$R$3:$R$100,"-")</f>
        <v/>
      </c>
      <c r="F164" s="68">
        <f>_xlfn.XLOOKUP($A164,'04'!$G$3:$G$100,'04'!$R$3:$R$100,"-")</f>
        <v/>
      </c>
      <c r="G164" s="68">
        <f>_xlfn.XLOOKUP($A164,'05'!$G$3:$G$100,'05'!$R$3:$R$100,"-")</f>
        <v/>
      </c>
      <c r="H164" s="68">
        <f>_xlfn.XLOOKUP($A164,'06'!$G$3:$G$100,'06'!$R$3:$R$100,"-")</f>
        <v/>
      </c>
      <c r="I164" s="68">
        <f>_xlfn.XLOOKUP($A164,'07'!$G$3:$G$100,'07'!$R$3:$R$100,"-")</f>
        <v/>
      </c>
      <c r="J164" s="68">
        <f>_xlfn.XLOOKUP($A164,'08'!$G$3:$G$100,'08'!$R$3:$R$100,"-")</f>
        <v/>
      </c>
      <c r="K164" s="68">
        <f>_xlfn.XLOOKUP($A164,'09'!$G$3:$G$100,'09'!$R$3:$R$100,"-")</f>
        <v/>
      </c>
      <c r="L164" s="68">
        <f>_xlfn.XLOOKUP($A164,'10'!$G$3:$G$100,'10'!$R$3:$R$100,"-")</f>
        <v/>
      </c>
      <c r="M164" s="68">
        <f>_xlfn.XLOOKUP($A164,'11'!$G$3:$G$100,'11'!$R$3:$R$100,"-")</f>
        <v/>
      </c>
      <c r="N164" s="68">
        <f>_xlfn.XLOOKUP($A164,'12'!$G$3:$G$100,'12'!$R$3:$R$100,"-")</f>
        <v/>
      </c>
      <c r="O164" s="79">
        <f>SUM(C164:N164)</f>
        <v/>
      </c>
      <c r="P164" s="74" t="n"/>
      <c r="Q164" s="82" t="n">
        <v>162</v>
      </c>
      <c r="R164" s="38" t="n"/>
      <c r="S164" s="61" t="n">
        <v>0</v>
      </c>
      <c r="T164" s="68" t="n">
        <v>0</v>
      </c>
      <c r="U164" s="68" t="n">
        <v>0</v>
      </c>
      <c r="V164" s="68" t="n">
        <v>0</v>
      </c>
      <c r="W164" s="68" t="n">
        <v>0</v>
      </c>
      <c r="X164" s="68" t="n">
        <v>0</v>
      </c>
      <c r="Y164" s="68" t="n">
        <v>0</v>
      </c>
      <c r="Z164" s="68" t="n">
        <v>0</v>
      </c>
      <c r="AA164" s="68" t="n">
        <v>0</v>
      </c>
      <c r="AB164" s="68" t="n">
        <v>0</v>
      </c>
      <c r="AC164" s="68" t="n">
        <v>0</v>
      </c>
      <c r="AD164" s="68" t="n">
        <v>0</v>
      </c>
      <c r="AE164" s="68" t="n">
        <v>0</v>
      </c>
      <c r="AF164" s="79" t="n">
        <v>0</v>
      </c>
      <c r="AG164" s="74" t="n">
        <v>0</v>
      </c>
      <c r="AH164" s="82" t="n">
        <v>162</v>
      </c>
    </row>
    <row r="165" ht="18" customHeight="1">
      <c r="C165" s="68">
        <f>_xlfn.XLOOKUP($A165,'01'!$G$3:$G$100,'01'!$R$3:$R$100,"-")</f>
        <v/>
      </c>
      <c r="D165" s="68">
        <f>_xlfn.XLOOKUP($A165,'02'!$G$3:$G$100,'02'!$R$3:$R$100,"-")</f>
        <v/>
      </c>
      <c r="E165" s="68">
        <f>_xlfn.XLOOKUP($A165,'03'!$G$3:$G$100,'03'!$R$3:$R$100,"-")</f>
        <v/>
      </c>
      <c r="F165" s="68">
        <f>_xlfn.XLOOKUP($A165,'04'!$G$3:$G$100,'04'!$R$3:$R$100,"-")</f>
        <v/>
      </c>
      <c r="G165" s="68">
        <f>_xlfn.XLOOKUP($A165,'05'!$G$3:$G$100,'05'!$R$3:$R$100,"-")</f>
        <v/>
      </c>
      <c r="H165" s="68">
        <f>_xlfn.XLOOKUP($A165,'06'!$G$3:$G$100,'06'!$R$3:$R$100,"-")</f>
        <v/>
      </c>
      <c r="I165" s="68">
        <f>_xlfn.XLOOKUP($A165,'07'!$G$3:$G$100,'07'!$R$3:$R$100,"-")</f>
        <v/>
      </c>
      <c r="J165" s="68">
        <f>_xlfn.XLOOKUP($A165,'08'!$G$3:$G$100,'08'!$R$3:$R$100,"-")</f>
        <v/>
      </c>
      <c r="K165" s="68">
        <f>_xlfn.XLOOKUP($A165,'09'!$G$3:$G$100,'09'!$R$3:$R$100,"-")</f>
        <v/>
      </c>
      <c r="L165" s="68">
        <f>_xlfn.XLOOKUP($A165,'10'!$G$3:$G$100,'10'!$R$3:$R$100,"-")</f>
        <v/>
      </c>
      <c r="M165" s="68">
        <f>_xlfn.XLOOKUP($A165,'11'!$G$3:$G$100,'11'!$R$3:$R$100,"-")</f>
        <v/>
      </c>
      <c r="N165" s="68">
        <f>_xlfn.XLOOKUP($A165,'12'!$G$3:$G$100,'12'!$R$3:$R$100,"-")</f>
        <v/>
      </c>
      <c r="O165" s="79">
        <f>SUM(C165:N165)</f>
        <v/>
      </c>
      <c r="P165" s="74" t="n"/>
      <c r="Q165" s="82" t="n">
        <v>163</v>
      </c>
      <c r="R165" s="38" t="n"/>
      <c r="S165" s="61" t="n">
        <v>0</v>
      </c>
      <c r="T165" s="68" t="n">
        <v>0</v>
      </c>
      <c r="U165" s="68" t="n">
        <v>0</v>
      </c>
      <c r="V165" s="68" t="n">
        <v>0</v>
      </c>
      <c r="W165" s="68" t="n">
        <v>0</v>
      </c>
      <c r="X165" s="68" t="n">
        <v>0</v>
      </c>
      <c r="Y165" s="68" t="n">
        <v>0</v>
      </c>
      <c r="Z165" s="68" t="n">
        <v>0</v>
      </c>
      <c r="AA165" s="68" t="n">
        <v>0</v>
      </c>
      <c r="AB165" s="68" t="n">
        <v>0</v>
      </c>
      <c r="AC165" s="68" t="n">
        <v>0</v>
      </c>
      <c r="AD165" s="68" t="n">
        <v>0</v>
      </c>
      <c r="AE165" s="68" t="n">
        <v>0</v>
      </c>
      <c r="AF165" s="79" t="n">
        <v>0</v>
      </c>
      <c r="AG165" s="74" t="n">
        <v>0</v>
      </c>
      <c r="AH165" s="82" t="n">
        <v>163</v>
      </c>
    </row>
    <row r="166" ht="18" customHeight="1">
      <c r="C166" s="68">
        <f>_xlfn.XLOOKUP($A166,'01'!$G$3:$G$100,'01'!$R$3:$R$100,"-")</f>
        <v/>
      </c>
      <c r="D166" s="68">
        <f>_xlfn.XLOOKUP($A166,'02'!$G$3:$G$100,'02'!$R$3:$R$100,"-")</f>
        <v/>
      </c>
      <c r="E166" s="68">
        <f>_xlfn.XLOOKUP($A166,'03'!$G$3:$G$100,'03'!$R$3:$R$100,"-")</f>
        <v/>
      </c>
      <c r="F166" s="68">
        <f>_xlfn.XLOOKUP($A166,'04'!$G$3:$G$100,'04'!$R$3:$R$100,"-")</f>
        <v/>
      </c>
      <c r="G166" s="68">
        <f>_xlfn.XLOOKUP($A166,'05'!$G$3:$G$100,'05'!$R$3:$R$100,"-")</f>
        <v/>
      </c>
      <c r="H166" s="68">
        <f>_xlfn.XLOOKUP($A166,'06'!$G$3:$G$100,'06'!$R$3:$R$100,"-")</f>
        <v/>
      </c>
      <c r="I166" s="68">
        <f>_xlfn.XLOOKUP($A166,'07'!$G$3:$G$100,'07'!$R$3:$R$100,"-")</f>
        <v/>
      </c>
      <c r="J166" s="68">
        <f>_xlfn.XLOOKUP($A166,'08'!$G$3:$G$100,'08'!$R$3:$R$100,"-")</f>
        <v/>
      </c>
      <c r="K166" s="68">
        <f>_xlfn.XLOOKUP($A166,'09'!$G$3:$G$100,'09'!$R$3:$R$100,"-")</f>
        <v/>
      </c>
      <c r="L166" s="68">
        <f>_xlfn.XLOOKUP($A166,'10'!$G$3:$G$100,'10'!$R$3:$R$100,"-")</f>
        <v/>
      </c>
      <c r="M166" s="68">
        <f>_xlfn.XLOOKUP($A166,'11'!$G$3:$G$100,'11'!$R$3:$R$100,"-")</f>
        <v/>
      </c>
      <c r="N166" s="68">
        <f>_xlfn.XLOOKUP($A166,'12'!$G$3:$G$100,'12'!$R$3:$R$100,"-")</f>
        <v/>
      </c>
      <c r="O166" s="79">
        <f>SUM(C166:N166)</f>
        <v/>
      </c>
      <c r="P166" s="74" t="n"/>
      <c r="Q166" s="82" t="n">
        <v>164</v>
      </c>
      <c r="R166" s="38" t="n"/>
      <c r="S166" s="61" t="n">
        <v>0</v>
      </c>
      <c r="T166" s="68" t="n">
        <v>0</v>
      </c>
      <c r="U166" s="68" t="n">
        <v>0</v>
      </c>
      <c r="V166" s="68" t="n">
        <v>0</v>
      </c>
      <c r="W166" s="68" t="n">
        <v>0</v>
      </c>
      <c r="X166" s="68" t="n">
        <v>0</v>
      </c>
      <c r="Y166" s="68" t="n">
        <v>0</v>
      </c>
      <c r="Z166" s="68" t="n">
        <v>0</v>
      </c>
      <c r="AA166" s="68" t="n">
        <v>0</v>
      </c>
      <c r="AB166" s="68" t="n">
        <v>0</v>
      </c>
      <c r="AC166" s="68" t="n">
        <v>0</v>
      </c>
      <c r="AD166" s="68" t="n">
        <v>0</v>
      </c>
      <c r="AE166" s="68" t="n">
        <v>0</v>
      </c>
      <c r="AF166" s="79" t="n">
        <v>0</v>
      </c>
      <c r="AG166" s="74" t="n">
        <v>0</v>
      </c>
      <c r="AH166" s="82" t="n">
        <v>164</v>
      </c>
    </row>
    <row r="167" ht="18" customHeight="1">
      <c r="C167" s="68">
        <f>_xlfn.XLOOKUP($A167,'01'!$G$3:$G$100,'01'!$R$3:$R$100,"-")</f>
        <v/>
      </c>
      <c r="D167" s="68">
        <f>_xlfn.XLOOKUP($A167,'02'!$G$3:$G$100,'02'!$R$3:$R$100,"-")</f>
        <v/>
      </c>
      <c r="E167" s="68">
        <f>_xlfn.XLOOKUP($A167,'03'!$G$3:$G$100,'03'!$R$3:$R$100,"-")</f>
        <v/>
      </c>
      <c r="F167" s="68">
        <f>_xlfn.XLOOKUP($A167,'04'!$G$3:$G$100,'04'!$R$3:$R$100,"-")</f>
        <v/>
      </c>
      <c r="G167" s="68">
        <f>_xlfn.XLOOKUP($A167,'05'!$G$3:$G$100,'05'!$R$3:$R$100,"-")</f>
        <v/>
      </c>
      <c r="H167" s="68">
        <f>_xlfn.XLOOKUP($A167,'06'!$G$3:$G$100,'06'!$R$3:$R$100,"-")</f>
        <v/>
      </c>
      <c r="I167" s="68">
        <f>_xlfn.XLOOKUP($A167,'07'!$G$3:$G$100,'07'!$R$3:$R$100,"-")</f>
        <v/>
      </c>
      <c r="J167" s="68">
        <f>_xlfn.XLOOKUP($A167,'08'!$G$3:$G$100,'08'!$R$3:$R$100,"-")</f>
        <v/>
      </c>
      <c r="K167" s="68">
        <f>_xlfn.XLOOKUP($A167,'09'!$G$3:$G$100,'09'!$R$3:$R$100,"-")</f>
        <v/>
      </c>
      <c r="L167" s="68">
        <f>_xlfn.XLOOKUP($A167,'10'!$G$3:$G$100,'10'!$R$3:$R$100,"-")</f>
        <v/>
      </c>
      <c r="M167" s="68">
        <f>_xlfn.XLOOKUP($A167,'11'!$G$3:$G$100,'11'!$R$3:$R$100,"-")</f>
        <v/>
      </c>
      <c r="N167" s="68">
        <f>_xlfn.XLOOKUP($A167,'12'!$G$3:$G$100,'12'!$R$3:$R$100,"-")</f>
        <v/>
      </c>
      <c r="O167" s="79">
        <f>SUM(C167:N167)</f>
        <v/>
      </c>
      <c r="P167" s="74" t="n"/>
      <c r="Q167" s="83" t="n">
        <v>165</v>
      </c>
      <c r="R167" s="38" t="n"/>
      <c r="S167" s="61" t="n">
        <v>0</v>
      </c>
      <c r="T167" s="68" t="n">
        <v>0</v>
      </c>
      <c r="U167" s="68" t="n">
        <v>0</v>
      </c>
      <c r="V167" s="68" t="n">
        <v>0</v>
      </c>
      <c r="W167" s="68" t="n">
        <v>0</v>
      </c>
      <c r="X167" s="68" t="n">
        <v>0</v>
      </c>
      <c r="Y167" s="68" t="n">
        <v>0</v>
      </c>
      <c r="Z167" s="68" t="n">
        <v>0</v>
      </c>
      <c r="AA167" s="68" t="n">
        <v>0</v>
      </c>
      <c r="AB167" s="68" t="n">
        <v>0</v>
      </c>
      <c r="AC167" s="68" t="n">
        <v>0</v>
      </c>
      <c r="AD167" s="68" t="n">
        <v>0</v>
      </c>
      <c r="AE167" s="68" t="n">
        <v>0</v>
      </c>
      <c r="AF167" s="79" t="n">
        <v>0</v>
      </c>
      <c r="AG167" s="74" t="n">
        <v>0</v>
      </c>
      <c r="AH167" s="83" t="n">
        <v>165</v>
      </c>
    </row>
    <row r="168" ht="18" customHeight="1">
      <c r="C168" s="68">
        <f>_xlfn.XLOOKUP($A168,'01'!$G$3:$G$100,'01'!$R$3:$R$100,"-")</f>
        <v/>
      </c>
      <c r="D168" s="68">
        <f>_xlfn.XLOOKUP($A168,'02'!$G$3:$G$100,'02'!$R$3:$R$100,"-")</f>
        <v/>
      </c>
      <c r="E168" s="68">
        <f>_xlfn.XLOOKUP($A168,'03'!$G$3:$G$100,'03'!$R$3:$R$100,"-")</f>
        <v/>
      </c>
      <c r="F168" s="68">
        <f>_xlfn.XLOOKUP($A168,'04'!$G$3:$G$100,'04'!$R$3:$R$100,"-")</f>
        <v/>
      </c>
      <c r="G168" s="68">
        <f>_xlfn.XLOOKUP($A168,'05'!$G$3:$G$100,'05'!$R$3:$R$100,"-")</f>
        <v/>
      </c>
      <c r="H168" s="68">
        <f>_xlfn.XLOOKUP($A168,'06'!$G$3:$G$100,'06'!$R$3:$R$100,"-")</f>
        <v/>
      </c>
      <c r="I168" s="68">
        <f>_xlfn.XLOOKUP($A168,'07'!$G$3:$G$100,'07'!$R$3:$R$100,"-")</f>
        <v/>
      </c>
      <c r="J168" s="68">
        <f>_xlfn.XLOOKUP($A168,'08'!$G$3:$G$100,'08'!$R$3:$R$100,"-")</f>
        <v/>
      </c>
      <c r="K168" s="68">
        <f>_xlfn.XLOOKUP($A168,'09'!$G$3:$G$100,'09'!$R$3:$R$100,"-")</f>
        <v/>
      </c>
      <c r="L168" s="68">
        <f>_xlfn.XLOOKUP($A168,'10'!$G$3:$G$100,'10'!$R$3:$R$100,"-")</f>
        <v/>
      </c>
      <c r="M168" s="68">
        <f>_xlfn.XLOOKUP($A168,'11'!$G$3:$G$100,'11'!$R$3:$R$100,"-")</f>
        <v/>
      </c>
      <c r="N168" s="68">
        <f>_xlfn.XLOOKUP($A168,'12'!$G$3:$G$100,'12'!$R$3:$R$100,"-")</f>
        <v/>
      </c>
      <c r="O168" s="79">
        <f>SUM(C168:N168)</f>
        <v/>
      </c>
      <c r="P168" s="74" t="n"/>
      <c r="Q168" s="82" t="n">
        <v>166</v>
      </c>
      <c r="R168" s="38" t="n"/>
      <c r="S168" s="61" t="n">
        <v>0</v>
      </c>
      <c r="T168" s="68" t="n">
        <v>0</v>
      </c>
      <c r="U168" s="68" t="n">
        <v>0</v>
      </c>
      <c r="V168" s="68" t="n">
        <v>0</v>
      </c>
      <c r="W168" s="68" t="n">
        <v>0</v>
      </c>
      <c r="X168" s="68" t="n">
        <v>0</v>
      </c>
      <c r="Y168" s="68" t="n">
        <v>0</v>
      </c>
      <c r="Z168" s="68" t="n">
        <v>0</v>
      </c>
      <c r="AA168" s="68" t="n">
        <v>0</v>
      </c>
      <c r="AB168" s="68" t="n">
        <v>0</v>
      </c>
      <c r="AC168" s="68" t="n">
        <v>0</v>
      </c>
      <c r="AD168" s="68" t="n">
        <v>0</v>
      </c>
      <c r="AE168" s="68" t="n">
        <v>0</v>
      </c>
      <c r="AF168" s="79" t="n">
        <v>0</v>
      </c>
      <c r="AG168" s="74" t="n">
        <v>0</v>
      </c>
      <c r="AH168" s="82" t="n">
        <v>166</v>
      </c>
    </row>
    <row r="169" ht="18" customHeight="1">
      <c r="C169" s="68">
        <f>_xlfn.XLOOKUP($A169,'01'!$G$3:$G$100,'01'!$R$3:$R$100,"-")</f>
        <v/>
      </c>
      <c r="D169" s="68">
        <f>_xlfn.XLOOKUP($A169,'02'!$G$3:$G$100,'02'!$R$3:$R$100,"-")</f>
        <v/>
      </c>
      <c r="E169" s="68">
        <f>_xlfn.XLOOKUP($A169,'03'!$G$3:$G$100,'03'!$R$3:$R$100,"-")</f>
        <v/>
      </c>
      <c r="F169" s="68">
        <f>_xlfn.XLOOKUP($A169,'04'!$G$3:$G$100,'04'!$R$3:$R$100,"-")</f>
        <v/>
      </c>
      <c r="G169" s="68">
        <f>_xlfn.XLOOKUP($A169,'05'!$G$3:$G$100,'05'!$R$3:$R$100,"-")</f>
        <v/>
      </c>
      <c r="H169" s="68">
        <f>_xlfn.XLOOKUP($A169,'06'!$G$3:$G$100,'06'!$R$3:$R$100,"-")</f>
        <v/>
      </c>
      <c r="I169" s="68">
        <f>_xlfn.XLOOKUP($A169,'07'!$G$3:$G$100,'07'!$R$3:$R$100,"-")</f>
        <v/>
      </c>
      <c r="J169" s="68">
        <f>_xlfn.XLOOKUP($A169,'08'!$G$3:$G$100,'08'!$R$3:$R$100,"-")</f>
        <v/>
      </c>
      <c r="K169" s="68">
        <f>_xlfn.XLOOKUP($A169,'09'!$G$3:$G$100,'09'!$R$3:$R$100,"-")</f>
        <v/>
      </c>
      <c r="L169" s="68">
        <f>_xlfn.XLOOKUP($A169,'10'!$G$3:$G$100,'10'!$R$3:$R$100,"-")</f>
        <v/>
      </c>
      <c r="M169" s="68">
        <f>_xlfn.XLOOKUP($A169,'11'!$G$3:$G$100,'11'!$R$3:$R$100,"-")</f>
        <v/>
      </c>
      <c r="N169" s="68">
        <f>_xlfn.XLOOKUP($A169,'12'!$G$3:$G$100,'12'!$R$3:$R$100,"-")</f>
        <v/>
      </c>
      <c r="O169" s="79">
        <f>SUM(C169:N169)</f>
        <v/>
      </c>
      <c r="P169" s="74" t="n"/>
      <c r="Q169" s="82" t="n">
        <v>167</v>
      </c>
      <c r="R169" s="38" t="n"/>
      <c r="S169" s="61" t="n">
        <v>0</v>
      </c>
      <c r="T169" s="68" t="n">
        <v>0</v>
      </c>
      <c r="U169" s="68" t="n">
        <v>0</v>
      </c>
      <c r="V169" s="68" t="n">
        <v>0</v>
      </c>
      <c r="W169" s="68" t="n">
        <v>0</v>
      </c>
      <c r="X169" s="68" t="n">
        <v>0</v>
      </c>
      <c r="Y169" s="68" t="n">
        <v>0</v>
      </c>
      <c r="Z169" s="68" t="n">
        <v>0</v>
      </c>
      <c r="AA169" s="68" t="n">
        <v>0</v>
      </c>
      <c r="AB169" s="68" t="n">
        <v>0</v>
      </c>
      <c r="AC169" s="68" t="n">
        <v>0</v>
      </c>
      <c r="AD169" s="68" t="n">
        <v>0</v>
      </c>
      <c r="AE169" s="68" t="n">
        <v>0</v>
      </c>
      <c r="AF169" s="79" t="n">
        <v>0</v>
      </c>
      <c r="AG169" s="74" t="n">
        <v>0</v>
      </c>
      <c r="AH169" s="82" t="n">
        <v>167</v>
      </c>
    </row>
    <row r="170" ht="18" customHeight="1">
      <c r="C170" s="68">
        <f>_xlfn.XLOOKUP($A170,'01'!$G$3:$G$100,'01'!$R$3:$R$100,"-")</f>
        <v/>
      </c>
      <c r="D170" s="68">
        <f>_xlfn.XLOOKUP($A170,'02'!$G$3:$G$100,'02'!$R$3:$R$100,"-")</f>
        <v/>
      </c>
      <c r="E170" s="68">
        <f>_xlfn.XLOOKUP($A170,'03'!$G$3:$G$100,'03'!$R$3:$R$100,"-")</f>
        <v/>
      </c>
      <c r="F170" s="68">
        <f>_xlfn.XLOOKUP($A170,'04'!$G$3:$G$100,'04'!$R$3:$R$100,"-")</f>
        <v/>
      </c>
      <c r="G170" s="68">
        <f>_xlfn.XLOOKUP($A170,'05'!$G$3:$G$100,'05'!$R$3:$R$100,"-")</f>
        <v/>
      </c>
      <c r="H170" s="68">
        <f>_xlfn.XLOOKUP($A170,'06'!$G$3:$G$100,'06'!$R$3:$R$100,"-")</f>
        <v/>
      </c>
      <c r="I170" s="68">
        <f>_xlfn.XLOOKUP($A170,'07'!$G$3:$G$100,'07'!$R$3:$R$100,"-")</f>
        <v/>
      </c>
      <c r="J170" s="68">
        <f>_xlfn.XLOOKUP($A170,'08'!$G$3:$G$100,'08'!$R$3:$R$100,"-")</f>
        <v/>
      </c>
      <c r="K170" s="68">
        <f>_xlfn.XLOOKUP($A170,'09'!$G$3:$G$100,'09'!$R$3:$R$100,"-")</f>
        <v/>
      </c>
      <c r="L170" s="68">
        <f>_xlfn.XLOOKUP($A170,'10'!$G$3:$G$100,'10'!$R$3:$R$100,"-")</f>
        <v/>
      </c>
      <c r="M170" s="68">
        <f>_xlfn.XLOOKUP($A170,'11'!$G$3:$G$100,'11'!$R$3:$R$100,"-")</f>
        <v/>
      </c>
      <c r="N170" s="68">
        <f>_xlfn.XLOOKUP($A170,'12'!$G$3:$G$100,'12'!$R$3:$R$100,"-")</f>
        <v/>
      </c>
      <c r="O170" s="79">
        <f>SUM(C170:N170)</f>
        <v/>
      </c>
      <c r="P170" s="74" t="n"/>
      <c r="Q170" s="82" t="n">
        <v>168</v>
      </c>
      <c r="R170" s="38" t="n"/>
      <c r="S170" s="61" t="n">
        <v>0</v>
      </c>
      <c r="T170" s="68" t="n">
        <v>0</v>
      </c>
      <c r="U170" s="68" t="n">
        <v>0</v>
      </c>
      <c r="V170" s="68" t="n">
        <v>0</v>
      </c>
      <c r="W170" s="68" t="n">
        <v>0</v>
      </c>
      <c r="X170" s="68" t="n">
        <v>0</v>
      </c>
      <c r="Y170" s="68" t="n">
        <v>0</v>
      </c>
      <c r="Z170" s="68" t="n">
        <v>0</v>
      </c>
      <c r="AA170" s="68" t="n">
        <v>0</v>
      </c>
      <c r="AB170" s="68" t="n">
        <v>0</v>
      </c>
      <c r="AC170" s="68" t="n">
        <v>0</v>
      </c>
      <c r="AD170" s="68" t="n">
        <v>0</v>
      </c>
      <c r="AE170" s="68" t="n">
        <v>0</v>
      </c>
      <c r="AF170" s="79" t="n">
        <v>0</v>
      </c>
      <c r="AG170" s="74" t="n">
        <v>0</v>
      </c>
      <c r="AH170" s="82" t="n">
        <v>168</v>
      </c>
    </row>
    <row r="171" ht="18" customHeight="1">
      <c r="C171" s="68">
        <f>_xlfn.XLOOKUP($A171,'01'!$G$3:$G$100,'01'!$R$3:$R$100,"-")</f>
        <v/>
      </c>
      <c r="D171" s="68">
        <f>_xlfn.XLOOKUP($A171,'02'!$G$3:$G$100,'02'!$R$3:$R$100,"-")</f>
        <v/>
      </c>
      <c r="E171" s="68">
        <f>_xlfn.XLOOKUP($A171,'03'!$G$3:$G$100,'03'!$R$3:$R$100,"-")</f>
        <v/>
      </c>
      <c r="F171" s="68">
        <f>_xlfn.XLOOKUP($A171,'04'!$G$3:$G$100,'04'!$R$3:$R$100,"-")</f>
        <v/>
      </c>
      <c r="G171" s="68">
        <f>_xlfn.XLOOKUP($A171,'05'!$G$3:$G$100,'05'!$R$3:$R$100,"-")</f>
        <v/>
      </c>
      <c r="H171" s="68">
        <f>_xlfn.XLOOKUP($A171,'06'!$G$3:$G$100,'06'!$R$3:$R$100,"-")</f>
        <v/>
      </c>
      <c r="I171" s="68">
        <f>_xlfn.XLOOKUP($A171,'07'!$G$3:$G$100,'07'!$R$3:$R$100,"-")</f>
        <v/>
      </c>
      <c r="J171" s="68">
        <f>_xlfn.XLOOKUP($A171,'08'!$G$3:$G$100,'08'!$R$3:$R$100,"-")</f>
        <v/>
      </c>
      <c r="K171" s="68">
        <f>_xlfn.XLOOKUP($A171,'09'!$G$3:$G$100,'09'!$R$3:$R$100,"-")</f>
        <v/>
      </c>
      <c r="L171" s="68">
        <f>_xlfn.XLOOKUP($A171,'10'!$G$3:$G$100,'10'!$R$3:$R$100,"-")</f>
        <v/>
      </c>
      <c r="M171" s="68">
        <f>_xlfn.XLOOKUP($A171,'11'!$G$3:$G$100,'11'!$R$3:$R$100,"-")</f>
        <v/>
      </c>
      <c r="N171" s="68">
        <f>_xlfn.XLOOKUP($A171,'12'!$G$3:$G$100,'12'!$R$3:$R$100,"-")</f>
        <v/>
      </c>
      <c r="O171" s="79">
        <f>SUM(C171:N171)</f>
        <v/>
      </c>
      <c r="P171" s="74" t="n"/>
      <c r="Q171" s="82" t="n">
        <v>169</v>
      </c>
      <c r="R171" s="38" t="n"/>
      <c r="S171" s="61" t="n">
        <v>0</v>
      </c>
      <c r="T171" s="68" t="n">
        <v>0</v>
      </c>
      <c r="U171" s="68" t="n">
        <v>0</v>
      </c>
      <c r="V171" s="68" t="n">
        <v>0</v>
      </c>
      <c r="W171" s="68" t="n">
        <v>0</v>
      </c>
      <c r="X171" s="68" t="n">
        <v>0</v>
      </c>
      <c r="Y171" s="68" t="n">
        <v>0</v>
      </c>
      <c r="Z171" s="68" t="n">
        <v>0</v>
      </c>
      <c r="AA171" s="68" t="n">
        <v>0</v>
      </c>
      <c r="AB171" s="68" t="n">
        <v>0</v>
      </c>
      <c r="AC171" s="68" t="n">
        <v>0</v>
      </c>
      <c r="AD171" s="68" t="n">
        <v>0</v>
      </c>
      <c r="AE171" s="68" t="n">
        <v>0</v>
      </c>
      <c r="AF171" s="79" t="n">
        <v>0</v>
      </c>
      <c r="AG171" s="74" t="n">
        <v>0</v>
      </c>
      <c r="AH171" s="82" t="n">
        <v>169</v>
      </c>
    </row>
    <row r="172" ht="18" customHeight="1">
      <c r="C172" s="68">
        <f>_xlfn.XLOOKUP($A172,'01'!$G$3:$G$100,'01'!$R$3:$R$100,"-")</f>
        <v/>
      </c>
      <c r="D172" s="68">
        <f>_xlfn.XLOOKUP($A172,'02'!$G$3:$G$100,'02'!$R$3:$R$100,"-")</f>
        <v/>
      </c>
      <c r="E172" s="68">
        <f>_xlfn.XLOOKUP($A172,'03'!$G$3:$G$100,'03'!$R$3:$R$100,"-")</f>
        <v/>
      </c>
      <c r="F172" s="68">
        <f>_xlfn.XLOOKUP($A172,'04'!$G$3:$G$100,'04'!$R$3:$R$100,"-")</f>
        <v/>
      </c>
      <c r="G172" s="68">
        <f>_xlfn.XLOOKUP($A172,'05'!$G$3:$G$100,'05'!$R$3:$R$100,"-")</f>
        <v/>
      </c>
      <c r="H172" s="68">
        <f>_xlfn.XLOOKUP($A172,'06'!$G$3:$G$100,'06'!$R$3:$R$100,"-")</f>
        <v/>
      </c>
      <c r="I172" s="68">
        <f>_xlfn.XLOOKUP($A172,'07'!$G$3:$G$100,'07'!$R$3:$R$100,"-")</f>
        <v/>
      </c>
      <c r="J172" s="68">
        <f>_xlfn.XLOOKUP($A172,'08'!$G$3:$G$100,'08'!$R$3:$R$100,"-")</f>
        <v/>
      </c>
      <c r="K172" s="68">
        <f>_xlfn.XLOOKUP($A172,'09'!$G$3:$G$100,'09'!$R$3:$R$100,"-")</f>
        <v/>
      </c>
      <c r="L172" s="68">
        <f>_xlfn.XLOOKUP($A172,'10'!$G$3:$G$100,'10'!$R$3:$R$100,"-")</f>
        <v/>
      </c>
      <c r="M172" s="68">
        <f>_xlfn.XLOOKUP($A172,'11'!$G$3:$G$100,'11'!$R$3:$R$100,"-")</f>
        <v/>
      </c>
      <c r="N172" s="68">
        <f>_xlfn.XLOOKUP($A172,'12'!$G$3:$G$100,'12'!$R$3:$R$100,"-")</f>
        <v/>
      </c>
      <c r="O172" s="79">
        <f>SUM(C172:N172)</f>
        <v/>
      </c>
      <c r="P172" s="74" t="n"/>
      <c r="Q172" s="82" t="n">
        <v>170</v>
      </c>
      <c r="R172" s="38" t="n"/>
      <c r="S172" s="61" t="n">
        <v>0</v>
      </c>
      <c r="T172" s="68" t="n">
        <v>0</v>
      </c>
      <c r="U172" s="68" t="n">
        <v>0</v>
      </c>
      <c r="V172" s="68" t="n">
        <v>0</v>
      </c>
      <c r="W172" s="68" t="n">
        <v>0</v>
      </c>
      <c r="X172" s="68" t="n">
        <v>0</v>
      </c>
      <c r="Y172" s="68" t="n">
        <v>0</v>
      </c>
      <c r="Z172" s="68" t="n">
        <v>0</v>
      </c>
      <c r="AA172" s="68" t="n">
        <v>0</v>
      </c>
      <c r="AB172" s="68" t="n">
        <v>0</v>
      </c>
      <c r="AC172" s="68" t="n">
        <v>0</v>
      </c>
      <c r="AD172" s="68" t="n">
        <v>0</v>
      </c>
      <c r="AE172" s="68" t="n">
        <v>0</v>
      </c>
      <c r="AF172" s="79" t="n">
        <v>0</v>
      </c>
      <c r="AG172" s="74" t="n">
        <v>0</v>
      </c>
      <c r="AH172" s="82" t="n">
        <v>170</v>
      </c>
    </row>
    <row r="173" ht="18" customHeight="1">
      <c r="C173" s="68">
        <f>_xlfn.XLOOKUP($A173,'01'!$G$3:$G$100,'01'!$R$3:$R$100,"-")</f>
        <v/>
      </c>
      <c r="D173" s="68">
        <f>_xlfn.XLOOKUP($A173,'02'!$G$3:$G$100,'02'!$R$3:$R$100,"-")</f>
        <v/>
      </c>
      <c r="E173" s="68">
        <f>_xlfn.XLOOKUP($A173,'03'!$G$3:$G$100,'03'!$R$3:$R$100,"-")</f>
        <v/>
      </c>
      <c r="F173" s="68">
        <f>_xlfn.XLOOKUP($A173,'04'!$G$3:$G$100,'04'!$R$3:$R$100,"-")</f>
        <v/>
      </c>
      <c r="G173" s="68">
        <f>_xlfn.XLOOKUP($A173,'05'!$G$3:$G$100,'05'!$R$3:$R$100,"-")</f>
        <v/>
      </c>
      <c r="H173" s="68">
        <f>_xlfn.XLOOKUP($A173,'06'!$G$3:$G$100,'06'!$R$3:$R$100,"-")</f>
        <v/>
      </c>
      <c r="I173" s="68">
        <f>_xlfn.XLOOKUP($A173,'07'!$G$3:$G$100,'07'!$R$3:$R$100,"-")</f>
        <v/>
      </c>
      <c r="J173" s="68">
        <f>_xlfn.XLOOKUP($A173,'08'!$G$3:$G$100,'08'!$R$3:$R$100,"-")</f>
        <v/>
      </c>
      <c r="K173" s="68">
        <f>_xlfn.XLOOKUP($A173,'09'!$G$3:$G$100,'09'!$R$3:$R$100,"-")</f>
        <v/>
      </c>
      <c r="L173" s="68">
        <f>_xlfn.XLOOKUP($A173,'10'!$G$3:$G$100,'10'!$R$3:$R$100,"-")</f>
        <v/>
      </c>
      <c r="M173" s="68">
        <f>_xlfn.XLOOKUP($A173,'11'!$G$3:$G$100,'11'!$R$3:$R$100,"-")</f>
        <v/>
      </c>
      <c r="N173" s="68">
        <f>_xlfn.XLOOKUP($A173,'12'!$G$3:$G$100,'12'!$R$3:$R$100,"-")</f>
        <v/>
      </c>
      <c r="O173" s="79">
        <f>SUM(C173:N173)</f>
        <v/>
      </c>
      <c r="P173" s="74" t="n"/>
      <c r="Q173" s="82" t="n">
        <v>171</v>
      </c>
      <c r="R173" s="38" t="n"/>
      <c r="S173" s="61" t="n">
        <v>0</v>
      </c>
      <c r="T173" s="68" t="n">
        <v>0</v>
      </c>
      <c r="U173" s="68" t="n">
        <v>0</v>
      </c>
      <c r="V173" s="68" t="n">
        <v>0</v>
      </c>
      <c r="W173" s="68" t="n">
        <v>0</v>
      </c>
      <c r="X173" s="68" t="n">
        <v>0</v>
      </c>
      <c r="Y173" s="68" t="n">
        <v>0</v>
      </c>
      <c r="Z173" s="68" t="n">
        <v>0</v>
      </c>
      <c r="AA173" s="68" t="n">
        <v>0</v>
      </c>
      <c r="AB173" s="68" t="n">
        <v>0</v>
      </c>
      <c r="AC173" s="68" t="n">
        <v>0</v>
      </c>
      <c r="AD173" s="68" t="n">
        <v>0</v>
      </c>
      <c r="AE173" s="68" t="n">
        <v>0</v>
      </c>
      <c r="AF173" s="79" t="n">
        <v>0</v>
      </c>
      <c r="AG173" s="74" t="n">
        <v>0</v>
      </c>
      <c r="AH173" s="82" t="n">
        <v>171</v>
      </c>
    </row>
    <row r="174" ht="18" customHeight="1">
      <c r="C174" s="68">
        <f>_xlfn.XLOOKUP($A174,'01'!$G$3:$G$100,'01'!$R$3:$R$100,"-")</f>
        <v/>
      </c>
      <c r="D174" s="68">
        <f>_xlfn.XLOOKUP($A174,'02'!$G$3:$G$100,'02'!$R$3:$R$100,"-")</f>
        <v/>
      </c>
      <c r="E174" s="68">
        <f>_xlfn.XLOOKUP($A174,'03'!$G$3:$G$100,'03'!$R$3:$R$100,"-")</f>
        <v/>
      </c>
      <c r="F174" s="68">
        <f>_xlfn.XLOOKUP($A174,'04'!$G$3:$G$100,'04'!$R$3:$R$100,"-")</f>
        <v/>
      </c>
      <c r="G174" s="68">
        <f>_xlfn.XLOOKUP($A174,'05'!$G$3:$G$100,'05'!$R$3:$R$100,"-")</f>
        <v/>
      </c>
      <c r="H174" s="68">
        <f>_xlfn.XLOOKUP($A174,'06'!$G$3:$G$100,'06'!$R$3:$R$100,"-")</f>
        <v/>
      </c>
      <c r="I174" s="68">
        <f>_xlfn.XLOOKUP($A174,'07'!$G$3:$G$100,'07'!$R$3:$R$100,"-")</f>
        <v/>
      </c>
      <c r="J174" s="68">
        <f>_xlfn.XLOOKUP($A174,'08'!$G$3:$G$100,'08'!$R$3:$R$100,"-")</f>
        <v/>
      </c>
      <c r="K174" s="68">
        <f>_xlfn.XLOOKUP($A174,'09'!$G$3:$G$100,'09'!$R$3:$R$100,"-")</f>
        <v/>
      </c>
      <c r="L174" s="68">
        <f>_xlfn.XLOOKUP($A174,'10'!$G$3:$G$100,'10'!$R$3:$R$100,"-")</f>
        <v/>
      </c>
      <c r="M174" s="68">
        <f>_xlfn.XLOOKUP($A174,'11'!$G$3:$G$100,'11'!$R$3:$R$100,"-")</f>
        <v/>
      </c>
      <c r="N174" s="68">
        <f>_xlfn.XLOOKUP($A174,'12'!$G$3:$G$100,'12'!$R$3:$R$100,"-")</f>
        <v/>
      </c>
      <c r="O174" s="79">
        <f>SUM(C174:N174)</f>
        <v/>
      </c>
      <c r="P174" s="74" t="n"/>
      <c r="Q174" s="82" t="n">
        <v>172</v>
      </c>
      <c r="R174" s="38" t="n"/>
      <c r="S174" s="61" t="n">
        <v>0</v>
      </c>
      <c r="T174" s="68" t="n">
        <v>0</v>
      </c>
      <c r="U174" s="68" t="n">
        <v>0</v>
      </c>
      <c r="V174" s="68" t="n">
        <v>0</v>
      </c>
      <c r="W174" s="68" t="n">
        <v>0</v>
      </c>
      <c r="X174" s="68" t="n">
        <v>0</v>
      </c>
      <c r="Y174" s="68" t="n">
        <v>0</v>
      </c>
      <c r="Z174" s="68" t="n">
        <v>0</v>
      </c>
      <c r="AA174" s="68" t="n">
        <v>0</v>
      </c>
      <c r="AB174" s="68" t="n">
        <v>0</v>
      </c>
      <c r="AC174" s="68" t="n">
        <v>0</v>
      </c>
      <c r="AD174" s="68" t="n">
        <v>0</v>
      </c>
      <c r="AE174" s="68" t="n">
        <v>0</v>
      </c>
      <c r="AF174" s="79" t="n">
        <v>0</v>
      </c>
      <c r="AG174" s="74" t="n">
        <v>0</v>
      </c>
      <c r="AH174" s="82" t="n">
        <v>172</v>
      </c>
    </row>
    <row r="175" ht="18" customHeight="1">
      <c r="C175" s="68">
        <f>_xlfn.XLOOKUP($A175,'01'!$G$3:$G$100,'01'!$R$3:$R$100,"-")</f>
        <v/>
      </c>
      <c r="D175" s="68">
        <f>_xlfn.XLOOKUP($A175,'02'!$G$3:$G$100,'02'!$R$3:$R$100,"-")</f>
        <v/>
      </c>
      <c r="E175" s="68">
        <f>_xlfn.XLOOKUP($A175,'03'!$G$3:$G$100,'03'!$R$3:$R$100,"-")</f>
        <v/>
      </c>
      <c r="F175" s="68">
        <f>_xlfn.XLOOKUP($A175,'04'!$G$3:$G$100,'04'!$R$3:$R$100,"-")</f>
        <v/>
      </c>
      <c r="G175" s="68">
        <f>_xlfn.XLOOKUP($A175,'05'!$G$3:$G$100,'05'!$R$3:$R$100,"-")</f>
        <v/>
      </c>
      <c r="H175" s="68">
        <f>_xlfn.XLOOKUP($A175,'06'!$G$3:$G$100,'06'!$R$3:$R$100,"-")</f>
        <v/>
      </c>
      <c r="I175" s="68">
        <f>_xlfn.XLOOKUP($A175,'07'!$G$3:$G$100,'07'!$R$3:$R$100,"-")</f>
        <v/>
      </c>
      <c r="J175" s="68">
        <f>_xlfn.XLOOKUP($A175,'08'!$G$3:$G$100,'08'!$R$3:$R$100,"-")</f>
        <v/>
      </c>
      <c r="K175" s="68">
        <f>_xlfn.XLOOKUP($A175,'09'!$G$3:$G$100,'09'!$R$3:$R$100,"-")</f>
        <v/>
      </c>
      <c r="L175" s="68">
        <f>_xlfn.XLOOKUP($A175,'10'!$G$3:$G$100,'10'!$R$3:$R$100,"-")</f>
        <v/>
      </c>
      <c r="M175" s="68">
        <f>_xlfn.XLOOKUP($A175,'11'!$G$3:$G$100,'11'!$R$3:$R$100,"-")</f>
        <v/>
      </c>
      <c r="N175" s="68">
        <f>_xlfn.XLOOKUP($A175,'12'!$G$3:$G$100,'12'!$R$3:$R$100,"-")</f>
        <v/>
      </c>
      <c r="O175" s="79">
        <f>SUM(C175:N175)</f>
        <v/>
      </c>
      <c r="P175" s="74" t="n"/>
      <c r="Q175" s="82" t="n">
        <v>173</v>
      </c>
      <c r="R175" s="38" t="n"/>
      <c r="S175" s="61" t="n">
        <v>0</v>
      </c>
      <c r="T175" s="68" t="n">
        <v>0</v>
      </c>
      <c r="U175" s="68" t="n">
        <v>0</v>
      </c>
      <c r="V175" s="68" t="n">
        <v>0</v>
      </c>
      <c r="W175" s="68" t="n">
        <v>0</v>
      </c>
      <c r="X175" s="68" t="n">
        <v>0</v>
      </c>
      <c r="Y175" s="68" t="n">
        <v>0</v>
      </c>
      <c r="Z175" s="68" t="n">
        <v>0</v>
      </c>
      <c r="AA175" s="68" t="n">
        <v>0</v>
      </c>
      <c r="AB175" s="68" t="n">
        <v>0</v>
      </c>
      <c r="AC175" s="68" t="n">
        <v>0</v>
      </c>
      <c r="AD175" s="68" t="n">
        <v>0</v>
      </c>
      <c r="AE175" s="68" t="n">
        <v>0</v>
      </c>
      <c r="AF175" s="79" t="n">
        <v>0</v>
      </c>
      <c r="AG175" s="74" t="n">
        <v>0</v>
      </c>
      <c r="AH175" s="82" t="n">
        <v>173</v>
      </c>
    </row>
    <row r="176" ht="18" customHeight="1">
      <c r="C176" s="68">
        <f>_xlfn.XLOOKUP($A176,'01'!$G$3:$G$100,'01'!$R$3:$R$100,"-")</f>
        <v/>
      </c>
      <c r="D176" s="68">
        <f>_xlfn.XLOOKUP($A176,'02'!$G$3:$G$100,'02'!$R$3:$R$100,"-")</f>
        <v/>
      </c>
      <c r="E176" s="68">
        <f>_xlfn.XLOOKUP($A176,'03'!$G$3:$G$100,'03'!$R$3:$R$100,"-")</f>
        <v/>
      </c>
      <c r="F176" s="68">
        <f>_xlfn.XLOOKUP($A176,'04'!$G$3:$G$100,'04'!$R$3:$R$100,"-")</f>
        <v/>
      </c>
      <c r="G176" s="68">
        <f>_xlfn.XLOOKUP($A176,'05'!$G$3:$G$100,'05'!$R$3:$R$100,"-")</f>
        <v/>
      </c>
      <c r="H176" s="68">
        <f>_xlfn.XLOOKUP($A176,'06'!$G$3:$G$100,'06'!$R$3:$R$100,"-")</f>
        <v/>
      </c>
      <c r="I176" s="68">
        <f>_xlfn.XLOOKUP($A176,'07'!$G$3:$G$100,'07'!$R$3:$R$100,"-")</f>
        <v/>
      </c>
      <c r="J176" s="68">
        <f>_xlfn.XLOOKUP($A176,'08'!$G$3:$G$100,'08'!$R$3:$R$100,"-")</f>
        <v/>
      </c>
      <c r="K176" s="68">
        <f>_xlfn.XLOOKUP($A176,'09'!$G$3:$G$100,'09'!$R$3:$R$100,"-")</f>
        <v/>
      </c>
      <c r="L176" s="68">
        <f>_xlfn.XLOOKUP($A176,'10'!$G$3:$G$100,'10'!$R$3:$R$100,"-")</f>
        <v/>
      </c>
      <c r="M176" s="68">
        <f>_xlfn.XLOOKUP($A176,'11'!$G$3:$G$100,'11'!$R$3:$R$100,"-")</f>
        <v/>
      </c>
      <c r="N176" s="68">
        <f>_xlfn.XLOOKUP($A176,'12'!$G$3:$G$100,'12'!$R$3:$R$100,"-")</f>
        <v/>
      </c>
      <c r="O176" s="79">
        <f>SUM(C176:N176)</f>
        <v/>
      </c>
      <c r="P176" s="74" t="n"/>
      <c r="Q176" s="82" t="n">
        <v>174</v>
      </c>
      <c r="R176" s="38" t="n"/>
      <c r="S176" s="61" t="n">
        <v>0</v>
      </c>
      <c r="T176" s="68" t="n">
        <v>0</v>
      </c>
      <c r="U176" s="68" t="n">
        <v>0</v>
      </c>
      <c r="V176" s="68" t="n">
        <v>0</v>
      </c>
      <c r="W176" s="68" t="n">
        <v>0</v>
      </c>
      <c r="X176" s="68" t="n">
        <v>0</v>
      </c>
      <c r="Y176" s="68" t="n">
        <v>0</v>
      </c>
      <c r="Z176" s="68" t="n">
        <v>0</v>
      </c>
      <c r="AA176" s="68" t="n">
        <v>0</v>
      </c>
      <c r="AB176" s="68" t="n">
        <v>0</v>
      </c>
      <c r="AC176" s="68" t="n">
        <v>0</v>
      </c>
      <c r="AD176" s="68" t="n">
        <v>0</v>
      </c>
      <c r="AE176" s="68" t="n">
        <v>0</v>
      </c>
      <c r="AF176" s="79" t="n">
        <v>0</v>
      </c>
      <c r="AG176" s="74" t="n">
        <v>0</v>
      </c>
      <c r="AH176" s="82" t="n">
        <v>174</v>
      </c>
    </row>
    <row r="177" ht="18" customHeight="1">
      <c r="C177" s="68">
        <f>_xlfn.XLOOKUP($A177,'01'!$G$3:$G$100,'01'!$R$3:$R$100,"-")</f>
        <v/>
      </c>
      <c r="D177" s="68">
        <f>_xlfn.XLOOKUP($A177,'02'!$G$3:$G$100,'02'!$R$3:$R$100,"-")</f>
        <v/>
      </c>
      <c r="E177" s="68">
        <f>_xlfn.XLOOKUP($A177,'03'!$G$3:$G$100,'03'!$R$3:$R$100,"-")</f>
        <v/>
      </c>
      <c r="F177" s="68">
        <f>_xlfn.XLOOKUP($A177,'04'!$G$3:$G$100,'04'!$R$3:$R$100,"-")</f>
        <v/>
      </c>
      <c r="G177" s="68">
        <f>_xlfn.XLOOKUP($A177,'05'!$G$3:$G$100,'05'!$R$3:$R$100,"-")</f>
        <v/>
      </c>
      <c r="H177" s="68">
        <f>_xlfn.XLOOKUP($A177,'06'!$G$3:$G$100,'06'!$R$3:$R$100,"-")</f>
        <v/>
      </c>
      <c r="I177" s="68">
        <f>_xlfn.XLOOKUP($A177,'07'!$G$3:$G$100,'07'!$R$3:$R$100,"-")</f>
        <v/>
      </c>
      <c r="J177" s="68">
        <f>_xlfn.XLOOKUP($A177,'08'!$G$3:$G$100,'08'!$R$3:$R$100,"-")</f>
        <v/>
      </c>
      <c r="K177" s="68">
        <f>_xlfn.XLOOKUP($A177,'09'!$G$3:$G$100,'09'!$R$3:$R$100,"-")</f>
        <v/>
      </c>
      <c r="L177" s="68">
        <f>_xlfn.XLOOKUP($A177,'10'!$G$3:$G$100,'10'!$R$3:$R$100,"-")</f>
        <v/>
      </c>
      <c r="M177" s="68">
        <f>_xlfn.XLOOKUP($A177,'11'!$G$3:$G$100,'11'!$R$3:$R$100,"-")</f>
        <v/>
      </c>
      <c r="N177" s="68">
        <f>_xlfn.XLOOKUP($A177,'12'!$G$3:$G$100,'12'!$R$3:$R$100,"-")</f>
        <v/>
      </c>
      <c r="O177" s="79">
        <f>SUM(C177:N177)</f>
        <v/>
      </c>
      <c r="P177" s="74" t="n"/>
      <c r="Q177" s="83" t="n">
        <v>175</v>
      </c>
      <c r="R177" s="38" t="n"/>
      <c r="S177" s="61" t="n">
        <v>0</v>
      </c>
      <c r="T177" s="68" t="n">
        <v>0</v>
      </c>
      <c r="U177" s="68" t="n">
        <v>0</v>
      </c>
      <c r="V177" s="68" t="n">
        <v>0</v>
      </c>
      <c r="W177" s="68" t="n">
        <v>0</v>
      </c>
      <c r="X177" s="68" t="n">
        <v>0</v>
      </c>
      <c r="Y177" s="68" t="n">
        <v>0</v>
      </c>
      <c r="Z177" s="68" t="n">
        <v>0</v>
      </c>
      <c r="AA177" s="68" t="n">
        <v>0</v>
      </c>
      <c r="AB177" s="68" t="n">
        <v>0</v>
      </c>
      <c r="AC177" s="68" t="n">
        <v>0</v>
      </c>
      <c r="AD177" s="68" t="n">
        <v>0</v>
      </c>
      <c r="AE177" s="68" t="n">
        <v>0</v>
      </c>
      <c r="AF177" s="79" t="n">
        <v>0</v>
      </c>
      <c r="AG177" s="74" t="n">
        <v>0</v>
      </c>
      <c r="AH177" s="83" t="n">
        <v>175</v>
      </c>
    </row>
    <row r="178" ht="18" customHeight="1">
      <c r="C178" s="68">
        <f>_xlfn.XLOOKUP($A178,'01'!$G$3:$G$100,'01'!$R$3:$R$100,"-")</f>
        <v/>
      </c>
      <c r="D178" s="68">
        <f>_xlfn.XLOOKUP($A178,'02'!$G$3:$G$100,'02'!$R$3:$R$100,"-")</f>
        <v/>
      </c>
      <c r="E178" s="68">
        <f>_xlfn.XLOOKUP($A178,'03'!$G$3:$G$100,'03'!$R$3:$R$100,"-")</f>
        <v/>
      </c>
      <c r="F178" s="68">
        <f>_xlfn.XLOOKUP($A178,'04'!$G$3:$G$100,'04'!$R$3:$R$100,"-")</f>
        <v/>
      </c>
      <c r="G178" s="68">
        <f>_xlfn.XLOOKUP($A178,'05'!$G$3:$G$100,'05'!$R$3:$R$100,"-")</f>
        <v/>
      </c>
      <c r="H178" s="68">
        <f>_xlfn.XLOOKUP($A178,'06'!$G$3:$G$100,'06'!$R$3:$R$100,"-")</f>
        <v/>
      </c>
      <c r="I178" s="68">
        <f>_xlfn.XLOOKUP($A178,'07'!$G$3:$G$100,'07'!$R$3:$R$100,"-")</f>
        <v/>
      </c>
      <c r="J178" s="68">
        <f>_xlfn.XLOOKUP($A178,'08'!$G$3:$G$100,'08'!$R$3:$R$100,"-")</f>
        <v/>
      </c>
      <c r="K178" s="68">
        <f>_xlfn.XLOOKUP($A178,'09'!$G$3:$G$100,'09'!$R$3:$R$100,"-")</f>
        <v/>
      </c>
      <c r="L178" s="68">
        <f>_xlfn.XLOOKUP($A178,'10'!$G$3:$G$100,'10'!$R$3:$R$100,"-")</f>
        <v/>
      </c>
      <c r="M178" s="68">
        <f>_xlfn.XLOOKUP($A178,'11'!$G$3:$G$100,'11'!$R$3:$R$100,"-")</f>
        <v/>
      </c>
      <c r="N178" s="68">
        <f>_xlfn.XLOOKUP($A178,'12'!$G$3:$G$100,'12'!$R$3:$R$100,"-")</f>
        <v/>
      </c>
      <c r="O178" s="79">
        <f>SUM(C178:N178)</f>
        <v/>
      </c>
      <c r="P178" s="74" t="n"/>
      <c r="Q178" s="82" t="n">
        <v>176</v>
      </c>
      <c r="R178" s="38" t="n"/>
      <c r="S178" s="61" t="n">
        <v>0</v>
      </c>
      <c r="T178" s="68" t="n">
        <v>0</v>
      </c>
      <c r="U178" s="68" t="n">
        <v>0</v>
      </c>
      <c r="V178" s="68" t="n">
        <v>0</v>
      </c>
      <c r="W178" s="68" t="n">
        <v>0</v>
      </c>
      <c r="X178" s="68" t="n">
        <v>0</v>
      </c>
      <c r="Y178" s="68" t="n">
        <v>0</v>
      </c>
      <c r="Z178" s="68" t="n">
        <v>0</v>
      </c>
      <c r="AA178" s="68" t="n">
        <v>0</v>
      </c>
      <c r="AB178" s="68" t="n">
        <v>0</v>
      </c>
      <c r="AC178" s="68" t="n">
        <v>0</v>
      </c>
      <c r="AD178" s="68" t="n">
        <v>0</v>
      </c>
      <c r="AE178" s="68" t="n">
        <v>0</v>
      </c>
      <c r="AF178" s="79" t="n">
        <v>0</v>
      </c>
      <c r="AG178" s="74" t="n">
        <v>0</v>
      </c>
      <c r="AH178" s="82" t="n">
        <v>176</v>
      </c>
    </row>
    <row r="179" ht="18" customHeight="1">
      <c r="C179" s="68">
        <f>_xlfn.XLOOKUP($A179,'01'!$G$3:$G$100,'01'!$R$3:$R$100,"-")</f>
        <v/>
      </c>
      <c r="D179" s="68">
        <f>_xlfn.XLOOKUP($A179,'02'!$G$3:$G$100,'02'!$R$3:$R$100,"-")</f>
        <v/>
      </c>
      <c r="E179" s="68">
        <f>_xlfn.XLOOKUP($A179,'03'!$G$3:$G$100,'03'!$R$3:$R$100,"-")</f>
        <v/>
      </c>
      <c r="F179" s="68">
        <f>_xlfn.XLOOKUP($A179,'04'!$G$3:$G$100,'04'!$R$3:$R$100,"-")</f>
        <v/>
      </c>
      <c r="G179" s="68">
        <f>_xlfn.XLOOKUP($A179,'05'!$G$3:$G$100,'05'!$R$3:$R$100,"-")</f>
        <v/>
      </c>
      <c r="H179" s="68">
        <f>_xlfn.XLOOKUP($A179,'06'!$G$3:$G$100,'06'!$R$3:$R$100,"-")</f>
        <v/>
      </c>
      <c r="I179" s="68">
        <f>_xlfn.XLOOKUP($A179,'07'!$G$3:$G$100,'07'!$R$3:$R$100,"-")</f>
        <v/>
      </c>
      <c r="J179" s="68">
        <f>_xlfn.XLOOKUP($A179,'08'!$G$3:$G$100,'08'!$R$3:$R$100,"-")</f>
        <v/>
      </c>
      <c r="K179" s="68">
        <f>_xlfn.XLOOKUP($A179,'09'!$G$3:$G$100,'09'!$R$3:$R$100,"-")</f>
        <v/>
      </c>
      <c r="L179" s="68">
        <f>_xlfn.XLOOKUP($A179,'10'!$G$3:$G$100,'10'!$R$3:$R$100,"-")</f>
        <v/>
      </c>
      <c r="M179" s="68">
        <f>_xlfn.XLOOKUP($A179,'11'!$G$3:$G$100,'11'!$R$3:$R$100,"-")</f>
        <v/>
      </c>
      <c r="N179" s="68">
        <f>_xlfn.XLOOKUP($A179,'12'!$G$3:$G$100,'12'!$R$3:$R$100,"-")</f>
        <v/>
      </c>
      <c r="O179" s="79">
        <f>SUM(C179:N179)</f>
        <v/>
      </c>
      <c r="P179" s="74" t="n"/>
      <c r="Q179" s="82" t="n">
        <v>177</v>
      </c>
      <c r="R179" s="38" t="n"/>
      <c r="S179" s="61" t="n">
        <v>0</v>
      </c>
      <c r="T179" s="68" t="n">
        <v>0</v>
      </c>
      <c r="U179" s="68" t="n">
        <v>0</v>
      </c>
      <c r="V179" s="68" t="n">
        <v>0</v>
      </c>
      <c r="W179" s="68" t="n">
        <v>0</v>
      </c>
      <c r="X179" s="68" t="n">
        <v>0</v>
      </c>
      <c r="Y179" s="68" t="n">
        <v>0</v>
      </c>
      <c r="Z179" s="68" t="n">
        <v>0</v>
      </c>
      <c r="AA179" s="68" t="n">
        <v>0</v>
      </c>
      <c r="AB179" s="68" t="n">
        <v>0</v>
      </c>
      <c r="AC179" s="68" t="n">
        <v>0</v>
      </c>
      <c r="AD179" s="68" t="n">
        <v>0</v>
      </c>
      <c r="AE179" s="68" t="n">
        <v>0</v>
      </c>
      <c r="AF179" s="79" t="n">
        <v>0</v>
      </c>
      <c r="AG179" s="74" t="n">
        <v>0</v>
      </c>
      <c r="AH179" s="82" t="n">
        <v>177</v>
      </c>
    </row>
    <row r="180" ht="18" customHeight="1">
      <c r="C180" s="68">
        <f>_xlfn.XLOOKUP($A180,'01'!$G$3:$G$100,'01'!$R$3:$R$100,"-")</f>
        <v/>
      </c>
      <c r="D180" s="68">
        <f>_xlfn.XLOOKUP($A180,'02'!$G$3:$G$100,'02'!$R$3:$R$100,"-")</f>
        <v/>
      </c>
      <c r="E180" s="68">
        <f>_xlfn.XLOOKUP($A180,'03'!$G$3:$G$100,'03'!$R$3:$R$100,"-")</f>
        <v/>
      </c>
      <c r="F180" s="68">
        <f>_xlfn.XLOOKUP($A180,'04'!$G$3:$G$100,'04'!$R$3:$R$100,"-")</f>
        <v/>
      </c>
      <c r="G180" s="68">
        <f>_xlfn.XLOOKUP($A180,'05'!$G$3:$G$100,'05'!$R$3:$R$100,"-")</f>
        <v/>
      </c>
      <c r="H180" s="68">
        <f>_xlfn.XLOOKUP($A180,'06'!$G$3:$G$100,'06'!$R$3:$R$100,"-")</f>
        <v/>
      </c>
      <c r="I180" s="68">
        <f>_xlfn.XLOOKUP($A180,'07'!$G$3:$G$100,'07'!$R$3:$R$100,"-")</f>
        <v/>
      </c>
      <c r="J180" s="68">
        <f>_xlfn.XLOOKUP($A180,'08'!$G$3:$G$100,'08'!$R$3:$R$100,"-")</f>
        <v/>
      </c>
      <c r="K180" s="68">
        <f>_xlfn.XLOOKUP($A180,'09'!$G$3:$G$100,'09'!$R$3:$R$100,"-")</f>
        <v/>
      </c>
      <c r="L180" s="68">
        <f>_xlfn.XLOOKUP($A180,'10'!$G$3:$G$100,'10'!$R$3:$R$100,"-")</f>
        <v/>
      </c>
      <c r="M180" s="68">
        <f>_xlfn.XLOOKUP($A180,'11'!$G$3:$G$100,'11'!$R$3:$R$100,"-")</f>
        <v/>
      </c>
      <c r="N180" s="68">
        <f>_xlfn.XLOOKUP($A180,'12'!$G$3:$G$100,'12'!$R$3:$R$100,"-")</f>
        <v/>
      </c>
      <c r="O180" s="79">
        <f>SUM(C180:N180)</f>
        <v/>
      </c>
      <c r="P180" s="74" t="n"/>
      <c r="Q180" s="82" t="n">
        <v>178</v>
      </c>
      <c r="R180" s="38" t="n"/>
      <c r="S180" s="61" t="n">
        <v>0</v>
      </c>
      <c r="T180" s="68" t="n">
        <v>0</v>
      </c>
      <c r="U180" s="68" t="n">
        <v>0</v>
      </c>
      <c r="V180" s="68" t="n">
        <v>0</v>
      </c>
      <c r="W180" s="68" t="n">
        <v>0</v>
      </c>
      <c r="X180" s="68" t="n">
        <v>0</v>
      </c>
      <c r="Y180" s="68" t="n">
        <v>0</v>
      </c>
      <c r="Z180" s="68" t="n">
        <v>0</v>
      </c>
      <c r="AA180" s="68" t="n">
        <v>0</v>
      </c>
      <c r="AB180" s="68" t="n">
        <v>0</v>
      </c>
      <c r="AC180" s="68" t="n">
        <v>0</v>
      </c>
      <c r="AD180" s="68" t="n">
        <v>0</v>
      </c>
      <c r="AE180" s="68" t="n">
        <v>0</v>
      </c>
      <c r="AF180" s="79" t="n">
        <v>0</v>
      </c>
      <c r="AG180" s="74" t="n">
        <v>0</v>
      </c>
      <c r="AH180" s="82" t="n">
        <v>178</v>
      </c>
    </row>
    <row r="181" ht="18" customHeight="1">
      <c r="C181" s="68">
        <f>_xlfn.XLOOKUP($A181,'01'!$G$3:$G$100,'01'!$R$3:$R$100,"-")</f>
        <v/>
      </c>
      <c r="D181" s="68">
        <f>_xlfn.XLOOKUP($A181,'02'!$G$3:$G$100,'02'!$R$3:$R$100,"-")</f>
        <v/>
      </c>
      <c r="E181" s="68">
        <f>_xlfn.XLOOKUP($A181,'03'!$G$3:$G$100,'03'!$R$3:$R$100,"-")</f>
        <v/>
      </c>
      <c r="F181" s="68">
        <f>_xlfn.XLOOKUP($A181,'04'!$G$3:$G$100,'04'!$R$3:$R$100,"-")</f>
        <v/>
      </c>
      <c r="G181" s="68">
        <f>_xlfn.XLOOKUP($A181,'05'!$G$3:$G$100,'05'!$R$3:$R$100,"-")</f>
        <v/>
      </c>
      <c r="H181" s="68">
        <f>_xlfn.XLOOKUP($A181,'06'!$G$3:$G$100,'06'!$R$3:$R$100,"-")</f>
        <v/>
      </c>
      <c r="I181" s="68">
        <f>_xlfn.XLOOKUP($A181,'07'!$G$3:$G$100,'07'!$R$3:$R$100,"-")</f>
        <v/>
      </c>
      <c r="J181" s="68">
        <f>_xlfn.XLOOKUP($A181,'08'!$G$3:$G$100,'08'!$R$3:$R$100,"-")</f>
        <v/>
      </c>
      <c r="K181" s="68">
        <f>_xlfn.XLOOKUP($A181,'09'!$G$3:$G$100,'09'!$R$3:$R$100,"-")</f>
        <v/>
      </c>
      <c r="L181" s="68">
        <f>_xlfn.XLOOKUP($A181,'10'!$G$3:$G$100,'10'!$R$3:$R$100,"-")</f>
        <v/>
      </c>
      <c r="M181" s="68">
        <f>_xlfn.XLOOKUP($A181,'11'!$G$3:$G$100,'11'!$R$3:$R$100,"-")</f>
        <v/>
      </c>
      <c r="N181" s="68">
        <f>_xlfn.XLOOKUP($A181,'12'!$G$3:$G$100,'12'!$R$3:$R$100,"-")</f>
        <v/>
      </c>
      <c r="O181" s="79">
        <f>SUM(C181:N181)</f>
        <v/>
      </c>
      <c r="P181" s="74" t="n"/>
      <c r="Q181" s="82" t="n">
        <v>179</v>
      </c>
      <c r="R181" s="38" t="n"/>
      <c r="S181" s="61" t="n">
        <v>0</v>
      </c>
      <c r="T181" s="68" t="n">
        <v>0</v>
      </c>
      <c r="U181" s="68" t="n">
        <v>0</v>
      </c>
      <c r="V181" s="68" t="n">
        <v>0</v>
      </c>
      <c r="W181" s="68" t="n">
        <v>0</v>
      </c>
      <c r="X181" s="68" t="n">
        <v>0</v>
      </c>
      <c r="Y181" s="68" t="n">
        <v>0</v>
      </c>
      <c r="Z181" s="68" t="n">
        <v>0</v>
      </c>
      <c r="AA181" s="68" t="n">
        <v>0</v>
      </c>
      <c r="AB181" s="68" t="n">
        <v>0</v>
      </c>
      <c r="AC181" s="68" t="n">
        <v>0</v>
      </c>
      <c r="AD181" s="68" t="n">
        <v>0</v>
      </c>
      <c r="AE181" s="68" t="n">
        <v>0</v>
      </c>
      <c r="AF181" s="79" t="n">
        <v>0</v>
      </c>
      <c r="AG181" s="74" t="n">
        <v>0</v>
      </c>
      <c r="AH181" s="82" t="n">
        <v>179</v>
      </c>
    </row>
    <row r="182" ht="18" customHeight="1">
      <c r="C182" s="68">
        <f>_xlfn.XLOOKUP($A182,'01'!$G$3:$G$100,'01'!$R$3:$R$100,"-")</f>
        <v/>
      </c>
      <c r="D182" s="68">
        <f>_xlfn.XLOOKUP($A182,'02'!$G$3:$G$100,'02'!$R$3:$R$100,"-")</f>
        <v/>
      </c>
      <c r="E182" s="68">
        <f>_xlfn.XLOOKUP($A182,'03'!$G$3:$G$100,'03'!$R$3:$R$100,"-")</f>
        <v/>
      </c>
      <c r="F182" s="68">
        <f>_xlfn.XLOOKUP($A182,'04'!$G$3:$G$100,'04'!$R$3:$R$100,"-")</f>
        <v/>
      </c>
      <c r="G182" s="68">
        <f>_xlfn.XLOOKUP($A182,'05'!$G$3:$G$100,'05'!$R$3:$R$100,"-")</f>
        <v/>
      </c>
      <c r="H182" s="68">
        <f>_xlfn.XLOOKUP($A182,'06'!$G$3:$G$100,'06'!$R$3:$R$100,"-")</f>
        <v/>
      </c>
      <c r="I182" s="68">
        <f>_xlfn.XLOOKUP($A182,'07'!$G$3:$G$100,'07'!$R$3:$R$100,"-")</f>
        <v/>
      </c>
      <c r="J182" s="68">
        <f>_xlfn.XLOOKUP($A182,'08'!$G$3:$G$100,'08'!$R$3:$R$100,"-")</f>
        <v/>
      </c>
      <c r="K182" s="68">
        <f>_xlfn.XLOOKUP($A182,'09'!$G$3:$G$100,'09'!$R$3:$R$100,"-")</f>
        <v/>
      </c>
      <c r="L182" s="68">
        <f>_xlfn.XLOOKUP($A182,'10'!$G$3:$G$100,'10'!$R$3:$R$100,"-")</f>
        <v/>
      </c>
      <c r="M182" s="68">
        <f>_xlfn.XLOOKUP($A182,'11'!$G$3:$G$100,'11'!$R$3:$R$100,"-")</f>
        <v/>
      </c>
      <c r="N182" s="68">
        <f>_xlfn.XLOOKUP($A182,'12'!$G$3:$G$100,'12'!$R$3:$R$100,"-")</f>
        <v/>
      </c>
      <c r="O182" s="79">
        <f>SUM(C182:N182)</f>
        <v/>
      </c>
      <c r="P182" s="74" t="n"/>
      <c r="Q182" s="82" t="n">
        <v>180</v>
      </c>
      <c r="R182" s="38" t="n"/>
      <c r="S182" s="61" t="n">
        <v>0</v>
      </c>
      <c r="T182" s="68" t="n">
        <v>0</v>
      </c>
      <c r="U182" s="68" t="n">
        <v>0</v>
      </c>
      <c r="V182" s="68" t="n">
        <v>0</v>
      </c>
      <c r="W182" s="68" t="n">
        <v>0</v>
      </c>
      <c r="X182" s="68" t="n">
        <v>0</v>
      </c>
      <c r="Y182" s="68" t="n">
        <v>0</v>
      </c>
      <c r="Z182" s="68" t="n">
        <v>0</v>
      </c>
      <c r="AA182" s="68" t="n">
        <v>0</v>
      </c>
      <c r="AB182" s="68" t="n">
        <v>0</v>
      </c>
      <c r="AC182" s="68" t="n">
        <v>0</v>
      </c>
      <c r="AD182" s="68" t="n">
        <v>0</v>
      </c>
      <c r="AE182" s="68" t="n">
        <v>0</v>
      </c>
      <c r="AF182" s="79" t="n">
        <v>0</v>
      </c>
      <c r="AG182" s="74" t="n">
        <v>0</v>
      </c>
      <c r="AH182" s="82" t="n">
        <v>180</v>
      </c>
    </row>
    <row r="183" ht="18" customHeight="1">
      <c r="C183" s="68">
        <f>_xlfn.XLOOKUP($A183,'01'!$G$3:$G$100,'01'!$R$3:$R$100,"-")</f>
        <v/>
      </c>
      <c r="D183" s="68">
        <f>_xlfn.XLOOKUP($A183,'02'!$G$3:$G$100,'02'!$R$3:$R$100,"-")</f>
        <v/>
      </c>
      <c r="E183" s="68">
        <f>_xlfn.XLOOKUP($A183,'03'!$G$3:$G$100,'03'!$R$3:$R$100,"-")</f>
        <v/>
      </c>
      <c r="F183" s="68">
        <f>_xlfn.XLOOKUP($A183,'04'!$G$3:$G$100,'04'!$R$3:$R$100,"-")</f>
        <v/>
      </c>
      <c r="G183" s="68">
        <f>_xlfn.XLOOKUP($A183,'05'!$G$3:$G$100,'05'!$R$3:$R$100,"-")</f>
        <v/>
      </c>
      <c r="H183" s="68">
        <f>_xlfn.XLOOKUP($A183,'06'!$G$3:$G$100,'06'!$R$3:$R$100,"-")</f>
        <v/>
      </c>
      <c r="I183" s="68">
        <f>_xlfn.XLOOKUP($A183,'07'!$G$3:$G$100,'07'!$R$3:$R$100,"-")</f>
        <v/>
      </c>
      <c r="J183" s="68">
        <f>_xlfn.XLOOKUP($A183,'08'!$G$3:$G$100,'08'!$R$3:$R$100,"-")</f>
        <v/>
      </c>
      <c r="K183" s="68">
        <f>_xlfn.XLOOKUP($A183,'09'!$G$3:$G$100,'09'!$R$3:$R$100,"-")</f>
        <v/>
      </c>
      <c r="L183" s="68">
        <f>_xlfn.XLOOKUP($A183,'10'!$G$3:$G$100,'10'!$R$3:$R$100,"-")</f>
        <v/>
      </c>
      <c r="M183" s="68">
        <f>_xlfn.XLOOKUP($A183,'11'!$G$3:$G$100,'11'!$R$3:$R$100,"-")</f>
        <v/>
      </c>
      <c r="N183" s="68">
        <f>_xlfn.XLOOKUP($A183,'12'!$G$3:$G$100,'12'!$R$3:$R$100,"-")</f>
        <v/>
      </c>
      <c r="O183" s="79">
        <f>SUM(C183:N183)</f>
        <v/>
      </c>
      <c r="P183" s="74" t="n"/>
      <c r="Q183" s="82" t="n">
        <v>181</v>
      </c>
      <c r="R183" s="38" t="n"/>
      <c r="S183" s="61" t="n">
        <v>0</v>
      </c>
      <c r="T183" s="68" t="n">
        <v>0</v>
      </c>
      <c r="U183" s="68" t="n">
        <v>0</v>
      </c>
      <c r="V183" s="68" t="n">
        <v>0</v>
      </c>
      <c r="W183" s="68" t="n">
        <v>0</v>
      </c>
      <c r="X183" s="68" t="n">
        <v>0</v>
      </c>
      <c r="Y183" s="68" t="n">
        <v>0</v>
      </c>
      <c r="Z183" s="68" t="n">
        <v>0</v>
      </c>
      <c r="AA183" s="68" t="n">
        <v>0</v>
      </c>
      <c r="AB183" s="68" t="n">
        <v>0</v>
      </c>
      <c r="AC183" s="68" t="n">
        <v>0</v>
      </c>
      <c r="AD183" s="68" t="n">
        <v>0</v>
      </c>
      <c r="AE183" s="68" t="n">
        <v>0</v>
      </c>
      <c r="AF183" s="79" t="n">
        <v>0</v>
      </c>
      <c r="AG183" s="74" t="n">
        <v>0</v>
      </c>
      <c r="AH183" s="82" t="n">
        <v>181</v>
      </c>
    </row>
    <row r="184" ht="18" customHeight="1">
      <c r="C184" s="68">
        <f>_xlfn.XLOOKUP($A184,'01'!$G$3:$G$100,'01'!$R$3:$R$100,"-")</f>
        <v/>
      </c>
      <c r="D184" s="68">
        <f>_xlfn.XLOOKUP($A184,'02'!$G$3:$G$100,'02'!$R$3:$R$100,"-")</f>
        <v/>
      </c>
      <c r="E184" s="68">
        <f>_xlfn.XLOOKUP($A184,'03'!$G$3:$G$100,'03'!$R$3:$R$100,"-")</f>
        <v/>
      </c>
      <c r="F184" s="68">
        <f>_xlfn.XLOOKUP($A184,'04'!$G$3:$G$100,'04'!$R$3:$R$100,"-")</f>
        <v/>
      </c>
      <c r="G184" s="68">
        <f>_xlfn.XLOOKUP($A184,'05'!$G$3:$G$100,'05'!$R$3:$R$100,"-")</f>
        <v/>
      </c>
      <c r="H184" s="68">
        <f>_xlfn.XLOOKUP($A184,'06'!$G$3:$G$100,'06'!$R$3:$R$100,"-")</f>
        <v/>
      </c>
      <c r="I184" s="68">
        <f>_xlfn.XLOOKUP($A184,'07'!$G$3:$G$100,'07'!$R$3:$R$100,"-")</f>
        <v/>
      </c>
      <c r="J184" s="68">
        <f>_xlfn.XLOOKUP($A184,'08'!$G$3:$G$100,'08'!$R$3:$R$100,"-")</f>
        <v/>
      </c>
      <c r="K184" s="68">
        <f>_xlfn.XLOOKUP($A184,'09'!$G$3:$G$100,'09'!$R$3:$R$100,"-")</f>
        <v/>
      </c>
      <c r="L184" s="68">
        <f>_xlfn.XLOOKUP($A184,'10'!$G$3:$G$100,'10'!$R$3:$R$100,"-")</f>
        <v/>
      </c>
      <c r="M184" s="68">
        <f>_xlfn.XLOOKUP($A184,'11'!$G$3:$G$100,'11'!$R$3:$R$100,"-")</f>
        <v/>
      </c>
      <c r="N184" s="68">
        <f>_xlfn.XLOOKUP($A184,'12'!$G$3:$G$100,'12'!$R$3:$R$100,"-")</f>
        <v/>
      </c>
      <c r="O184" s="79">
        <f>SUM(C184:N184)</f>
        <v/>
      </c>
      <c r="P184" s="74" t="n"/>
      <c r="Q184" s="82" t="n">
        <v>182</v>
      </c>
      <c r="R184" s="38" t="n"/>
      <c r="S184" s="61" t="n">
        <v>0</v>
      </c>
      <c r="T184" s="68" t="n">
        <v>0</v>
      </c>
      <c r="U184" s="68" t="n">
        <v>0</v>
      </c>
      <c r="V184" s="68" t="n">
        <v>0</v>
      </c>
      <c r="W184" s="68" t="n">
        <v>0</v>
      </c>
      <c r="X184" s="68" t="n">
        <v>0</v>
      </c>
      <c r="Y184" s="68" t="n">
        <v>0</v>
      </c>
      <c r="Z184" s="68" t="n">
        <v>0</v>
      </c>
      <c r="AA184" s="68" t="n">
        <v>0</v>
      </c>
      <c r="AB184" s="68" t="n">
        <v>0</v>
      </c>
      <c r="AC184" s="68" t="n">
        <v>0</v>
      </c>
      <c r="AD184" s="68" t="n">
        <v>0</v>
      </c>
      <c r="AE184" s="68" t="n">
        <v>0</v>
      </c>
      <c r="AF184" s="79" t="n">
        <v>0</v>
      </c>
      <c r="AG184" s="74" t="n">
        <v>0</v>
      </c>
      <c r="AH184" s="82" t="n">
        <v>182</v>
      </c>
    </row>
    <row r="185" ht="18" customHeight="1">
      <c r="C185" s="68">
        <f>_xlfn.XLOOKUP($A185,'01'!$G$3:$G$100,'01'!$R$3:$R$100,"-")</f>
        <v/>
      </c>
      <c r="D185" s="68">
        <f>_xlfn.XLOOKUP($A185,'02'!$G$3:$G$100,'02'!$R$3:$R$100,"-")</f>
        <v/>
      </c>
      <c r="E185" s="68">
        <f>_xlfn.XLOOKUP($A185,'03'!$G$3:$G$100,'03'!$R$3:$R$100,"-")</f>
        <v/>
      </c>
      <c r="F185" s="68">
        <f>_xlfn.XLOOKUP($A185,'04'!$G$3:$G$100,'04'!$R$3:$R$100,"-")</f>
        <v/>
      </c>
      <c r="G185" s="68">
        <f>_xlfn.XLOOKUP($A185,'05'!$G$3:$G$100,'05'!$R$3:$R$100,"-")</f>
        <v/>
      </c>
      <c r="H185" s="68">
        <f>_xlfn.XLOOKUP($A185,'06'!$G$3:$G$100,'06'!$R$3:$R$100,"-")</f>
        <v/>
      </c>
      <c r="I185" s="68">
        <f>_xlfn.XLOOKUP($A185,'07'!$G$3:$G$100,'07'!$R$3:$R$100,"-")</f>
        <v/>
      </c>
      <c r="J185" s="68">
        <f>_xlfn.XLOOKUP($A185,'08'!$G$3:$G$100,'08'!$R$3:$R$100,"-")</f>
        <v/>
      </c>
      <c r="K185" s="68">
        <f>_xlfn.XLOOKUP($A185,'09'!$G$3:$G$100,'09'!$R$3:$R$100,"-")</f>
        <v/>
      </c>
      <c r="L185" s="68">
        <f>_xlfn.XLOOKUP($A185,'10'!$G$3:$G$100,'10'!$R$3:$R$100,"-")</f>
        <v/>
      </c>
      <c r="M185" s="68">
        <f>_xlfn.XLOOKUP($A185,'11'!$G$3:$G$100,'11'!$R$3:$R$100,"-")</f>
        <v/>
      </c>
      <c r="N185" s="68">
        <f>_xlfn.XLOOKUP($A185,'12'!$G$3:$G$100,'12'!$R$3:$R$100,"-")</f>
        <v/>
      </c>
      <c r="O185" s="79">
        <f>SUM(C185:N185)</f>
        <v/>
      </c>
      <c r="P185" s="74" t="n"/>
      <c r="Q185" s="82" t="n">
        <v>183</v>
      </c>
      <c r="R185" s="38" t="n"/>
      <c r="S185" s="61" t="n">
        <v>0</v>
      </c>
      <c r="T185" s="68" t="n">
        <v>0</v>
      </c>
      <c r="U185" s="68" t="n">
        <v>0</v>
      </c>
      <c r="V185" s="68" t="n">
        <v>0</v>
      </c>
      <c r="W185" s="68" t="n">
        <v>0</v>
      </c>
      <c r="X185" s="68" t="n">
        <v>0</v>
      </c>
      <c r="Y185" s="68" t="n">
        <v>0</v>
      </c>
      <c r="Z185" s="68" t="n">
        <v>0</v>
      </c>
      <c r="AA185" s="68" t="n">
        <v>0</v>
      </c>
      <c r="AB185" s="68" t="n">
        <v>0</v>
      </c>
      <c r="AC185" s="68" t="n">
        <v>0</v>
      </c>
      <c r="AD185" s="68" t="n">
        <v>0</v>
      </c>
      <c r="AE185" s="68" t="n">
        <v>0</v>
      </c>
      <c r="AF185" s="79" t="n">
        <v>0</v>
      </c>
      <c r="AG185" s="74" t="n">
        <v>0</v>
      </c>
      <c r="AH185" s="82" t="n">
        <v>183</v>
      </c>
    </row>
    <row r="186" ht="18" customHeight="1">
      <c r="C186" s="68">
        <f>_xlfn.XLOOKUP($A186,'01'!$G$3:$G$100,'01'!$R$3:$R$100,"-")</f>
        <v/>
      </c>
      <c r="D186" s="68">
        <f>_xlfn.XLOOKUP($A186,'02'!$G$3:$G$100,'02'!$R$3:$R$100,"-")</f>
        <v/>
      </c>
      <c r="E186" s="68">
        <f>_xlfn.XLOOKUP($A186,'03'!$G$3:$G$100,'03'!$R$3:$R$100,"-")</f>
        <v/>
      </c>
      <c r="F186" s="68">
        <f>_xlfn.XLOOKUP($A186,'04'!$G$3:$G$100,'04'!$R$3:$R$100,"-")</f>
        <v/>
      </c>
      <c r="G186" s="68">
        <f>_xlfn.XLOOKUP($A186,'05'!$G$3:$G$100,'05'!$R$3:$R$100,"-")</f>
        <v/>
      </c>
      <c r="H186" s="68">
        <f>_xlfn.XLOOKUP($A186,'06'!$G$3:$G$100,'06'!$R$3:$R$100,"-")</f>
        <v/>
      </c>
      <c r="I186" s="68">
        <f>_xlfn.XLOOKUP($A186,'07'!$G$3:$G$100,'07'!$R$3:$R$100,"-")</f>
        <v/>
      </c>
      <c r="J186" s="68">
        <f>_xlfn.XLOOKUP($A186,'08'!$G$3:$G$100,'08'!$R$3:$R$100,"-")</f>
        <v/>
      </c>
      <c r="K186" s="68">
        <f>_xlfn.XLOOKUP($A186,'09'!$G$3:$G$100,'09'!$R$3:$R$100,"-")</f>
        <v/>
      </c>
      <c r="L186" s="68">
        <f>_xlfn.XLOOKUP($A186,'10'!$G$3:$G$100,'10'!$R$3:$R$100,"-")</f>
        <v/>
      </c>
      <c r="M186" s="68">
        <f>_xlfn.XLOOKUP($A186,'11'!$G$3:$G$100,'11'!$R$3:$R$100,"-")</f>
        <v/>
      </c>
      <c r="N186" s="68">
        <f>_xlfn.XLOOKUP($A186,'12'!$G$3:$G$100,'12'!$R$3:$R$100,"-")</f>
        <v/>
      </c>
      <c r="O186" s="79">
        <f>SUM(C186:N186)</f>
        <v/>
      </c>
      <c r="P186" s="74" t="n"/>
      <c r="Q186" s="82" t="n">
        <v>184</v>
      </c>
      <c r="R186" s="38" t="n"/>
      <c r="S186" s="61" t="n">
        <v>0</v>
      </c>
      <c r="T186" s="68" t="n">
        <v>0</v>
      </c>
      <c r="U186" s="68" t="n">
        <v>0</v>
      </c>
      <c r="V186" s="68" t="n">
        <v>0</v>
      </c>
      <c r="W186" s="68" t="n">
        <v>0</v>
      </c>
      <c r="X186" s="68" t="n">
        <v>0</v>
      </c>
      <c r="Y186" s="68" t="n">
        <v>0</v>
      </c>
      <c r="Z186" s="68" t="n">
        <v>0</v>
      </c>
      <c r="AA186" s="68" t="n">
        <v>0</v>
      </c>
      <c r="AB186" s="68" t="n">
        <v>0</v>
      </c>
      <c r="AC186" s="68" t="n">
        <v>0</v>
      </c>
      <c r="AD186" s="68" t="n">
        <v>0</v>
      </c>
      <c r="AE186" s="68" t="n">
        <v>0</v>
      </c>
      <c r="AF186" s="79" t="n">
        <v>0</v>
      </c>
      <c r="AG186" s="74" t="n">
        <v>0</v>
      </c>
      <c r="AH186" s="82" t="n">
        <v>184</v>
      </c>
    </row>
    <row r="187" ht="18" customHeight="1">
      <c r="C187" s="68">
        <f>_xlfn.XLOOKUP($A187,'01'!$G$3:$G$100,'01'!$R$3:$R$100,"-")</f>
        <v/>
      </c>
      <c r="D187" s="68">
        <f>_xlfn.XLOOKUP($A187,'02'!$G$3:$G$100,'02'!$R$3:$R$100,"-")</f>
        <v/>
      </c>
      <c r="E187" s="68">
        <f>_xlfn.XLOOKUP($A187,'03'!$G$3:$G$100,'03'!$R$3:$R$100,"-")</f>
        <v/>
      </c>
      <c r="F187" s="68">
        <f>_xlfn.XLOOKUP($A187,'04'!$G$3:$G$100,'04'!$R$3:$R$100,"-")</f>
        <v/>
      </c>
      <c r="G187" s="68">
        <f>_xlfn.XLOOKUP($A187,'05'!$G$3:$G$100,'05'!$R$3:$R$100,"-")</f>
        <v/>
      </c>
      <c r="H187" s="68">
        <f>_xlfn.XLOOKUP($A187,'06'!$G$3:$G$100,'06'!$R$3:$R$100,"-")</f>
        <v/>
      </c>
      <c r="I187" s="68">
        <f>_xlfn.XLOOKUP($A187,'07'!$G$3:$G$100,'07'!$R$3:$R$100,"-")</f>
        <v/>
      </c>
      <c r="J187" s="68">
        <f>_xlfn.XLOOKUP($A187,'08'!$G$3:$G$100,'08'!$R$3:$R$100,"-")</f>
        <v/>
      </c>
      <c r="K187" s="68">
        <f>_xlfn.XLOOKUP($A187,'09'!$G$3:$G$100,'09'!$R$3:$R$100,"-")</f>
        <v/>
      </c>
      <c r="L187" s="68">
        <f>_xlfn.XLOOKUP($A187,'10'!$G$3:$G$100,'10'!$R$3:$R$100,"-")</f>
        <v/>
      </c>
      <c r="M187" s="68">
        <f>_xlfn.XLOOKUP($A187,'11'!$G$3:$G$100,'11'!$R$3:$R$100,"-")</f>
        <v/>
      </c>
      <c r="N187" s="68">
        <f>_xlfn.XLOOKUP($A187,'12'!$G$3:$G$100,'12'!$R$3:$R$100,"-")</f>
        <v/>
      </c>
      <c r="O187" s="79">
        <f>SUM(C187:N187)</f>
        <v/>
      </c>
      <c r="P187" s="74" t="n"/>
      <c r="Q187" s="83" t="n">
        <v>185</v>
      </c>
      <c r="R187" s="38" t="n"/>
      <c r="S187" s="61" t="n">
        <v>0</v>
      </c>
      <c r="T187" s="68" t="n">
        <v>0</v>
      </c>
      <c r="U187" s="68" t="n">
        <v>0</v>
      </c>
      <c r="V187" s="68" t="n">
        <v>0</v>
      </c>
      <c r="W187" s="68" t="n">
        <v>0</v>
      </c>
      <c r="X187" s="68" t="n">
        <v>0</v>
      </c>
      <c r="Y187" s="68" t="n">
        <v>0</v>
      </c>
      <c r="Z187" s="68" t="n">
        <v>0</v>
      </c>
      <c r="AA187" s="68" t="n">
        <v>0</v>
      </c>
      <c r="AB187" s="68" t="n">
        <v>0</v>
      </c>
      <c r="AC187" s="68" t="n">
        <v>0</v>
      </c>
      <c r="AD187" s="68" t="n">
        <v>0</v>
      </c>
      <c r="AE187" s="68" t="n">
        <v>0</v>
      </c>
      <c r="AF187" s="79" t="n">
        <v>0</v>
      </c>
      <c r="AG187" s="74" t="n">
        <v>0</v>
      </c>
      <c r="AH187" s="83" t="n">
        <v>185</v>
      </c>
    </row>
    <row r="188" ht="18" customHeight="1">
      <c r="C188" s="68">
        <f>_xlfn.XLOOKUP($A188,'01'!$G$3:$G$100,'01'!$R$3:$R$100,"-")</f>
        <v/>
      </c>
      <c r="D188" s="68">
        <f>_xlfn.XLOOKUP($A188,'02'!$G$3:$G$100,'02'!$R$3:$R$100,"-")</f>
        <v/>
      </c>
      <c r="E188" s="68">
        <f>_xlfn.XLOOKUP($A188,'03'!$G$3:$G$100,'03'!$R$3:$R$100,"-")</f>
        <v/>
      </c>
      <c r="F188" s="68">
        <f>_xlfn.XLOOKUP($A188,'04'!$G$3:$G$100,'04'!$R$3:$R$100,"-")</f>
        <v/>
      </c>
      <c r="G188" s="68">
        <f>_xlfn.XLOOKUP($A188,'05'!$G$3:$G$100,'05'!$R$3:$R$100,"-")</f>
        <v/>
      </c>
      <c r="H188" s="68">
        <f>_xlfn.XLOOKUP($A188,'06'!$G$3:$G$100,'06'!$R$3:$R$100,"-")</f>
        <v/>
      </c>
      <c r="I188" s="68">
        <f>_xlfn.XLOOKUP($A188,'07'!$G$3:$G$100,'07'!$R$3:$R$100,"-")</f>
        <v/>
      </c>
      <c r="J188" s="68">
        <f>_xlfn.XLOOKUP($A188,'08'!$G$3:$G$100,'08'!$R$3:$R$100,"-")</f>
        <v/>
      </c>
      <c r="K188" s="68">
        <f>_xlfn.XLOOKUP($A188,'09'!$G$3:$G$100,'09'!$R$3:$R$100,"-")</f>
        <v/>
      </c>
      <c r="L188" s="68">
        <f>_xlfn.XLOOKUP($A188,'10'!$G$3:$G$100,'10'!$R$3:$R$100,"-")</f>
        <v/>
      </c>
      <c r="M188" s="68">
        <f>_xlfn.XLOOKUP($A188,'11'!$G$3:$G$100,'11'!$R$3:$R$100,"-")</f>
        <v/>
      </c>
      <c r="N188" s="68">
        <f>_xlfn.XLOOKUP($A188,'12'!$G$3:$G$100,'12'!$R$3:$R$100,"-")</f>
        <v/>
      </c>
      <c r="O188" s="79">
        <f>SUM(C188:N188)</f>
        <v/>
      </c>
      <c r="P188" s="74" t="n"/>
      <c r="Q188" s="82" t="n">
        <v>186</v>
      </c>
      <c r="R188" s="38" t="n"/>
      <c r="S188" s="61" t="n">
        <v>0</v>
      </c>
      <c r="T188" s="68" t="n">
        <v>0</v>
      </c>
      <c r="U188" s="68" t="n">
        <v>0</v>
      </c>
      <c r="V188" s="68" t="n">
        <v>0</v>
      </c>
      <c r="W188" s="68" t="n">
        <v>0</v>
      </c>
      <c r="X188" s="68" t="n">
        <v>0</v>
      </c>
      <c r="Y188" s="68" t="n">
        <v>0</v>
      </c>
      <c r="Z188" s="68" t="n">
        <v>0</v>
      </c>
      <c r="AA188" s="68" t="n">
        <v>0</v>
      </c>
      <c r="AB188" s="68" t="n">
        <v>0</v>
      </c>
      <c r="AC188" s="68" t="n">
        <v>0</v>
      </c>
      <c r="AD188" s="68" t="n">
        <v>0</v>
      </c>
      <c r="AE188" s="68" t="n">
        <v>0</v>
      </c>
      <c r="AF188" s="79" t="n">
        <v>0</v>
      </c>
      <c r="AG188" s="74" t="n">
        <v>0</v>
      </c>
      <c r="AH188" s="82" t="n">
        <v>186</v>
      </c>
    </row>
    <row r="189" ht="18" customHeight="1">
      <c r="C189" s="68">
        <f>_xlfn.XLOOKUP($A189,'01'!$G$3:$G$100,'01'!$R$3:$R$100,"-")</f>
        <v/>
      </c>
      <c r="D189" s="68">
        <f>_xlfn.XLOOKUP($A189,'02'!$G$3:$G$100,'02'!$R$3:$R$100,"-")</f>
        <v/>
      </c>
      <c r="E189" s="68">
        <f>_xlfn.XLOOKUP($A189,'03'!$G$3:$G$100,'03'!$R$3:$R$100,"-")</f>
        <v/>
      </c>
      <c r="F189" s="68">
        <f>_xlfn.XLOOKUP($A189,'04'!$G$3:$G$100,'04'!$R$3:$R$100,"-")</f>
        <v/>
      </c>
      <c r="G189" s="68">
        <f>_xlfn.XLOOKUP($A189,'05'!$G$3:$G$100,'05'!$R$3:$R$100,"-")</f>
        <v/>
      </c>
      <c r="H189" s="68">
        <f>_xlfn.XLOOKUP($A189,'06'!$G$3:$G$100,'06'!$R$3:$R$100,"-")</f>
        <v/>
      </c>
      <c r="I189" s="68">
        <f>_xlfn.XLOOKUP($A189,'07'!$G$3:$G$100,'07'!$R$3:$R$100,"-")</f>
        <v/>
      </c>
      <c r="J189" s="68">
        <f>_xlfn.XLOOKUP($A189,'08'!$G$3:$G$100,'08'!$R$3:$R$100,"-")</f>
        <v/>
      </c>
      <c r="K189" s="68">
        <f>_xlfn.XLOOKUP($A189,'09'!$G$3:$G$100,'09'!$R$3:$R$100,"-")</f>
        <v/>
      </c>
      <c r="L189" s="68">
        <f>_xlfn.XLOOKUP($A189,'10'!$G$3:$G$100,'10'!$R$3:$R$100,"-")</f>
        <v/>
      </c>
      <c r="M189" s="68">
        <f>_xlfn.XLOOKUP($A189,'11'!$G$3:$G$100,'11'!$R$3:$R$100,"-")</f>
        <v/>
      </c>
      <c r="N189" s="68">
        <f>_xlfn.XLOOKUP($A189,'12'!$G$3:$G$100,'12'!$R$3:$R$100,"-")</f>
        <v/>
      </c>
      <c r="O189" s="79">
        <f>SUM(C189:N189)</f>
        <v/>
      </c>
      <c r="P189" s="74" t="n"/>
      <c r="Q189" s="82" t="n">
        <v>187</v>
      </c>
      <c r="R189" s="38" t="n"/>
      <c r="S189" s="61" t="n">
        <v>0</v>
      </c>
      <c r="T189" s="68" t="n">
        <v>0</v>
      </c>
      <c r="U189" s="68" t="n">
        <v>0</v>
      </c>
      <c r="V189" s="68" t="n">
        <v>0</v>
      </c>
      <c r="W189" s="68" t="n">
        <v>0</v>
      </c>
      <c r="X189" s="68" t="n">
        <v>0</v>
      </c>
      <c r="Y189" s="68" t="n">
        <v>0</v>
      </c>
      <c r="Z189" s="68" t="n">
        <v>0</v>
      </c>
      <c r="AA189" s="68" t="n">
        <v>0</v>
      </c>
      <c r="AB189" s="68" t="n">
        <v>0</v>
      </c>
      <c r="AC189" s="68" t="n">
        <v>0</v>
      </c>
      <c r="AD189" s="68" t="n">
        <v>0</v>
      </c>
      <c r="AE189" s="68" t="n">
        <v>0</v>
      </c>
      <c r="AF189" s="79" t="n">
        <v>0</v>
      </c>
      <c r="AG189" s="74" t="n">
        <v>0</v>
      </c>
      <c r="AH189" s="82" t="n">
        <v>187</v>
      </c>
    </row>
    <row r="190" ht="18" customHeight="1">
      <c r="C190" s="68">
        <f>_xlfn.XLOOKUP($A190,'01'!$G$3:$G$100,'01'!$R$3:$R$100,"-")</f>
        <v/>
      </c>
      <c r="D190" s="68">
        <f>_xlfn.XLOOKUP($A190,'02'!$G$3:$G$100,'02'!$R$3:$R$100,"-")</f>
        <v/>
      </c>
      <c r="E190" s="68">
        <f>_xlfn.XLOOKUP($A190,'03'!$G$3:$G$100,'03'!$R$3:$R$100,"-")</f>
        <v/>
      </c>
      <c r="F190" s="68">
        <f>_xlfn.XLOOKUP($A190,'04'!$G$3:$G$100,'04'!$R$3:$R$100,"-")</f>
        <v/>
      </c>
      <c r="G190" s="68">
        <f>_xlfn.XLOOKUP($A190,'05'!$G$3:$G$100,'05'!$R$3:$R$100,"-")</f>
        <v/>
      </c>
      <c r="H190" s="68">
        <f>_xlfn.XLOOKUP($A190,'06'!$G$3:$G$100,'06'!$R$3:$R$100,"-")</f>
        <v/>
      </c>
      <c r="I190" s="68">
        <f>_xlfn.XLOOKUP($A190,'07'!$G$3:$G$100,'07'!$R$3:$R$100,"-")</f>
        <v/>
      </c>
      <c r="J190" s="68">
        <f>_xlfn.XLOOKUP($A190,'08'!$G$3:$G$100,'08'!$R$3:$R$100,"-")</f>
        <v/>
      </c>
      <c r="K190" s="68">
        <f>_xlfn.XLOOKUP($A190,'09'!$G$3:$G$100,'09'!$R$3:$R$100,"-")</f>
        <v/>
      </c>
      <c r="L190" s="68">
        <f>_xlfn.XLOOKUP($A190,'10'!$G$3:$G$100,'10'!$R$3:$R$100,"-")</f>
        <v/>
      </c>
      <c r="M190" s="68">
        <f>_xlfn.XLOOKUP($A190,'11'!$G$3:$G$100,'11'!$R$3:$R$100,"-")</f>
        <v/>
      </c>
      <c r="N190" s="68">
        <f>_xlfn.XLOOKUP($A190,'12'!$G$3:$G$100,'12'!$R$3:$R$100,"-")</f>
        <v/>
      </c>
      <c r="O190" s="79">
        <f>SUM(C190:N190)</f>
        <v/>
      </c>
      <c r="P190" s="74" t="n"/>
      <c r="Q190" s="82" t="n">
        <v>188</v>
      </c>
      <c r="R190" s="38" t="n"/>
      <c r="S190" s="61" t="n">
        <v>0</v>
      </c>
      <c r="T190" s="68" t="n">
        <v>0</v>
      </c>
      <c r="U190" s="68" t="n">
        <v>0</v>
      </c>
      <c r="V190" s="68" t="n">
        <v>0</v>
      </c>
      <c r="W190" s="68" t="n">
        <v>0</v>
      </c>
      <c r="X190" s="68" t="n">
        <v>0</v>
      </c>
      <c r="Y190" s="68" t="n">
        <v>0</v>
      </c>
      <c r="Z190" s="68" t="n">
        <v>0</v>
      </c>
      <c r="AA190" s="68" t="n">
        <v>0</v>
      </c>
      <c r="AB190" s="68" t="n">
        <v>0</v>
      </c>
      <c r="AC190" s="68" t="n">
        <v>0</v>
      </c>
      <c r="AD190" s="68" t="n">
        <v>0</v>
      </c>
      <c r="AE190" s="68" t="n">
        <v>0</v>
      </c>
      <c r="AF190" s="79" t="n">
        <v>0</v>
      </c>
      <c r="AG190" s="74" t="n">
        <v>0</v>
      </c>
      <c r="AH190" s="82" t="n">
        <v>188</v>
      </c>
    </row>
    <row r="191" ht="18" customHeight="1">
      <c r="C191" s="68">
        <f>_xlfn.XLOOKUP($A191,'01'!$G$3:$G$100,'01'!$R$3:$R$100,"-")</f>
        <v/>
      </c>
      <c r="D191" s="68">
        <f>_xlfn.XLOOKUP($A191,'02'!$G$3:$G$100,'02'!$R$3:$R$100,"-")</f>
        <v/>
      </c>
      <c r="E191" s="68">
        <f>_xlfn.XLOOKUP($A191,'03'!$G$3:$G$100,'03'!$R$3:$R$100,"-")</f>
        <v/>
      </c>
      <c r="F191" s="68">
        <f>_xlfn.XLOOKUP($A191,'04'!$G$3:$G$100,'04'!$R$3:$R$100,"-")</f>
        <v/>
      </c>
      <c r="G191" s="68">
        <f>_xlfn.XLOOKUP($A191,'05'!$G$3:$G$100,'05'!$R$3:$R$100,"-")</f>
        <v/>
      </c>
      <c r="H191" s="68">
        <f>_xlfn.XLOOKUP($A191,'06'!$G$3:$G$100,'06'!$R$3:$R$100,"-")</f>
        <v/>
      </c>
      <c r="I191" s="68">
        <f>_xlfn.XLOOKUP($A191,'07'!$G$3:$G$100,'07'!$R$3:$R$100,"-")</f>
        <v/>
      </c>
      <c r="J191" s="68">
        <f>_xlfn.XLOOKUP($A191,'08'!$G$3:$G$100,'08'!$R$3:$R$100,"-")</f>
        <v/>
      </c>
      <c r="K191" s="68">
        <f>_xlfn.XLOOKUP($A191,'09'!$G$3:$G$100,'09'!$R$3:$R$100,"-")</f>
        <v/>
      </c>
      <c r="L191" s="68">
        <f>_xlfn.XLOOKUP($A191,'10'!$G$3:$G$100,'10'!$R$3:$R$100,"-")</f>
        <v/>
      </c>
      <c r="M191" s="68">
        <f>_xlfn.XLOOKUP($A191,'11'!$G$3:$G$100,'11'!$R$3:$R$100,"-")</f>
        <v/>
      </c>
      <c r="N191" s="68">
        <f>_xlfn.XLOOKUP($A191,'12'!$G$3:$G$100,'12'!$R$3:$R$100,"-")</f>
        <v/>
      </c>
      <c r="O191" s="79">
        <f>SUM(C191:N191)</f>
        <v/>
      </c>
      <c r="P191" s="74" t="n"/>
      <c r="Q191" s="82" t="n">
        <v>189</v>
      </c>
      <c r="R191" s="38" t="n"/>
      <c r="S191" s="61" t="n">
        <v>0</v>
      </c>
      <c r="T191" s="68" t="n">
        <v>0</v>
      </c>
      <c r="U191" s="68" t="n">
        <v>0</v>
      </c>
      <c r="V191" s="68" t="n">
        <v>0</v>
      </c>
      <c r="W191" s="68" t="n">
        <v>0</v>
      </c>
      <c r="X191" s="68" t="n">
        <v>0</v>
      </c>
      <c r="Y191" s="68" t="n">
        <v>0</v>
      </c>
      <c r="Z191" s="68" t="n">
        <v>0</v>
      </c>
      <c r="AA191" s="68" t="n">
        <v>0</v>
      </c>
      <c r="AB191" s="68" t="n">
        <v>0</v>
      </c>
      <c r="AC191" s="68" t="n">
        <v>0</v>
      </c>
      <c r="AD191" s="68" t="n">
        <v>0</v>
      </c>
      <c r="AE191" s="68" t="n">
        <v>0</v>
      </c>
      <c r="AF191" s="79" t="n">
        <v>0</v>
      </c>
      <c r="AG191" s="74" t="n">
        <v>0</v>
      </c>
      <c r="AH191" s="82" t="n">
        <v>189</v>
      </c>
    </row>
    <row r="192" ht="18" customHeight="1">
      <c r="C192" s="68">
        <f>_xlfn.XLOOKUP($A192,'01'!$G$3:$G$100,'01'!$R$3:$R$100,"-")</f>
        <v/>
      </c>
      <c r="D192" s="68">
        <f>_xlfn.XLOOKUP($A192,'02'!$G$3:$G$100,'02'!$R$3:$R$100,"-")</f>
        <v/>
      </c>
      <c r="E192" s="68">
        <f>_xlfn.XLOOKUP($A192,'03'!$G$3:$G$100,'03'!$R$3:$R$100,"-")</f>
        <v/>
      </c>
      <c r="F192" s="68">
        <f>_xlfn.XLOOKUP($A192,'04'!$G$3:$G$100,'04'!$R$3:$R$100,"-")</f>
        <v/>
      </c>
      <c r="G192" s="68">
        <f>_xlfn.XLOOKUP($A192,'05'!$G$3:$G$100,'05'!$R$3:$R$100,"-")</f>
        <v/>
      </c>
      <c r="H192" s="68">
        <f>_xlfn.XLOOKUP($A192,'06'!$G$3:$G$100,'06'!$R$3:$R$100,"-")</f>
        <v/>
      </c>
      <c r="I192" s="68">
        <f>_xlfn.XLOOKUP($A192,'07'!$G$3:$G$100,'07'!$R$3:$R$100,"-")</f>
        <v/>
      </c>
      <c r="J192" s="68">
        <f>_xlfn.XLOOKUP($A192,'08'!$G$3:$G$100,'08'!$R$3:$R$100,"-")</f>
        <v/>
      </c>
      <c r="K192" s="68">
        <f>_xlfn.XLOOKUP($A192,'09'!$G$3:$G$100,'09'!$R$3:$R$100,"-")</f>
        <v/>
      </c>
      <c r="L192" s="68">
        <f>_xlfn.XLOOKUP($A192,'10'!$G$3:$G$100,'10'!$R$3:$R$100,"-")</f>
        <v/>
      </c>
      <c r="M192" s="68">
        <f>_xlfn.XLOOKUP($A192,'11'!$G$3:$G$100,'11'!$R$3:$R$100,"-")</f>
        <v/>
      </c>
      <c r="N192" s="68">
        <f>_xlfn.XLOOKUP($A192,'12'!$G$3:$G$100,'12'!$R$3:$R$100,"-")</f>
        <v/>
      </c>
      <c r="O192" s="79">
        <f>SUM(C192:N192)</f>
        <v/>
      </c>
      <c r="P192" s="74" t="n"/>
      <c r="Q192" s="82" t="n">
        <v>190</v>
      </c>
      <c r="R192" s="38" t="n"/>
      <c r="S192" s="61" t="n">
        <v>0</v>
      </c>
      <c r="T192" s="68" t="n">
        <v>0</v>
      </c>
      <c r="U192" s="68" t="n">
        <v>0</v>
      </c>
      <c r="V192" s="68" t="n">
        <v>0</v>
      </c>
      <c r="W192" s="68" t="n">
        <v>0</v>
      </c>
      <c r="X192" s="68" t="n">
        <v>0</v>
      </c>
      <c r="Y192" s="68" t="n">
        <v>0</v>
      </c>
      <c r="Z192" s="68" t="n">
        <v>0</v>
      </c>
      <c r="AA192" s="68" t="n">
        <v>0</v>
      </c>
      <c r="AB192" s="68" t="n">
        <v>0</v>
      </c>
      <c r="AC192" s="68" t="n">
        <v>0</v>
      </c>
      <c r="AD192" s="68" t="n">
        <v>0</v>
      </c>
      <c r="AE192" s="68" t="n">
        <v>0</v>
      </c>
      <c r="AF192" s="79" t="n">
        <v>0</v>
      </c>
      <c r="AG192" s="74" t="n">
        <v>0</v>
      </c>
      <c r="AH192" s="82" t="n">
        <v>190</v>
      </c>
    </row>
    <row r="193" ht="18" customHeight="1">
      <c r="C193" s="68">
        <f>_xlfn.XLOOKUP($A193,'01'!$G$3:$G$100,'01'!$R$3:$R$100,"-")</f>
        <v/>
      </c>
      <c r="D193" s="68">
        <f>_xlfn.XLOOKUP($A193,'02'!$G$3:$G$100,'02'!$R$3:$R$100,"-")</f>
        <v/>
      </c>
      <c r="E193" s="68">
        <f>_xlfn.XLOOKUP($A193,'03'!$G$3:$G$100,'03'!$R$3:$R$100,"-")</f>
        <v/>
      </c>
      <c r="F193" s="68">
        <f>_xlfn.XLOOKUP($A193,'04'!$G$3:$G$100,'04'!$R$3:$R$100,"-")</f>
        <v/>
      </c>
      <c r="G193" s="68">
        <f>_xlfn.XLOOKUP($A193,'05'!$G$3:$G$100,'05'!$R$3:$R$100,"-")</f>
        <v/>
      </c>
      <c r="H193" s="68">
        <f>_xlfn.XLOOKUP($A193,'06'!$G$3:$G$100,'06'!$R$3:$R$100,"-")</f>
        <v/>
      </c>
      <c r="I193" s="68">
        <f>_xlfn.XLOOKUP($A193,'07'!$G$3:$G$100,'07'!$R$3:$R$100,"-")</f>
        <v/>
      </c>
      <c r="J193" s="68">
        <f>_xlfn.XLOOKUP($A193,'08'!$G$3:$G$100,'08'!$R$3:$R$100,"-")</f>
        <v/>
      </c>
      <c r="K193" s="68">
        <f>_xlfn.XLOOKUP($A193,'09'!$G$3:$G$100,'09'!$R$3:$R$100,"-")</f>
        <v/>
      </c>
      <c r="L193" s="68">
        <f>_xlfn.XLOOKUP($A193,'10'!$G$3:$G$100,'10'!$R$3:$R$100,"-")</f>
        <v/>
      </c>
      <c r="M193" s="68">
        <f>_xlfn.XLOOKUP($A193,'11'!$G$3:$G$100,'11'!$R$3:$R$100,"-")</f>
        <v/>
      </c>
      <c r="N193" s="68">
        <f>_xlfn.XLOOKUP($A193,'12'!$G$3:$G$100,'12'!$R$3:$R$100,"-")</f>
        <v/>
      </c>
      <c r="O193" s="79">
        <f>SUM(C193:N193)</f>
        <v/>
      </c>
      <c r="P193" s="74" t="n"/>
      <c r="Q193" s="82" t="n">
        <v>191</v>
      </c>
      <c r="R193" s="38" t="n"/>
      <c r="S193" s="61" t="n">
        <v>0</v>
      </c>
      <c r="T193" s="68" t="n">
        <v>0</v>
      </c>
      <c r="U193" s="68" t="n">
        <v>0</v>
      </c>
      <c r="V193" s="68" t="n">
        <v>0</v>
      </c>
      <c r="W193" s="68" t="n">
        <v>0</v>
      </c>
      <c r="X193" s="68" t="n">
        <v>0</v>
      </c>
      <c r="Y193" s="68" t="n">
        <v>0</v>
      </c>
      <c r="Z193" s="68" t="n">
        <v>0</v>
      </c>
      <c r="AA193" s="68" t="n">
        <v>0</v>
      </c>
      <c r="AB193" s="68" t="n">
        <v>0</v>
      </c>
      <c r="AC193" s="68" t="n">
        <v>0</v>
      </c>
      <c r="AD193" s="68" t="n">
        <v>0</v>
      </c>
      <c r="AE193" s="68" t="n">
        <v>0</v>
      </c>
      <c r="AF193" s="79" t="n">
        <v>0</v>
      </c>
      <c r="AG193" s="74" t="n">
        <v>0</v>
      </c>
      <c r="AH193" s="82" t="n">
        <v>191</v>
      </c>
    </row>
    <row r="194" ht="18" customHeight="1">
      <c r="C194" s="68">
        <f>_xlfn.XLOOKUP($A194,'01'!$G$3:$G$100,'01'!$R$3:$R$100,"-")</f>
        <v/>
      </c>
      <c r="D194" s="68">
        <f>_xlfn.XLOOKUP($A194,'02'!$G$3:$G$100,'02'!$R$3:$R$100,"-")</f>
        <v/>
      </c>
      <c r="E194" s="68">
        <f>_xlfn.XLOOKUP($A194,'03'!$G$3:$G$100,'03'!$R$3:$R$100,"-")</f>
        <v/>
      </c>
      <c r="F194" s="68">
        <f>_xlfn.XLOOKUP($A194,'04'!$G$3:$G$100,'04'!$R$3:$R$100,"-")</f>
        <v/>
      </c>
      <c r="G194" s="68">
        <f>_xlfn.XLOOKUP($A194,'05'!$G$3:$G$100,'05'!$R$3:$R$100,"-")</f>
        <v/>
      </c>
      <c r="H194" s="68">
        <f>_xlfn.XLOOKUP($A194,'06'!$G$3:$G$100,'06'!$R$3:$R$100,"-")</f>
        <v/>
      </c>
      <c r="I194" s="68">
        <f>_xlfn.XLOOKUP($A194,'07'!$G$3:$G$100,'07'!$R$3:$R$100,"-")</f>
        <v/>
      </c>
      <c r="J194" s="68">
        <f>_xlfn.XLOOKUP($A194,'08'!$G$3:$G$100,'08'!$R$3:$R$100,"-")</f>
        <v/>
      </c>
      <c r="K194" s="68">
        <f>_xlfn.XLOOKUP($A194,'09'!$G$3:$G$100,'09'!$R$3:$R$100,"-")</f>
        <v/>
      </c>
      <c r="L194" s="68">
        <f>_xlfn.XLOOKUP($A194,'10'!$G$3:$G$100,'10'!$R$3:$R$100,"-")</f>
        <v/>
      </c>
      <c r="M194" s="68">
        <f>_xlfn.XLOOKUP($A194,'11'!$G$3:$G$100,'11'!$R$3:$R$100,"-")</f>
        <v/>
      </c>
      <c r="N194" s="68">
        <f>_xlfn.XLOOKUP($A194,'12'!$G$3:$G$100,'12'!$R$3:$R$100,"-")</f>
        <v/>
      </c>
      <c r="O194" s="79">
        <f>SUM(C194:N194)</f>
        <v/>
      </c>
      <c r="P194" s="74" t="n"/>
      <c r="Q194" s="82" t="n">
        <v>192</v>
      </c>
      <c r="R194" s="38" t="n"/>
      <c r="S194" s="61" t="n">
        <v>0</v>
      </c>
      <c r="T194" s="68" t="n">
        <v>0</v>
      </c>
      <c r="U194" s="68" t="n">
        <v>0</v>
      </c>
      <c r="V194" s="68" t="n">
        <v>0</v>
      </c>
      <c r="W194" s="68" t="n">
        <v>0</v>
      </c>
      <c r="X194" s="68" t="n">
        <v>0</v>
      </c>
      <c r="Y194" s="68" t="n">
        <v>0</v>
      </c>
      <c r="Z194" s="68" t="n">
        <v>0</v>
      </c>
      <c r="AA194" s="68" t="n">
        <v>0</v>
      </c>
      <c r="AB194" s="68" t="n">
        <v>0</v>
      </c>
      <c r="AC194" s="68" t="n">
        <v>0</v>
      </c>
      <c r="AD194" s="68" t="n">
        <v>0</v>
      </c>
      <c r="AE194" s="68" t="n">
        <v>0</v>
      </c>
      <c r="AF194" s="79" t="n">
        <v>0</v>
      </c>
      <c r="AG194" s="74" t="n">
        <v>0</v>
      </c>
      <c r="AH194" s="82" t="n">
        <v>192</v>
      </c>
    </row>
    <row r="195" ht="18" customHeight="1">
      <c r="C195" s="68">
        <f>_xlfn.XLOOKUP($A195,'01'!$G$3:$G$100,'01'!$R$3:$R$100,"-")</f>
        <v/>
      </c>
      <c r="D195" s="68">
        <f>_xlfn.XLOOKUP($A195,'02'!$G$3:$G$100,'02'!$R$3:$R$100,"-")</f>
        <v/>
      </c>
      <c r="E195" s="68">
        <f>_xlfn.XLOOKUP($A195,'03'!$G$3:$G$100,'03'!$R$3:$R$100,"-")</f>
        <v/>
      </c>
      <c r="F195" s="68">
        <f>_xlfn.XLOOKUP($A195,'04'!$G$3:$G$100,'04'!$R$3:$R$100,"-")</f>
        <v/>
      </c>
      <c r="G195" s="68">
        <f>_xlfn.XLOOKUP($A195,'05'!$G$3:$G$100,'05'!$R$3:$R$100,"-")</f>
        <v/>
      </c>
      <c r="H195" s="68">
        <f>_xlfn.XLOOKUP($A195,'06'!$G$3:$G$100,'06'!$R$3:$R$100,"-")</f>
        <v/>
      </c>
      <c r="I195" s="68">
        <f>_xlfn.XLOOKUP($A195,'07'!$G$3:$G$100,'07'!$R$3:$R$100,"-")</f>
        <v/>
      </c>
      <c r="J195" s="68">
        <f>_xlfn.XLOOKUP($A195,'08'!$G$3:$G$100,'08'!$R$3:$R$100,"-")</f>
        <v/>
      </c>
      <c r="K195" s="68">
        <f>_xlfn.XLOOKUP($A195,'09'!$G$3:$G$100,'09'!$R$3:$R$100,"-")</f>
        <v/>
      </c>
      <c r="L195" s="68">
        <f>_xlfn.XLOOKUP($A195,'10'!$G$3:$G$100,'10'!$R$3:$R$100,"-")</f>
        <v/>
      </c>
      <c r="M195" s="68">
        <f>_xlfn.XLOOKUP($A195,'11'!$G$3:$G$100,'11'!$R$3:$R$100,"-")</f>
        <v/>
      </c>
      <c r="N195" s="68">
        <f>_xlfn.XLOOKUP($A195,'12'!$G$3:$G$100,'12'!$R$3:$R$100,"-")</f>
        <v/>
      </c>
      <c r="O195" s="79">
        <f>SUM(C195:N195)</f>
        <v/>
      </c>
      <c r="P195" s="74" t="n"/>
      <c r="Q195" s="82" t="n">
        <v>193</v>
      </c>
      <c r="R195" s="38" t="n"/>
      <c r="S195" s="61" t="n">
        <v>0</v>
      </c>
      <c r="T195" s="68" t="n">
        <v>0</v>
      </c>
      <c r="U195" s="68" t="n">
        <v>0</v>
      </c>
      <c r="V195" s="68" t="n">
        <v>0</v>
      </c>
      <c r="W195" s="68" t="n">
        <v>0</v>
      </c>
      <c r="X195" s="68" t="n">
        <v>0</v>
      </c>
      <c r="Y195" s="68" t="n">
        <v>0</v>
      </c>
      <c r="Z195" s="68" t="n">
        <v>0</v>
      </c>
      <c r="AA195" s="68" t="n">
        <v>0</v>
      </c>
      <c r="AB195" s="68" t="n">
        <v>0</v>
      </c>
      <c r="AC195" s="68" t="n">
        <v>0</v>
      </c>
      <c r="AD195" s="68" t="n">
        <v>0</v>
      </c>
      <c r="AE195" s="68" t="n">
        <v>0</v>
      </c>
      <c r="AF195" s="79" t="n">
        <v>0</v>
      </c>
      <c r="AG195" s="74" t="n">
        <v>0</v>
      </c>
      <c r="AH195" s="82" t="n">
        <v>193</v>
      </c>
    </row>
    <row r="196" ht="18" customHeight="1">
      <c r="C196" s="68">
        <f>_xlfn.XLOOKUP($A196,'01'!$G$3:$G$100,'01'!$R$3:$R$100,"-")</f>
        <v/>
      </c>
      <c r="D196" s="68">
        <f>_xlfn.XLOOKUP($A196,'02'!$G$3:$G$100,'02'!$R$3:$R$100,"-")</f>
        <v/>
      </c>
      <c r="E196" s="68">
        <f>_xlfn.XLOOKUP($A196,'03'!$G$3:$G$100,'03'!$R$3:$R$100,"-")</f>
        <v/>
      </c>
      <c r="F196" s="68">
        <f>_xlfn.XLOOKUP($A196,'04'!$G$3:$G$100,'04'!$R$3:$R$100,"-")</f>
        <v/>
      </c>
      <c r="G196" s="68">
        <f>_xlfn.XLOOKUP($A196,'05'!$G$3:$G$100,'05'!$R$3:$R$100,"-")</f>
        <v/>
      </c>
      <c r="H196" s="68">
        <f>_xlfn.XLOOKUP($A196,'06'!$G$3:$G$100,'06'!$R$3:$R$100,"-")</f>
        <v/>
      </c>
      <c r="I196" s="68">
        <f>_xlfn.XLOOKUP($A196,'07'!$G$3:$G$100,'07'!$R$3:$R$100,"-")</f>
        <v/>
      </c>
      <c r="J196" s="68">
        <f>_xlfn.XLOOKUP($A196,'08'!$G$3:$G$100,'08'!$R$3:$R$100,"-")</f>
        <v/>
      </c>
      <c r="K196" s="68">
        <f>_xlfn.XLOOKUP($A196,'09'!$G$3:$G$100,'09'!$R$3:$R$100,"-")</f>
        <v/>
      </c>
      <c r="L196" s="68">
        <f>_xlfn.XLOOKUP($A196,'10'!$G$3:$G$100,'10'!$R$3:$R$100,"-")</f>
        <v/>
      </c>
      <c r="M196" s="68">
        <f>_xlfn.XLOOKUP($A196,'11'!$G$3:$G$100,'11'!$R$3:$R$100,"-")</f>
        <v/>
      </c>
      <c r="N196" s="68">
        <f>_xlfn.XLOOKUP($A196,'12'!$G$3:$G$100,'12'!$R$3:$R$100,"-")</f>
        <v/>
      </c>
      <c r="O196" s="79">
        <f>SUM(C196:N196)</f>
        <v/>
      </c>
      <c r="P196" s="74" t="n"/>
      <c r="Q196" s="82" t="n">
        <v>194</v>
      </c>
      <c r="R196" s="38" t="n"/>
      <c r="S196" s="61" t="n">
        <v>0</v>
      </c>
      <c r="T196" s="68" t="n">
        <v>0</v>
      </c>
      <c r="U196" s="68" t="n">
        <v>0</v>
      </c>
      <c r="V196" s="68" t="n">
        <v>0</v>
      </c>
      <c r="W196" s="68" t="n">
        <v>0</v>
      </c>
      <c r="X196" s="68" t="n">
        <v>0</v>
      </c>
      <c r="Y196" s="68" t="n">
        <v>0</v>
      </c>
      <c r="Z196" s="68" t="n">
        <v>0</v>
      </c>
      <c r="AA196" s="68" t="n">
        <v>0</v>
      </c>
      <c r="AB196" s="68" t="n">
        <v>0</v>
      </c>
      <c r="AC196" s="68" t="n">
        <v>0</v>
      </c>
      <c r="AD196" s="68" t="n">
        <v>0</v>
      </c>
      <c r="AE196" s="68" t="n">
        <v>0</v>
      </c>
      <c r="AF196" s="79" t="n">
        <v>0</v>
      </c>
      <c r="AG196" s="74" t="n">
        <v>0</v>
      </c>
      <c r="AH196" s="82" t="n">
        <v>194</v>
      </c>
    </row>
    <row r="197" ht="18" customHeight="1">
      <c r="C197" s="68">
        <f>_xlfn.XLOOKUP($A197,'01'!$G$3:$G$100,'01'!$R$3:$R$100,"-")</f>
        <v/>
      </c>
      <c r="D197" s="68">
        <f>_xlfn.XLOOKUP($A197,'02'!$G$3:$G$100,'02'!$R$3:$R$100,"-")</f>
        <v/>
      </c>
      <c r="E197" s="68">
        <f>_xlfn.XLOOKUP($A197,'03'!$G$3:$G$100,'03'!$R$3:$R$100,"-")</f>
        <v/>
      </c>
      <c r="F197" s="68">
        <f>_xlfn.XLOOKUP($A197,'04'!$G$3:$G$100,'04'!$R$3:$R$100,"-")</f>
        <v/>
      </c>
      <c r="G197" s="68">
        <f>_xlfn.XLOOKUP($A197,'05'!$G$3:$G$100,'05'!$R$3:$R$100,"-")</f>
        <v/>
      </c>
      <c r="H197" s="68">
        <f>_xlfn.XLOOKUP($A197,'06'!$G$3:$G$100,'06'!$R$3:$R$100,"-")</f>
        <v/>
      </c>
      <c r="I197" s="68">
        <f>_xlfn.XLOOKUP($A197,'07'!$G$3:$G$100,'07'!$R$3:$R$100,"-")</f>
        <v/>
      </c>
      <c r="J197" s="68">
        <f>_xlfn.XLOOKUP($A197,'08'!$G$3:$G$100,'08'!$R$3:$R$100,"-")</f>
        <v/>
      </c>
      <c r="K197" s="68">
        <f>_xlfn.XLOOKUP($A197,'09'!$G$3:$G$100,'09'!$R$3:$R$100,"-")</f>
        <v/>
      </c>
      <c r="L197" s="68">
        <f>_xlfn.XLOOKUP($A197,'10'!$G$3:$G$100,'10'!$R$3:$R$100,"-")</f>
        <v/>
      </c>
      <c r="M197" s="68">
        <f>_xlfn.XLOOKUP($A197,'11'!$G$3:$G$100,'11'!$R$3:$R$100,"-")</f>
        <v/>
      </c>
      <c r="N197" s="68">
        <f>_xlfn.XLOOKUP($A197,'12'!$G$3:$G$100,'12'!$R$3:$R$100,"-")</f>
        <v/>
      </c>
      <c r="O197" s="79">
        <f>SUM(C197:N197)</f>
        <v/>
      </c>
      <c r="P197" s="74" t="n"/>
      <c r="Q197" s="83" t="n">
        <v>195</v>
      </c>
      <c r="R197" s="38" t="n"/>
      <c r="S197" s="61" t="n">
        <v>0</v>
      </c>
      <c r="T197" s="68" t="n">
        <v>0</v>
      </c>
      <c r="U197" s="68" t="n">
        <v>0</v>
      </c>
      <c r="V197" s="68" t="n">
        <v>0</v>
      </c>
      <c r="W197" s="68" t="n">
        <v>0</v>
      </c>
      <c r="X197" s="68" t="n">
        <v>0</v>
      </c>
      <c r="Y197" s="68" t="n">
        <v>0</v>
      </c>
      <c r="Z197" s="68" t="n">
        <v>0</v>
      </c>
      <c r="AA197" s="68" t="n">
        <v>0</v>
      </c>
      <c r="AB197" s="68" t="n">
        <v>0</v>
      </c>
      <c r="AC197" s="68" t="n">
        <v>0</v>
      </c>
      <c r="AD197" s="68" t="n">
        <v>0</v>
      </c>
      <c r="AE197" s="68" t="n">
        <v>0</v>
      </c>
      <c r="AF197" s="79" t="n">
        <v>0</v>
      </c>
      <c r="AG197" s="74" t="n">
        <v>0</v>
      </c>
      <c r="AH197" s="83" t="n">
        <v>195</v>
      </c>
    </row>
    <row r="198" ht="18" customHeight="1">
      <c r="C198" s="68">
        <f>_xlfn.XLOOKUP($A198,'01'!$G$3:$G$100,'01'!$R$3:$R$100,"-")</f>
        <v/>
      </c>
      <c r="D198" s="68">
        <f>_xlfn.XLOOKUP($A198,'02'!$G$3:$G$100,'02'!$R$3:$R$100,"-")</f>
        <v/>
      </c>
      <c r="E198" s="68">
        <f>_xlfn.XLOOKUP($A198,'03'!$G$3:$G$100,'03'!$R$3:$R$100,"-")</f>
        <v/>
      </c>
      <c r="F198" s="68">
        <f>_xlfn.XLOOKUP($A198,'04'!$G$3:$G$100,'04'!$R$3:$R$100,"-")</f>
        <v/>
      </c>
      <c r="G198" s="68">
        <f>_xlfn.XLOOKUP($A198,'05'!$G$3:$G$100,'05'!$R$3:$R$100,"-")</f>
        <v/>
      </c>
      <c r="H198" s="68">
        <f>_xlfn.XLOOKUP($A198,'06'!$G$3:$G$100,'06'!$R$3:$R$100,"-")</f>
        <v/>
      </c>
      <c r="I198" s="68">
        <f>_xlfn.XLOOKUP($A198,'07'!$G$3:$G$100,'07'!$R$3:$R$100,"-")</f>
        <v/>
      </c>
      <c r="J198" s="68">
        <f>_xlfn.XLOOKUP($A198,'08'!$G$3:$G$100,'08'!$R$3:$R$100,"-")</f>
        <v/>
      </c>
      <c r="K198" s="68">
        <f>_xlfn.XLOOKUP($A198,'09'!$G$3:$G$100,'09'!$R$3:$R$100,"-")</f>
        <v/>
      </c>
      <c r="L198" s="68">
        <f>_xlfn.XLOOKUP($A198,'10'!$G$3:$G$100,'10'!$R$3:$R$100,"-")</f>
        <v/>
      </c>
      <c r="M198" s="68">
        <f>_xlfn.XLOOKUP($A198,'11'!$G$3:$G$100,'11'!$R$3:$R$100,"-")</f>
        <v/>
      </c>
      <c r="N198" s="68">
        <f>_xlfn.XLOOKUP($A198,'12'!$G$3:$G$100,'12'!$R$3:$R$100,"-")</f>
        <v/>
      </c>
      <c r="O198" s="79">
        <f>SUM(C198:N198)</f>
        <v/>
      </c>
      <c r="P198" s="74" t="n"/>
      <c r="Q198" s="82" t="n">
        <v>196</v>
      </c>
      <c r="R198" s="38" t="n"/>
      <c r="S198" s="61" t="n">
        <v>0</v>
      </c>
      <c r="T198" s="68" t="n">
        <v>0</v>
      </c>
      <c r="U198" s="68" t="n">
        <v>0</v>
      </c>
      <c r="V198" s="68" t="n">
        <v>0</v>
      </c>
      <c r="W198" s="68" t="n">
        <v>0</v>
      </c>
      <c r="X198" s="68" t="n">
        <v>0</v>
      </c>
      <c r="Y198" s="68" t="n">
        <v>0</v>
      </c>
      <c r="Z198" s="68" t="n">
        <v>0</v>
      </c>
      <c r="AA198" s="68" t="n">
        <v>0</v>
      </c>
      <c r="AB198" s="68" t="n">
        <v>0</v>
      </c>
      <c r="AC198" s="68" t="n">
        <v>0</v>
      </c>
      <c r="AD198" s="68" t="n">
        <v>0</v>
      </c>
      <c r="AE198" s="68" t="n">
        <v>0</v>
      </c>
      <c r="AF198" s="79" t="n">
        <v>0</v>
      </c>
      <c r="AG198" s="74" t="n">
        <v>0</v>
      </c>
      <c r="AH198" s="82" t="n">
        <v>196</v>
      </c>
    </row>
    <row r="199" ht="18" customHeight="1">
      <c r="C199" s="68">
        <f>_xlfn.XLOOKUP($A199,'01'!$G$3:$G$100,'01'!$R$3:$R$100,"-")</f>
        <v/>
      </c>
      <c r="D199" s="68">
        <f>_xlfn.XLOOKUP($A199,'02'!$G$3:$G$100,'02'!$R$3:$R$100,"-")</f>
        <v/>
      </c>
      <c r="E199" s="68">
        <f>_xlfn.XLOOKUP($A199,'03'!$G$3:$G$100,'03'!$R$3:$R$100,"-")</f>
        <v/>
      </c>
      <c r="F199" s="68">
        <f>_xlfn.XLOOKUP($A199,'04'!$G$3:$G$100,'04'!$R$3:$R$100,"-")</f>
        <v/>
      </c>
      <c r="G199" s="68">
        <f>_xlfn.XLOOKUP($A199,'05'!$G$3:$G$100,'05'!$R$3:$R$100,"-")</f>
        <v/>
      </c>
      <c r="H199" s="68">
        <f>_xlfn.XLOOKUP($A199,'06'!$G$3:$G$100,'06'!$R$3:$R$100,"-")</f>
        <v/>
      </c>
      <c r="I199" s="68">
        <f>_xlfn.XLOOKUP($A199,'07'!$G$3:$G$100,'07'!$R$3:$R$100,"-")</f>
        <v/>
      </c>
      <c r="J199" s="68">
        <f>_xlfn.XLOOKUP($A199,'08'!$G$3:$G$100,'08'!$R$3:$R$100,"-")</f>
        <v/>
      </c>
      <c r="K199" s="68">
        <f>_xlfn.XLOOKUP($A199,'09'!$G$3:$G$100,'09'!$R$3:$R$100,"-")</f>
        <v/>
      </c>
      <c r="L199" s="68">
        <f>_xlfn.XLOOKUP($A199,'10'!$G$3:$G$100,'10'!$R$3:$R$100,"-")</f>
        <v/>
      </c>
      <c r="M199" s="68">
        <f>_xlfn.XLOOKUP($A199,'11'!$G$3:$G$100,'11'!$R$3:$R$100,"-")</f>
        <v/>
      </c>
      <c r="N199" s="68">
        <f>_xlfn.XLOOKUP($A199,'12'!$G$3:$G$100,'12'!$R$3:$R$100,"-")</f>
        <v/>
      </c>
      <c r="O199" s="79">
        <f>SUM(C199:N199)</f>
        <v/>
      </c>
      <c r="P199" s="74" t="n"/>
      <c r="Q199" s="82" t="n">
        <v>197</v>
      </c>
      <c r="R199" s="38" t="n"/>
      <c r="S199" s="61" t="n">
        <v>0</v>
      </c>
      <c r="T199" s="68" t="n">
        <v>0</v>
      </c>
      <c r="U199" s="68" t="n">
        <v>0</v>
      </c>
      <c r="V199" s="68" t="n">
        <v>0</v>
      </c>
      <c r="W199" s="68" t="n">
        <v>0</v>
      </c>
      <c r="X199" s="68" t="n">
        <v>0</v>
      </c>
      <c r="Y199" s="68" t="n">
        <v>0</v>
      </c>
      <c r="Z199" s="68" t="n">
        <v>0</v>
      </c>
      <c r="AA199" s="68" t="n">
        <v>0</v>
      </c>
      <c r="AB199" s="68" t="n">
        <v>0</v>
      </c>
      <c r="AC199" s="68" t="n">
        <v>0</v>
      </c>
      <c r="AD199" s="68" t="n">
        <v>0</v>
      </c>
      <c r="AE199" s="68" t="n">
        <v>0</v>
      </c>
      <c r="AF199" s="79" t="n">
        <v>0</v>
      </c>
      <c r="AG199" s="74" t="n">
        <v>0</v>
      </c>
      <c r="AH199" s="82" t="n">
        <v>197</v>
      </c>
    </row>
    <row r="200" ht="18" customHeight="1">
      <c r="C200" s="68">
        <f>_xlfn.XLOOKUP($A200,'01'!$G$3:$G$100,'01'!$R$3:$R$100,"-")</f>
        <v/>
      </c>
      <c r="D200" s="68">
        <f>_xlfn.XLOOKUP($A200,'02'!$G$3:$G$100,'02'!$R$3:$R$100,"-")</f>
        <v/>
      </c>
      <c r="E200" s="68">
        <f>_xlfn.XLOOKUP($A200,'03'!$G$3:$G$100,'03'!$R$3:$R$100,"-")</f>
        <v/>
      </c>
      <c r="F200" s="68">
        <f>_xlfn.XLOOKUP($A200,'04'!$G$3:$G$100,'04'!$R$3:$R$100,"-")</f>
        <v/>
      </c>
      <c r="G200" s="68">
        <f>_xlfn.XLOOKUP($A200,'05'!$G$3:$G$100,'05'!$R$3:$R$100,"-")</f>
        <v/>
      </c>
      <c r="H200" s="68">
        <f>_xlfn.XLOOKUP($A200,'06'!$G$3:$G$100,'06'!$R$3:$R$100,"-")</f>
        <v/>
      </c>
      <c r="I200" s="68">
        <f>_xlfn.XLOOKUP($A200,'07'!$G$3:$G$100,'07'!$R$3:$R$100,"-")</f>
        <v/>
      </c>
      <c r="J200" s="68">
        <f>_xlfn.XLOOKUP($A200,'08'!$G$3:$G$100,'08'!$R$3:$R$100,"-")</f>
        <v/>
      </c>
      <c r="K200" s="68">
        <f>_xlfn.XLOOKUP($A200,'09'!$G$3:$G$100,'09'!$R$3:$R$100,"-")</f>
        <v/>
      </c>
      <c r="L200" s="68">
        <f>_xlfn.XLOOKUP($A200,'10'!$G$3:$G$100,'10'!$R$3:$R$100,"-")</f>
        <v/>
      </c>
      <c r="M200" s="68">
        <f>_xlfn.XLOOKUP($A200,'11'!$G$3:$G$100,'11'!$R$3:$R$100,"-")</f>
        <v/>
      </c>
      <c r="N200" s="68">
        <f>_xlfn.XLOOKUP($A200,'12'!$G$3:$G$100,'12'!$R$3:$R$100,"-")</f>
        <v/>
      </c>
      <c r="O200" s="79">
        <f>SUM(C200:N200)</f>
        <v/>
      </c>
      <c r="P200" s="74" t="n"/>
      <c r="Q200" s="82" t="n">
        <v>198</v>
      </c>
      <c r="R200" s="38" t="n"/>
      <c r="S200" s="61" t="n">
        <v>0</v>
      </c>
      <c r="T200" s="68" t="n">
        <v>0</v>
      </c>
      <c r="U200" s="68" t="n">
        <v>0</v>
      </c>
      <c r="V200" s="68" t="n">
        <v>0</v>
      </c>
      <c r="W200" s="68" t="n">
        <v>0</v>
      </c>
      <c r="X200" s="68" t="n">
        <v>0</v>
      </c>
      <c r="Y200" s="68" t="n">
        <v>0</v>
      </c>
      <c r="Z200" s="68" t="n">
        <v>0</v>
      </c>
      <c r="AA200" s="68" t="n">
        <v>0</v>
      </c>
      <c r="AB200" s="68" t="n">
        <v>0</v>
      </c>
      <c r="AC200" s="68" t="n">
        <v>0</v>
      </c>
      <c r="AD200" s="68" t="n">
        <v>0</v>
      </c>
      <c r="AE200" s="68" t="n">
        <v>0</v>
      </c>
      <c r="AF200" s="79" t="n">
        <v>0</v>
      </c>
      <c r="AG200" s="74" t="n">
        <v>0</v>
      </c>
      <c r="AH200" s="82" t="n">
        <v>198</v>
      </c>
    </row>
    <row r="201" ht="18" customHeight="1">
      <c r="C201" s="68">
        <f>_xlfn.XLOOKUP($A201,'01'!$G$3:$G$100,'01'!$R$3:$R$100,"-")</f>
        <v/>
      </c>
      <c r="D201" s="68">
        <f>_xlfn.XLOOKUP($A201,'02'!$G$3:$G$100,'02'!$R$3:$R$100,"-")</f>
        <v/>
      </c>
      <c r="E201" s="68">
        <f>_xlfn.XLOOKUP($A201,'03'!$G$3:$G$100,'03'!$R$3:$R$100,"-")</f>
        <v/>
      </c>
      <c r="F201" s="68">
        <f>_xlfn.XLOOKUP($A201,'04'!$G$3:$G$100,'04'!$R$3:$R$100,"-")</f>
        <v/>
      </c>
      <c r="G201" s="68">
        <f>_xlfn.XLOOKUP($A201,'05'!$G$3:$G$100,'05'!$R$3:$R$100,"-")</f>
        <v/>
      </c>
      <c r="H201" s="68">
        <f>_xlfn.XLOOKUP($A201,'06'!$G$3:$G$100,'06'!$R$3:$R$100,"-")</f>
        <v/>
      </c>
      <c r="I201" s="68">
        <f>_xlfn.XLOOKUP($A201,'07'!$G$3:$G$100,'07'!$R$3:$R$100,"-")</f>
        <v/>
      </c>
      <c r="J201" s="68">
        <f>_xlfn.XLOOKUP($A201,'08'!$G$3:$G$100,'08'!$R$3:$R$100,"-")</f>
        <v/>
      </c>
      <c r="K201" s="68">
        <f>_xlfn.XLOOKUP($A201,'09'!$G$3:$G$100,'09'!$R$3:$R$100,"-")</f>
        <v/>
      </c>
      <c r="L201" s="68">
        <f>_xlfn.XLOOKUP($A201,'10'!$G$3:$G$100,'10'!$R$3:$R$100,"-")</f>
        <v/>
      </c>
      <c r="M201" s="68">
        <f>_xlfn.XLOOKUP($A201,'11'!$G$3:$G$100,'11'!$R$3:$R$100,"-")</f>
        <v/>
      </c>
      <c r="N201" s="68">
        <f>_xlfn.XLOOKUP($A201,'12'!$G$3:$G$100,'12'!$R$3:$R$100,"-")</f>
        <v/>
      </c>
      <c r="O201" s="79">
        <f>SUM(C201:N201)</f>
        <v/>
      </c>
      <c r="P201" s="74" t="n"/>
      <c r="Q201" s="82" t="n">
        <v>199</v>
      </c>
      <c r="R201" s="38" t="n"/>
      <c r="S201" s="61" t="n">
        <v>0</v>
      </c>
      <c r="T201" s="68" t="n">
        <v>0</v>
      </c>
      <c r="U201" s="68" t="n">
        <v>0</v>
      </c>
      <c r="V201" s="68" t="n">
        <v>0</v>
      </c>
      <c r="W201" s="68" t="n">
        <v>0</v>
      </c>
      <c r="X201" s="68" t="n">
        <v>0</v>
      </c>
      <c r="Y201" s="68" t="n">
        <v>0</v>
      </c>
      <c r="Z201" s="68" t="n">
        <v>0</v>
      </c>
      <c r="AA201" s="68" t="n">
        <v>0</v>
      </c>
      <c r="AB201" s="68" t="n">
        <v>0</v>
      </c>
      <c r="AC201" s="68" t="n">
        <v>0</v>
      </c>
      <c r="AD201" s="68" t="n">
        <v>0</v>
      </c>
      <c r="AE201" s="68" t="n">
        <v>0</v>
      </c>
      <c r="AF201" s="79" t="n">
        <v>0</v>
      </c>
      <c r="AG201" s="74" t="n">
        <v>0</v>
      </c>
      <c r="AH201" s="82" t="n">
        <v>199</v>
      </c>
    </row>
    <row r="202" ht="18" customHeight="1">
      <c r="C202" s="68">
        <f>_xlfn.XLOOKUP($A202,'01'!$G$3:$G$100,'01'!$R$3:$R$100,"-")</f>
        <v/>
      </c>
      <c r="D202" s="68">
        <f>_xlfn.XLOOKUP($A202,'02'!$G$3:$G$100,'02'!$R$3:$R$100,"-")</f>
        <v/>
      </c>
      <c r="E202" s="68">
        <f>_xlfn.XLOOKUP($A202,'03'!$G$3:$G$100,'03'!$R$3:$R$100,"-")</f>
        <v/>
      </c>
      <c r="F202" s="68">
        <f>_xlfn.XLOOKUP($A202,'04'!$G$3:$G$100,'04'!$R$3:$R$100,"-")</f>
        <v/>
      </c>
      <c r="G202" s="68">
        <f>_xlfn.XLOOKUP($A202,'05'!$G$3:$G$100,'05'!$R$3:$R$100,"-")</f>
        <v/>
      </c>
      <c r="H202" s="68">
        <f>_xlfn.XLOOKUP($A202,'06'!$G$3:$G$100,'06'!$R$3:$R$100,"-")</f>
        <v/>
      </c>
      <c r="I202" s="68">
        <f>_xlfn.XLOOKUP($A202,'07'!$G$3:$G$100,'07'!$R$3:$R$100,"-")</f>
        <v/>
      </c>
      <c r="J202" s="68">
        <f>_xlfn.XLOOKUP($A202,'08'!$G$3:$G$100,'08'!$R$3:$R$100,"-")</f>
        <v/>
      </c>
      <c r="K202" s="68">
        <f>_xlfn.XLOOKUP($A202,'09'!$G$3:$G$100,'09'!$R$3:$R$100,"-")</f>
        <v/>
      </c>
      <c r="L202" s="68">
        <f>_xlfn.XLOOKUP($A202,'10'!$G$3:$G$100,'10'!$R$3:$R$100,"-")</f>
        <v/>
      </c>
      <c r="M202" s="68">
        <f>_xlfn.XLOOKUP($A202,'11'!$G$3:$G$100,'11'!$R$3:$R$100,"-")</f>
        <v/>
      </c>
      <c r="N202" s="68">
        <f>_xlfn.XLOOKUP($A202,'12'!$G$3:$G$100,'12'!$R$3:$R$100,"-")</f>
        <v/>
      </c>
      <c r="O202" s="79">
        <f>SUM(C202:N202)</f>
        <v/>
      </c>
      <c r="P202" s="74" t="n"/>
      <c r="Q202" s="82" t="n">
        <v>200</v>
      </c>
      <c r="R202" s="38" t="n"/>
      <c r="S202" s="61" t="n">
        <v>0</v>
      </c>
      <c r="T202" s="68" t="n">
        <v>0</v>
      </c>
      <c r="U202" s="68" t="n">
        <v>0</v>
      </c>
      <c r="V202" s="68" t="n">
        <v>0</v>
      </c>
      <c r="W202" s="68" t="n">
        <v>0</v>
      </c>
      <c r="X202" s="68" t="n">
        <v>0</v>
      </c>
      <c r="Y202" s="68" t="n">
        <v>0</v>
      </c>
      <c r="Z202" s="68" t="n">
        <v>0</v>
      </c>
      <c r="AA202" s="68" t="n">
        <v>0</v>
      </c>
      <c r="AB202" s="68" t="n">
        <v>0</v>
      </c>
      <c r="AC202" s="68" t="n">
        <v>0</v>
      </c>
      <c r="AD202" s="68" t="n">
        <v>0</v>
      </c>
      <c r="AE202" s="68" t="n">
        <v>0</v>
      </c>
      <c r="AF202" s="79" t="n">
        <v>0</v>
      </c>
      <c r="AG202" s="74" t="n">
        <v>0</v>
      </c>
      <c r="AH202" s="82" t="n">
        <v>200</v>
      </c>
    </row>
    <row r="203" ht="18" customHeight="1">
      <c r="C203" s="68">
        <f>_xlfn.XLOOKUP($A203,'01'!$G$3:$G$100,'01'!$R$3:$R$100,"-")</f>
        <v/>
      </c>
      <c r="D203" s="68">
        <f>_xlfn.XLOOKUP($A203,'02'!$G$3:$G$100,'02'!$R$3:$R$100,"-")</f>
        <v/>
      </c>
      <c r="E203" s="68">
        <f>_xlfn.XLOOKUP($A203,'03'!$G$3:$G$100,'03'!$R$3:$R$100,"-")</f>
        <v/>
      </c>
      <c r="F203" s="68">
        <f>_xlfn.XLOOKUP($A203,'04'!$G$3:$G$100,'04'!$R$3:$R$100,"-")</f>
        <v/>
      </c>
      <c r="G203" s="68">
        <f>_xlfn.XLOOKUP($A203,'05'!$G$3:$G$100,'05'!$R$3:$R$100,"-")</f>
        <v/>
      </c>
      <c r="H203" s="68">
        <f>_xlfn.XLOOKUP($A203,'06'!$G$3:$G$100,'06'!$R$3:$R$100,"-")</f>
        <v/>
      </c>
      <c r="I203" s="68">
        <f>_xlfn.XLOOKUP($A203,'07'!$G$3:$G$100,'07'!$R$3:$R$100,"-")</f>
        <v/>
      </c>
      <c r="J203" s="68">
        <f>_xlfn.XLOOKUP($A203,'08'!$G$3:$G$100,'08'!$R$3:$R$100,"-")</f>
        <v/>
      </c>
      <c r="K203" s="68">
        <f>_xlfn.XLOOKUP($A203,'09'!$G$3:$G$100,'09'!$R$3:$R$100,"-")</f>
        <v/>
      </c>
      <c r="L203" s="68">
        <f>_xlfn.XLOOKUP($A203,'10'!$G$3:$G$100,'10'!$R$3:$R$100,"-")</f>
        <v/>
      </c>
      <c r="M203" s="68">
        <f>_xlfn.XLOOKUP($A203,'11'!$G$3:$G$100,'11'!$R$3:$R$100,"-")</f>
        <v/>
      </c>
      <c r="N203" s="68">
        <f>_xlfn.XLOOKUP($A203,'12'!$G$3:$G$100,'12'!$R$3:$R$100,"-")</f>
        <v/>
      </c>
      <c r="O203" s="79">
        <f>SUM(C203:N203)</f>
        <v/>
      </c>
      <c r="P203" s="74" t="n"/>
      <c r="Q203" s="82" t="n">
        <v>201</v>
      </c>
      <c r="R203" s="38" t="n"/>
      <c r="S203" s="61" t="n">
        <v>0</v>
      </c>
      <c r="T203" s="68" t="n">
        <v>0</v>
      </c>
      <c r="U203" s="68" t="n">
        <v>0</v>
      </c>
      <c r="V203" s="68" t="n">
        <v>0</v>
      </c>
      <c r="W203" s="68" t="n">
        <v>0</v>
      </c>
      <c r="X203" s="68" t="n">
        <v>0</v>
      </c>
      <c r="Y203" s="68" t="n">
        <v>0</v>
      </c>
      <c r="Z203" s="68" t="n">
        <v>0</v>
      </c>
      <c r="AA203" s="68" t="n">
        <v>0</v>
      </c>
      <c r="AB203" s="68" t="n">
        <v>0</v>
      </c>
      <c r="AC203" s="68" t="n">
        <v>0</v>
      </c>
      <c r="AD203" s="68" t="n">
        <v>0</v>
      </c>
      <c r="AE203" s="68" t="n">
        <v>0</v>
      </c>
      <c r="AF203" s="79" t="n">
        <v>0</v>
      </c>
      <c r="AG203" s="74" t="n">
        <v>0</v>
      </c>
      <c r="AH203" s="82" t="n">
        <v>201</v>
      </c>
    </row>
    <row r="204" ht="18" customHeight="1">
      <c r="C204" s="68">
        <f>_xlfn.XLOOKUP($A204,'01'!$G$3:$G$100,'01'!$R$3:$R$100,"-")</f>
        <v/>
      </c>
      <c r="D204" s="68">
        <f>_xlfn.XLOOKUP($A204,'02'!$G$3:$G$100,'02'!$R$3:$R$100,"-")</f>
        <v/>
      </c>
      <c r="E204" s="68">
        <f>_xlfn.XLOOKUP($A204,'03'!$G$3:$G$100,'03'!$R$3:$R$100,"-")</f>
        <v/>
      </c>
      <c r="F204" s="68">
        <f>_xlfn.XLOOKUP($A204,'04'!$G$3:$G$100,'04'!$R$3:$R$100,"-")</f>
        <v/>
      </c>
      <c r="G204" s="68">
        <f>_xlfn.XLOOKUP($A204,'05'!$G$3:$G$100,'05'!$R$3:$R$100,"-")</f>
        <v/>
      </c>
      <c r="H204" s="68">
        <f>_xlfn.XLOOKUP($A204,'06'!$G$3:$G$100,'06'!$R$3:$R$100,"-")</f>
        <v/>
      </c>
      <c r="I204" s="68">
        <f>_xlfn.XLOOKUP($A204,'07'!$G$3:$G$100,'07'!$R$3:$R$100,"-")</f>
        <v/>
      </c>
      <c r="J204" s="68">
        <f>_xlfn.XLOOKUP($A204,'08'!$G$3:$G$100,'08'!$R$3:$R$100,"-")</f>
        <v/>
      </c>
      <c r="K204" s="68">
        <f>_xlfn.XLOOKUP($A204,'09'!$G$3:$G$100,'09'!$R$3:$R$100,"-")</f>
        <v/>
      </c>
      <c r="L204" s="68">
        <f>_xlfn.XLOOKUP($A204,'10'!$G$3:$G$100,'10'!$R$3:$R$100,"-")</f>
        <v/>
      </c>
      <c r="M204" s="68">
        <f>_xlfn.XLOOKUP($A204,'11'!$G$3:$G$100,'11'!$R$3:$R$100,"-")</f>
        <v/>
      </c>
      <c r="N204" s="68">
        <f>_xlfn.XLOOKUP($A204,'12'!$G$3:$G$100,'12'!$R$3:$R$100,"-")</f>
        <v/>
      </c>
      <c r="O204" s="79">
        <f>SUM(C204:N204)</f>
        <v/>
      </c>
      <c r="P204" s="74" t="n"/>
      <c r="Q204" s="82" t="n">
        <v>202</v>
      </c>
      <c r="R204" s="38" t="n"/>
      <c r="S204" s="61" t="n">
        <v>0</v>
      </c>
      <c r="T204" s="68" t="n">
        <v>0</v>
      </c>
      <c r="U204" s="68" t="n">
        <v>0</v>
      </c>
      <c r="V204" s="68" t="n">
        <v>0</v>
      </c>
      <c r="W204" s="68" t="n">
        <v>0</v>
      </c>
      <c r="X204" s="68" t="n">
        <v>0</v>
      </c>
      <c r="Y204" s="68" t="n">
        <v>0</v>
      </c>
      <c r="Z204" s="68" t="n">
        <v>0</v>
      </c>
      <c r="AA204" s="68" t="n">
        <v>0</v>
      </c>
      <c r="AB204" s="68" t="n">
        <v>0</v>
      </c>
      <c r="AC204" s="68" t="n">
        <v>0</v>
      </c>
      <c r="AD204" s="68" t="n">
        <v>0</v>
      </c>
      <c r="AE204" s="68" t="n">
        <v>0</v>
      </c>
      <c r="AF204" s="79" t="n">
        <v>0</v>
      </c>
      <c r="AG204" s="74" t="n">
        <v>0</v>
      </c>
      <c r="AH204" s="82" t="n">
        <v>202</v>
      </c>
    </row>
    <row r="205" ht="18" customHeight="1">
      <c r="C205" s="68">
        <f>_xlfn.XLOOKUP($A205,'01'!$G$3:$G$100,'01'!$R$3:$R$100,"-")</f>
        <v/>
      </c>
      <c r="D205" s="68">
        <f>_xlfn.XLOOKUP($A205,'02'!$G$3:$G$100,'02'!$R$3:$R$100,"-")</f>
        <v/>
      </c>
      <c r="E205" s="68">
        <f>_xlfn.XLOOKUP($A205,'03'!$G$3:$G$100,'03'!$R$3:$R$100,"-")</f>
        <v/>
      </c>
      <c r="F205" s="68">
        <f>_xlfn.XLOOKUP($A205,'04'!$G$3:$G$100,'04'!$R$3:$R$100,"-")</f>
        <v/>
      </c>
      <c r="G205" s="68">
        <f>_xlfn.XLOOKUP($A205,'05'!$G$3:$G$100,'05'!$R$3:$R$100,"-")</f>
        <v/>
      </c>
      <c r="H205" s="68">
        <f>_xlfn.XLOOKUP($A205,'06'!$G$3:$G$100,'06'!$R$3:$R$100,"-")</f>
        <v/>
      </c>
      <c r="I205" s="68">
        <f>_xlfn.XLOOKUP($A205,'07'!$G$3:$G$100,'07'!$R$3:$R$100,"-")</f>
        <v/>
      </c>
      <c r="J205" s="68">
        <f>_xlfn.XLOOKUP($A205,'08'!$G$3:$G$100,'08'!$R$3:$R$100,"-")</f>
        <v/>
      </c>
      <c r="K205" s="68">
        <f>_xlfn.XLOOKUP($A205,'09'!$G$3:$G$100,'09'!$R$3:$R$100,"-")</f>
        <v/>
      </c>
      <c r="L205" s="68">
        <f>_xlfn.XLOOKUP($A205,'10'!$G$3:$G$100,'10'!$R$3:$R$100,"-")</f>
        <v/>
      </c>
      <c r="M205" s="68">
        <f>_xlfn.XLOOKUP($A205,'11'!$G$3:$G$100,'11'!$R$3:$R$100,"-")</f>
        <v/>
      </c>
      <c r="N205" s="68">
        <f>_xlfn.XLOOKUP($A205,'12'!$G$3:$G$100,'12'!$R$3:$R$100,"-")</f>
        <v/>
      </c>
      <c r="O205" s="79">
        <f>SUM(C205:N205)</f>
        <v/>
      </c>
      <c r="P205" s="74" t="n"/>
      <c r="Q205" s="82" t="n">
        <v>203</v>
      </c>
      <c r="R205" s="38" t="n"/>
      <c r="S205" s="61" t="n">
        <v>0</v>
      </c>
      <c r="T205" s="68" t="n">
        <v>0</v>
      </c>
      <c r="U205" s="68" t="n">
        <v>0</v>
      </c>
      <c r="V205" s="68" t="n">
        <v>0</v>
      </c>
      <c r="W205" s="68" t="n">
        <v>0</v>
      </c>
      <c r="X205" s="68" t="n">
        <v>0</v>
      </c>
      <c r="Y205" s="68" t="n">
        <v>0</v>
      </c>
      <c r="Z205" s="68" t="n">
        <v>0</v>
      </c>
      <c r="AA205" s="68" t="n">
        <v>0</v>
      </c>
      <c r="AB205" s="68" t="n">
        <v>0</v>
      </c>
      <c r="AC205" s="68" t="n">
        <v>0</v>
      </c>
      <c r="AD205" s="68" t="n">
        <v>0</v>
      </c>
      <c r="AE205" s="68" t="n">
        <v>0</v>
      </c>
      <c r="AF205" s="79" t="n">
        <v>0</v>
      </c>
      <c r="AG205" s="74" t="n">
        <v>0</v>
      </c>
      <c r="AH205" s="82" t="n">
        <v>203</v>
      </c>
    </row>
    <row r="206" ht="18" customHeight="1">
      <c r="C206" s="68">
        <f>_xlfn.XLOOKUP($A206,'01'!$G$3:$G$100,'01'!$R$3:$R$100,"-")</f>
        <v/>
      </c>
      <c r="D206" s="68">
        <f>_xlfn.XLOOKUP($A206,'02'!$G$3:$G$100,'02'!$R$3:$R$100,"-")</f>
        <v/>
      </c>
      <c r="E206" s="68">
        <f>_xlfn.XLOOKUP($A206,'03'!$G$3:$G$100,'03'!$R$3:$R$100,"-")</f>
        <v/>
      </c>
      <c r="F206" s="68">
        <f>_xlfn.XLOOKUP($A206,'04'!$G$3:$G$100,'04'!$R$3:$R$100,"-")</f>
        <v/>
      </c>
      <c r="G206" s="68">
        <f>_xlfn.XLOOKUP($A206,'05'!$G$3:$G$100,'05'!$R$3:$R$100,"-")</f>
        <v/>
      </c>
      <c r="H206" s="68">
        <f>_xlfn.XLOOKUP($A206,'06'!$G$3:$G$100,'06'!$R$3:$R$100,"-")</f>
        <v/>
      </c>
      <c r="I206" s="68">
        <f>_xlfn.XLOOKUP($A206,'07'!$G$3:$G$100,'07'!$R$3:$R$100,"-")</f>
        <v/>
      </c>
      <c r="J206" s="68">
        <f>_xlfn.XLOOKUP($A206,'08'!$G$3:$G$100,'08'!$R$3:$R$100,"-")</f>
        <v/>
      </c>
      <c r="K206" s="68">
        <f>_xlfn.XLOOKUP($A206,'09'!$G$3:$G$100,'09'!$R$3:$R$100,"-")</f>
        <v/>
      </c>
      <c r="L206" s="68">
        <f>_xlfn.XLOOKUP($A206,'10'!$G$3:$G$100,'10'!$R$3:$R$100,"-")</f>
        <v/>
      </c>
      <c r="M206" s="68">
        <f>_xlfn.XLOOKUP($A206,'11'!$G$3:$G$100,'11'!$R$3:$R$100,"-")</f>
        <v/>
      </c>
      <c r="N206" s="68">
        <f>_xlfn.XLOOKUP($A206,'12'!$G$3:$G$100,'12'!$R$3:$R$100,"-")</f>
        <v/>
      </c>
      <c r="O206" s="79">
        <f>SUM(C206:N206)</f>
        <v/>
      </c>
      <c r="P206" s="74" t="n"/>
      <c r="Q206" s="82" t="n">
        <v>204</v>
      </c>
      <c r="R206" s="38" t="n"/>
      <c r="S206" s="61" t="n">
        <v>0</v>
      </c>
      <c r="T206" s="68" t="n">
        <v>0</v>
      </c>
      <c r="U206" s="68" t="n">
        <v>0</v>
      </c>
      <c r="V206" s="68" t="n">
        <v>0</v>
      </c>
      <c r="W206" s="68" t="n">
        <v>0</v>
      </c>
      <c r="X206" s="68" t="n">
        <v>0</v>
      </c>
      <c r="Y206" s="68" t="n">
        <v>0</v>
      </c>
      <c r="Z206" s="68" t="n">
        <v>0</v>
      </c>
      <c r="AA206" s="68" t="n">
        <v>0</v>
      </c>
      <c r="AB206" s="68" t="n">
        <v>0</v>
      </c>
      <c r="AC206" s="68" t="n">
        <v>0</v>
      </c>
      <c r="AD206" s="68" t="n">
        <v>0</v>
      </c>
      <c r="AE206" s="68" t="n">
        <v>0</v>
      </c>
      <c r="AF206" s="79" t="n">
        <v>0</v>
      </c>
      <c r="AG206" s="74" t="n">
        <v>0</v>
      </c>
      <c r="AH206" s="82" t="n">
        <v>204</v>
      </c>
    </row>
    <row r="207" ht="18" customHeight="1">
      <c r="C207" s="68">
        <f>_xlfn.XLOOKUP($A207,'01'!$G$3:$G$100,'01'!$R$3:$R$100,"-")</f>
        <v/>
      </c>
      <c r="D207" s="68">
        <f>_xlfn.XLOOKUP($A207,'02'!$G$3:$G$100,'02'!$R$3:$R$100,"-")</f>
        <v/>
      </c>
      <c r="E207" s="68">
        <f>_xlfn.XLOOKUP($A207,'03'!$G$3:$G$100,'03'!$R$3:$R$100,"-")</f>
        <v/>
      </c>
      <c r="F207" s="68">
        <f>_xlfn.XLOOKUP($A207,'04'!$G$3:$G$100,'04'!$R$3:$R$100,"-")</f>
        <v/>
      </c>
      <c r="G207" s="68">
        <f>_xlfn.XLOOKUP($A207,'05'!$G$3:$G$100,'05'!$R$3:$R$100,"-")</f>
        <v/>
      </c>
      <c r="H207" s="68">
        <f>_xlfn.XLOOKUP($A207,'06'!$G$3:$G$100,'06'!$R$3:$R$100,"-")</f>
        <v/>
      </c>
      <c r="I207" s="68">
        <f>_xlfn.XLOOKUP($A207,'07'!$G$3:$G$100,'07'!$R$3:$R$100,"-")</f>
        <v/>
      </c>
      <c r="J207" s="68">
        <f>_xlfn.XLOOKUP($A207,'08'!$G$3:$G$100,'08'!$R$3:$R$100,"-")</f>
        <v/>
      </c>
      <c r="K207" s="68">
        <f>_xlfn.XLOOKUP($A207,'09'!$G$3:$G$100,'09'!$R$3:$R$100,"-")</f>
        <v/>
      </c>
      <c r="L207" s="68">
        <f>_xlfn.XLOOKUP($A207,'10'!$G$3:$G$100,'10'!$R$3:$R$100,"-")</f>
        <v/>
      </c>
      <c r="M207" s="68">
        <f>_xlfn.XLOOKUP($A207,'11'!$G$3:$G$100,'11'!$R$3:$R$100,"-")</f>
        <v/>
      </c>
      <c r="N207" s="68">
        <f>_xlfn.XLOOKUP($A207,'12'!$G$3:$G$100,'12'!$R$3:$R$100,"-")</f>
        <v/>
      </c>
      <c r="O207" s="79">
        <f>SUM(C207:N207)</f>
        <v/>
      </c>
      <c r="P207" s="74" t="n"/>
      <c r="Q207" s="83" t="n">
        <v>205</v>
      </c>
      <c r="R207" s="38" t="n"/>
      <c r="S207" s="61" t="n">
        <v>0</v>
      </c>
      <c r="T207" s="68" t="n">
        <v>0</v>
      </c>
      <c r="U207" s="68" t="n">
        <v>0</v>
      </c>
      <c r="V207" s="68" t="n">
        <v>0</v>
      </c>
      <c r="W207" s="68" t="n">
        <v>0</v>
      </c>
      <c r="X207" s="68" t="n">
        <v>0</v>
      </c>
      <c r="Y207" s="68" t="n">
        <v>0</v>
      </c>
      <c r="Z207" s="68" t="n">
        <v>0</v>
      </c>
      <c r="AA207" s="68" t="n">
        <v>0</v>
      </c>
      <c r="AB207" s="68" t="n">
        <v>0</v>
      </c>
      <c r="AC207" s="68" t="n">
        <v>0</v>
      </c>
      <c r="AD207" s="68" t="n">
        <v>0</v>
      </c>
      <c r="AE207" s="68" t="n">
        <v>0</v>
      </c>
      <c r="AF207" s="79" t="n">
        <v>0</v>
      </c>
      <c r="AG207" s="74" t="n">
        <v>0</v>
      </c>
      <c r="AH207" s="83" t="n">
        <v>205</v>
      </c>
    </row>
    <row r="208" ht="18" customHeight="1">
      <c r="C208" s="68">
        <f>_xlfn.XLOOKUP($A208,'01'!$G$3:$G$100,'01'!$R$3:$R$100,"-")</f>
        <v/>
      </c>
      <c r="D208" s="68">
        <f>_xlfn.XLOOKUP($A208,'02'!$G$3:$G$100,'02'!$R$3:$R$100,"-")</f>
        <v/>
      </c>
      <c r="E208" s="68">
        <f>_xlfn.XLOOKUP($A208,'03'!$G$3:$G$100,'03'!$R$3:$R$100,"-")</f>
        <v/>
      </c>
      <c r="F208" s="68">
        <f>_xlfn.XLOOKUP($A208,'04'!$G$3:$G$100,'04'!$R$3:$R$100,"-")</f>
        <v/>
      </c>
      <c r="G208" s="68">
        <f>_xlfn.XLOOKUP($A208,'05'!$G$3:$G$100,'05'!$R$3:$R$100,"-")</f>
        <v/>
      </c>
      <c r="H208" s="68">
        <f>_xlfn.XLOOKUP($A208,'06'!$G$3:$G$100,'06'!$R$3:$R$100,"-")</f>
        <v/>
      </c>
      <c r="I208" s="68">
        <f>_xlfn.XLOOKUP($A208,'07'!$G$3:$G$100,'07'!$R$3:$R$100,"-")</f>
        <v/>
      </c>
      <c r="J208" s="68">
        <f>_xlfn.XLOOKUP($A208,'08'!$G$3:$G$100,'08'!$R$3:$R$100,"-")</f>
        <v/>
      </c>
      <c r="K208" s="68">
        <f>_xlfn.XLOOKUP($A208,'09'!$G$3:$G$100,'09'!$R$3:$R$100,"-")</f>
        <v/>
      </c>
      <c r="L208" s="68">
        <f>_xlfn.XLOOKUP($A208,'10'!$G$3:$G$100,'10'!$R$3:$R$100,"-")</f>
        <v/>
      </c>
      <c r="M208" s="68">
        <f>_xlfn.XLOOKUP($A208,'11'!$G$3:$G$100,'11'!$R$3:$R$100,"-")</f>
        <v/>
      </c>
      <c r="N208" s="68">
        <f>_xlfn.XLOOKUP($A208,'12'!$G$3:$G$100,'12'!$R$3:$R$100,"-")</f>
        <v/>
      </c>
      <c r="O208" s="79">
        <f>SUM(C208:N208)</f>
        <v/>
      </c>
      <c r="P208" s="74" t="n"/>
      <c r="Q208" s="82" t="n">
        <v>206</v>
      </c>
      <c r="R208" s="38" t="n"/>
      <c r="S208" s="61" t="n">
        <v>0</v>
      </c>
      <c r="T208" s="68" t="n">
        <v>0</v>
      </c>
      <c r="U208" s="68" t="n">
        <v>0</v>
      </c>
      <c r="V208" s="68" t="n">
        <v>0</v>
      </c>
      <c r="W208" s="68" t="n">
        <v>0</v>
      </c>
      <c r="X208" s="68" t="n">
        <v>0</v>
      </c>
      <c r="Y208" s="68" t="n">
        <v>0</v>
      </c>
      <c r="Z208" s="68" t="n">
        <v>0</v>
      </c>
      <c r="AA208" s="68" t="n">
        <v>0</v>
      </c>
      <c r="AB208" s="68" t="n">
        <v>0</v>
      </c>
      <c r="AC208" s="68" t="n">
        <v>0</v>
      </c>
      <c r="AD208" s="68" t="n">
        <v>0</v>
      </c>
      <c r="AE208" s="68" t="n">
        <v>0</v>
      </c>
      <c r="AF208" s="79" t="n">
        <v>0</v>
      </c>
      <c r="AG208" s="74" t="n">
        <v>0</v>
      </c>
      <c r="AH208" s="82" t="n">
        <v>206</v>
      </c>
    </row>
    <row r="209" ht="18" customHeight="1">
      <c r="C209" s="68">
        <f>_xlfn.XLOOKUP($A209,'01'!$G$3:$G$100,'01'!$R$3:$R$100,"-")</f>
        <v/>
      </c>
      <c r="D209" s="68">
        <f>_xlfn.XLOOKUP($A209,'02'!$G$3:$G$100,'02'!$R$3:$R$100,"-")</f>
        <v/>
      </c>
      <c r="E209" s="68">
        <f>_xlfn.XLOOKUP($A209,'03'!$G$3:$G$100,'03'!$R$3:$R$100,"-")</f>
        <v/>
      </c>
      <c r="F209" s="68">
        <f>_xlfn.XLOOKUP($A209,'04'!$G$3:$G$100,'04'!$R$3:$R$100,"-")</f>
        <v/>
      </c>
      <c r="G209" s="68">
        <f>_xlfn.XLOOKUP($A209,'05'!$G$3:$G$100,'05'!$R$3:$R$100,"-")</f>
        <v/>
      </c>
      <c r="H209" s="68">
        <f>_xlfn.XLOOKUP($A209,'06'!$G$3:$G$100,'06'!$R$3:$R$100,"-")</f>
        <v/>
      </c>
      <c r="I209" s="68">
        <f>_xlfn.XLOOKUP($A209,'07'!$G$3:$G$100,'07'!$R$3:$R$100,"-")</f>
        <v/>
      </c>
      <c r="J209" s="68">
        <f>_xlfn.XLOOKUP($A209,'08'!$G$3:$G$100,'08'!$R$3:$R$100,"-")</f>
        <v/>
      </c>
      <c r="K209" s="68">
        <f>_xlfn.XLOOKUP($A209,'09'!$G$3:$G$100,'09'!$R$3:$R$100,"-")</f>
        <v/>
      </c>
      <c r="L209" s="68">
        <f>_xlfn.XLOOKUP($A209,'10'!$G$3:$G$100,'10'!$R$3:$R$100,"-")</f>
        <v/>
      </c>
      <c r="M209" s="68">
        <f>_xlfn.XLOOKUP($A209,'11'!$G$3:$G$100,'11'!$R$3:$R$100,"-")</f>
        <v/>
      </c>
      <c r="N209" s="68">
        <f>_xlfn.XLOOKUP($A209,'12'!$G$3:$G$100,'12'!$R$3:$R$100,"-")</f>
        <v/>
      </c>
      <c r="O209" s="79">
        <f>SUM(C209:N209)</f>
        <v/>
      </c>
      <c r="P209" s="74" t="n"/>
      <c r="Q209" s="82" t="n">
        <v>207</v>
      </c>
      <c r="R209" s="38" t="n"/>
      <c r="S209" s="61" t="n">
        <v>0</v>
      </c>
      <c r="T209" s="68" t="n">
        <v>0</v>
      </c>
      <c r="U209" s="68" t="n">
        <v>0</v>
      </c>
      <c r="V209" s="68" t="n">
        <v>0</v>
      </c>
      <c r="W209" s="68" t="n">
        <v>0</v>
      </c>
      <c r="X209" s="68" t="n">
        <v>0</v>
      </c>
      <c r="Y209" s="68" t="n">
        <v>0</v>
      </c>
      <c r="Z209" s="68" t="n">
        <v>0</v>
      </c>
      <c r="AA209" s="68" t="n">
        <v>0</v>
      </c>
      <c r="AB209" s="68" t="n">
        <v>0</v>
      </c>
      <c r="AC209" s="68" t="n">
        <v>0</v>
      </c>
      <c r="AD209" s="68" t="n">
        <v>0</v>
      </c>
      <c r="AE209" s="68" t="n">
        <v>0</v>
      </c>
      <c r="AF209" s="79" t="n">
        <v>0</v>
      </c>
      <c r="AG209" s="74" t="n">
        <v>0</v>
      </c>
      <c r="AH209" s="82" t="n">
        <v>207</v>
      </c>
    </row>
    <row r="210" ht="18" customHeight="1">
      <c r="C210" s="68">
        <f>_xlfn.XLOOKUP($A210,'01'!$G$3:$G$100,'01'!$R$3:$R$100,"-")</f>
        <v/>
      </c>
      <c r="D210" s="68">
        <f>_xlfn.XLOOKUP($A210,'02'!$G$3:$G$100,'02'!$R$3:$R$100,"-")</f>
        <v/>
      </c>
      <c r="E210" s="68">
        <f>_xlfn.XLOOKUP($A210,'03'!$G$3:$G$100,'03'!$R$3:$R$100,"-")</f>
        <v/>
      </c>
      <c r="F210" s="68">
        <f>_xlfn.XLOOKUP($A210,'04'!$G$3:$G$100,'04'!$R$3:$R$100,"-")</f>
        <v/>
      </c>
      <c r="G210" s="68">
        <f>_xlfn.XLOOKUP($A210,'05'!$G$3:$G$100,'05'!$R$3:$R$100,"-")</f>
        <v/>
      </c>
      <c r="H210" s="68">
        <f>_xlfn.XLOOKUP($A210,'06'!$G$3:$G$100,'06'!$R$3:$R$100,"-")</f>
        <v/>
      </c>
      <c r="I210" s="68">
        <f>_xlfn.XLOOKUP($A210,'07'!$G$3:$G$100,'07'!$R$3:$R$100,"-")</f>
        <v/>
      </c>
      <c r="J210" s="68">
        <f>_xlfn.XLOOKUP($A210,'08'!$G$3:$G$100,'08'!$R$3:$R$100,"-")</f>
        <v/>
      </c>
      <c r="K210" s="68">
        <f>_xlfn.XLOOKUP($A210,'09'!$G$3:$G$100,'09'!$R$3:$R$100,"-")</f>
        <v/>
      </c>
      <c r="L210" s="68">
        <f>_xlfn.XLOOKUP($A210,'10'!$G$3:$G$100,'10'!$R$3:$R$100,"-")</f>
        <v/>
      </c>
      <c r="M210" s="68">
        <f>_xlfn.XLOOKUP($A210,'11'!$G$3:$G$100,'11'!$R$3:$R$100,"-")</f>
        <v/>
      </c>
      <c r="N210" s="68">
        <f>_xlfn.XLOOKUP($A210,'12'!$G$3:$G$100,'12'!$R$3:$R$100,"-")</f>
        <v/>
      </c>
      <c r="O210" s="79">
        <f>SUM(C210:N210)</f>
        <v/>
      </c>
      <c r="P210" s="74" t="n"/>
      <c r="Q210" s="82" t="n">
        <v>208</v>
      </c>
      <c r="R210" s="38" t="n"/>
      <c r="S210" s="61" t="n">
        <v>0</v>
      </c>
      <c r="T210" s="68" t="n">
        <v>0</v>
      </c>
      <c r="U210" s="68" t="n">
        <v>0</v>
      </c>
      <c r="V210" s="68" t="n">
        <v>0</v>
      </c>
      <c r="W210" s="68" t="n">
        <v>0</v>
      </c>
      <c r="X210" s="68" t="n">
        <v>0</v>
      </c>
      <c r="Y210" s="68" t="n">
        <v>0</v>
      </c>
      <c r="Z210" s="68" t="n">
        <v>0</v>
      </c>
      <c r="AA210" s="68" t="n">
        <v>0</v>
      </c>
      <c r="AB210" s="68" t="n">
        <v>0</v>
      </c>
      <c r="AC210" s="68" t="n">
        <v>0</v>
      </c>
      <c r="AD210" s="68" t="n">
        <v>0</v>
      </c>
      <c r="AE210" s="68" t="n">
        <v>0</v>
      </c>
      <c r="AF210" s="79" t="n">
        <v>0</v>
      </c>
      <c r="AG210" s="74" t="n">
        <v>0</v>
      </c>
      <c r="AH210" s="82" t="n">
        <v>208</v>
      </c>
    </row>
    <row r="211" ht="18" customHeight="1">
      <c r="C211" s="68">
        <f>_xlfn.XLOOKUP($A211,'01'!$G$3:$G$100,'01'!$R$3:$R$100,"-")</f>
        <v/>
      </c>
      <c r="D211" s="68">
        <f>_xlfn.XLOOKUP($A211,'02'!$G$3:$G$100,'02'!$R$3:$R$100,"-")</f>
        <v/>
      </c>
      <c r="E211" s="68">
        <f>_xlfn.XLOOKUP($A211,'03'!$G$3:$G$100,'03'!$R$3:$R$100,"-")</f>
        <v/>
      </c>
      <c r="F211" s="68">
        <f>_xlfn.XLOOKUP($A211,'04'!$G$3:$G$100,'04'!$R$3:$R$100,"-")</f>
        <v/>
      </c>
      <c r="G211" s="68">
        <f>_xlfn.XLOOKUP($A211,'05'!$G$3:$G$100,'05'!$R$3:$R$100,"-")</f>
        <v/>
      </c>
      <c r="H211" s="68">
        <f>_xlfn.XLOOKUP($A211,'06'!$G$3:$G$100,'06'!$R$3:$R$100,"-")</f>
        <v/>
      </c>
      <c r="I211" s="68">
        <f>_xlfn.XLOOKUP($A211,'07'!$G$3:$G$100,'07'!$R$3:$R$100,"-")</f>
        <v/>
      </c>
      <c r="J211" s="68">
        <f>_xlfn.XLOOKUP($A211,'08'!$G$3:$G$100,'08'!$R$3:$R$100,"-")</f>
        <v/>
      </c>
      <c r="K211" s="68">
        <f>_xlfn.XLOOKUP($A211,'09'!$G$3:$G$100,'09'!$R$3:$R$100,"-")</f>
        <v/>
      </c>
      <c r="L211" s="68">
        <f>_xlfn.XLOOKUP($A211,'10'!$G$3:$G$100,'10'!$R$3:$R$100,"-")</f>
        <v/>
      </c>
      <c r="M211" s="68">
        <f>_xlfn.XLOOKUP($A211,'11'!$G$3:$G$100,'11'!$R$3:$R$100,"-")</f>
        <v/>
      </c>
      <c r="N211" s="68">
        <f>_xlfn.XLOOKUP($A211,'12'!$G$3:$G$100,'12'!$R$3:$R$100,"-")</f>
        <v/>
      </c>
      <c r="O211" s="79">
        <f>SUM(C211:N211)</f>
        <v/>
      </c>
      <c r="P211" s="74" t="n"/>
      <c r="Q211" s="82" t="n">
        <v>209</v>
      </c>
      <c r="R211" s="38" t="n"/>
      <c r="S211" s="61" t="n">
        <v>0</v>
      </c>
      <c r="T211" s="68" t="n">
        <v>0</v>
      </c>
      <c r="U211" s="68" t="n">
        <v>0</v>
      </c>
      <c r="V211" s="68" t="n">
        <v>0</v>
      </c>
      <c r="W211" s="68" t="n">
        <v>0</v>
      </c>
      <c r="X211" s="68" t="n">
        <v>0</v>
      </c>
      <c r="Y211" s="68" t="n">
        <v>0</v>
      </c>
      <c r="Z211" s="68" t="n">
        <v>0</v>
      </c>
      <c r="AA211" s="68" t="n">
        <v>0</v>
      </c>
      <c r="AB211" s="68" t="n">
        <v>0</v>
      </c>
      <c r="AC211" s="68" t="n">
        <v>0</v>
      </c>
      <c r="AD211" s="68" t="n">
        <v>0</v>
      </c>
      <c r="AE211" s="68" t="n">
        <v>0</v>
      </c>
      <c r="AF211" s="79" t="n">
        <v>0</v>
      </c>
      <c r="AG211" s="74" t="n">
        <v>0</v>
      </c>
      <c r="AH211" s="82" t="n">
        <v>209</v>
      </c>
    </row>
    <row r="212" ht="18" customHeight="1">
      <c r="C212" s="68">
        <f>_xlfn.XLOOKUP($A212,'01'!$G$3:$G$100,'01'!$R$3:$R$100,"-")</f>
        <v/>
      </c>
      <c r="D212" s="68">
        <f>_xlfn.XLOOKUP($A212,'02'!$G$3:$G$100,'02'!$R$3:$R$100,"-")</f>
        <v/>
      </c>
      <c r="E212" s="68">
        <f>_xlfn.XLOOKUP($A212,'03'!$G$3:$G$100,'03'!$R$3:$R$100,"-")</f>
        <v/>
      </c>
      <c r="F212" s="68">
        <f>_xlfn.XLOOKUP($A212,'04'!$G$3:$G$100,'04'!$R$3:$R$100,"-")</f>
        <v/>
      </c>
      <c r="G212" s="68">
        <f>_xlfn.XLOOKUP($A212,'05'!$G$3:$G$100,'05'!$R$3:$R$100,"-")</f>
        <v/>
      </c>
      <c r="H212" s="68">
        <f>_xlfn.XLOOKUP($A212,'06'!$G$3:$G$100,'06'!$R$3:$R$100,"-")</f>
        <v/>
      </c>
      <c r="I212" s="68">
        <f>_xlfn.XLOOKUP($A212,'07'!$G$3:$G$100,'07'!$R$3:$R$100,"-")</f>
        <v/>
      </c>
      <c r="J212" s="68">
        <f>_xlfn.XLOOKUP($A212,'08'!$G$3:$G$100,'08'!$R$3:$R$100,"-")</f>
        <v/>
      </c>
      <c r="K212" s="68">
        <f>_xlfn.XLOOKUP($A212,'09'!$G$3:$G$100,'09'!$R$3:$R$100,"-")</f>
        <v/>
      </c>
      <c r="L212" s="68">
        <f>_xlfn.XLOOKUP($A212,'10'!$G$3:$G$100,'10'!$R$3:$R$100,"-")</f>
        <v/>
      </c>
      <c r="M212" s="68">
        <f>_xlfn.XLOOKUP($A212,'11'!$G$3:$G$100,'11'!$R$3:$R$100,"-")</f>
        <v/>
      </c>
      <c r="N212" s="68">
        <f>_xlfn.XLOOKUP($A212,'12'!$G$3:$G$100,'12'!$R$3:$R$100,"-")</f>
        <v/>
      </c>
      <c r="O212" s="79">
        <f>SUM(C212:N212)</f>
        <v/>
      </c>
      <c r="P212" s="74" t="n"/>
      <c r="Q212" s="82" t="n">
        <v>210</v>
      </c>
      <c r="R212" s="38" t="n"/>
      <c r="S212" s="61" t="n">
        <v>0</v>
      </c>
      <c r="T212" s="68" t="n">
        <v>0</v>
      </c>
      <c r="U212" s="68" t="n">
        <v>0</v>
      </c>
      <c r="V212" s="68" t="n">
        <v>0</v>
      </c>
      <c r="W212" s="68" t="n">
        <v>0</v>
      </c>
      <c r="X212" s="68" t="n">
        <v>0</v>
      </c>
      <c r="Y212" s="68" t="n">
        <v>0</v>
      </c>
      <c r="Z212" s="68" t="n">
        <v>0</v>
      </c>
      <c r="AA212" s="68" t="n">
        <v>0</v>
      </c>
      <c r="AB212" s="68" t="n">
        <v>0</v>
      </c>
      <c r="AC212" s="68" t="n">
        <v>0</v>
      </c>
      <c r="AD212" s="68" t="n">
        <v>0</v>
      </c>
      <c r="AE212" s="68" t="n">
        <v>0</v>
      </c>
      <c r="AF212" s="79" t="n">
        <v>0</v>
      </c>
      <c r="AG212" s="74" t="n">
        <v>0</v>
      </c>
      <c r="AH212" s="82" t="n">
        <v>210</v>
      </c>
    </row>
    <row r="213" ht="18" customHeight="1">
      <c r="C213" s="68">
        <f>_xlfn.XLOOKUP($A213,'01'!$G$3:$G$100,'01'!$R$3:$R$100,"-")</f>
        <v/>
      </c>
      <c r="D213" s="68">
        <f>_xlfn.XLOOKUP($A213,'02'!$G$3:$G$100,'02'!$R$3:$R$100,"-")</f>
        <v/>
      </c>
      <c r="E213" s="68">
        <f>_xlfn.XLOOKUP($A213,'03'!$G$3:$G$100,'03'!$R$3:$R$100,"-")</f>
        <v/>
      </c>
      <c r="F213" s="68">
        <f>_xlfn.XLOOKUP($A213,'04'!$G$3:$G$100,'04'!$R$3:$R$100,"-")</f>
        <v/>
      </c>
      <c r="G213" s="68">
        <f>_xlfn.XLOOKUP($A213,'05'!$G$3:$G$100,'05'!$R$3:$R$100,"-")</f>
        <v/>
      </c>
      <c r="H213" s="68">
        <f>_xlfn.XLOOKUP($A213,'06'!$G$3:$G$100,'06'!$R$3:$R$100,"-")</f>
        <v/>
      </c>
      <c r="I213" s="68">
        <f>_xlfn.XLOOKUP($A213,'07'!$G$3:$G$100,'07'!$R$3:$R$100,"-")</f>
        <v/>
      </c>
      <c r="J213" s="68">
        <f>_xlfn.XLOOKUP($A213,'08'!$G$3:$G$100,'08'!$R$3:$R$100,"-")</f>
        <v/>
      </c>
      <c r="K213" s="68">
        <f>_xlfn.XLOOKUP($A213,'09'!$G$3:$G$100,'09'!$R$3:$R$100,"-")</f>
        <v/>
      </c>
      <c r="L213" s="68">
        <f>_xlfn.XLOOKUP($A213,'10'!$G$3:$G$100,'10'!$R$3:$R$100,"-")</f>
        <v/>
      </c>
      <c r="M213" s="68">
        <f>_xlfn.XLOOKUP($A213,'11'!$G$3:$G$100,'11'!$R$3:$R$100,"-")</f>
        <v/>
      </c>
      <c r="N213" s="68">
        <f>_xlfn.XLOOKUP($A213,'12'!$G$3:$G$100,'12'!$R$3:$R$100,"-")</f>
        <v/>
      </c>
      <c r="O213" s="79">
        <f>SUM(C213:N213)</f>
        <v/>
      </c>
      <c r="P213" s="74" t="n"/>
      <c r="Q213" s="82" t="n">
        <v>211</v>
      </c>
      <c r="R213" s="38" t="n"/>
      <c r="S213" s="61" t="n">
        <v>0</v>
      </c>
      <c r="T213" s="68" t="n">
        <v>0</v>
      </c>
      <c r="U213" s="68" t="n">
        <v>0</v>
      </c>
      <c r="V213" s="68" t="n">
        <v>0</v>
      </c>
      <c r="W213" s="68" t="n">
        <v>0</v>
      </c>
      <c r="X213" s="68" t="n">
        <v>0</v>
      </c>
      <c r="Y213" s="68" t="n">
        <v>0</v>
      </c>
      <c r="Z213" s="68" t="n">
        <v>0</v>
      </c>
      <c r="AA213" s="68" t="n">
        <v>0</v>
      </c>
      <c r="AB213" s="68" t="n">
        <v>0</v>
      </c>
      <c r="AC213" s="68" t="n">
        <v>0</v>
      </c>
      <c r="AD213" s="68" t="n">
        <v>0</v>
      </c>
      <c r="AE213" s="68" t="n">
        <v>0</v>
      </c>
      <c r="AF213" s="79" t="n">
        <v>0</v>
      </c>
      <c r="AG213" s="74" t="n">
        <v>0</v>
      </c>
      <c r="AH213" s="82" t="n">
        <v>211</v>
      </c>
    </row>
    <row r="214" ht="18" customHeight="1">
      <c r="C214" s="68">
        <f>_xlfn.XLOOKUP($A214,'01'!$G$3:$G$100,'01'!$R$3:$R$100,"-")</f>
        <v/>
      </c>
      <c r="D214" s="68">
        <f>_xlfn.XLOOKUP($A214,'02'!$G$3:$G$100,'02'!$R$3:$R$100,"-")</f>
        <v/>
      </c>
      <c r="E214" s="68">
        <f>_xlfn.XLOOKUP($A214,'03'!$G$3:$G$100,'03'!$R$3:$R$100,"-")</f>
        <v/>
      </c>
      <c r="F214" s="68">
        <f>_xlfn.XLOOKUP($A214,'04'!$G$3:$G$100,'04'!$R$3:$R$100,"-")</f>
        <v/>
      </c>
      <c r="G214" s="68">
        <f>_xlfn.XLOOKUP($A214,'05'!$G$3:$G$100,'05'!$R$3:$R$100,"-")</f>
        <v/>
      </c>
      <c r="H214" s="68">
        <f>_xlfn.XLOOKUP($A214,'06'!$G$3:$G$100,'06'!$R$3:$R$100,"-")</f>
        <v/>
      </c>
      <c r="I214" s="68">
        <f>_xlfn.XLOOKUP($A214,'07'!$G$3:$G$100,'07'!$R$3:$R$100,"-")</f>
        <v/>
      </c>
      <c r="J214" s="68">
        <f>_xlfn.XLOOKUP($A214,'08'!$G$3:$G$100,'08'!$R$3:$R$100,"-")</f>
        <v/>
      </c>
      <c r="K214" s="68">
        <f>_xlfn.XLOOKUP($A214,'09'!$G$3:$G$100,'09'!$R$3:$R$100,"-")</f>
        <v/>
      </c>
      <c r="L214" s="68">
        <f>_xlfn.XLOOKUP($A214,'10'!$G$3:$G$100,'10'!$R$3:$R$100,"-")</f>
        <v/>
      </c>
      <c r="M214" s="68">
        <f>_xlfn.XLOOKUP($A214,'11'!$G$3:$G$100,'11'!$R$3:$R$100,"-")</f>
        <v/>
      </c>
      <c r="N214" s="68">
        <f>_xlfn.XLOOKUP($A214,'12'!$G$3:$G$100,'12'!$R$3:$R$100,"-")</f>
        <v/>
      </c>
      <c r="O214" s="79">
        <f>SUM(C214:N214)</f>
        <v/>
      </c>
      <c r="P214" s="74" t="n"/>
      <c r="Q214" s="82" t="n">
        <v>212</v>
      </c>
      <c r="R214" s="38" t="n"/>
      <c r="S214" s="61" t="n">
        <v>0</v>
      </c>
      <c r="T214" s="68" t="n">
        <v>0</v>
      </c>
      <c r="U214" s="68" t="n">
        <v>0</v>
      </c>
      <c r="V214" s="68" t="n">
        <v>0</v>
      </c>
      <c r="W214" s="68" t="n">
        <v>0</v>
      </c>
      <c r="X214" s="68" t="n">
        <v>0</v>
      </c>
      <c r="Y214" s="68" t="n">
        <v>0</v>
      </c>
      <c r="Z214" s="68" t="n">
        <v>0</v>
      </c>
      <c r="AA214" s="68" t="n">
        <v>0</v>
      </c>
      <c r="AB214" s="68" t="n">
        <v>0</v>
      </c>
      <c r="AC214" s="68" t="n">
        <v>0</v>
      </c>
      <c r="AD214" s="68" t="n">
        <v>0</v>
      </c>
      <c r="AE214" s="68" t="n">
        <v>0</v>
      </c>
      <c r="AF214" s="79" t="n">
        <v>0</v>
      </c>
      <c r="AG214" s="74" t="n">
        <v>0</v>
      </c>
      <c r="AH214" s="82" t="n">
        <v>212</v>
      </c>
    </row>
    <row r="215" ht="18" customHeight="1">
      <c r="C215" s="68">
        <f>_xlfn.XLOOKUP($A215,'01'!$G$3:$G$100,'01'!$R$3:$R$100,"-")</f>
        <v/>
      </c>
      <c r="D215" s="68">
        <f>_xlfn.XLOOKUP($A215,'02'!$G$3:$G$100,'02'!$R$3:$R$100,"-")</f>
        <v/>
      </c>
      <c r="E215" s="68">
        <f>_xlfn.XLOOKUP($A215,'03'!$G$3:$G$100,'03'!$R$3:$R$100,"-")</f>
        <v/>
      </c>
      <c r="F215" s="68">
        <f>_xlfn.XLOOKUP($A215,'04'!$G$3:$G$100,'04'!$R$3:$R$100,"-")</f>
        <v/>
      </c>
      <c r="G215" s="68">
        <f>_xlfn.XLOOKUP($A215,'05'!$G$3:$G$100,'05'!$R$3:$R$100,"-")</f>
        <v/>
      </c>
      <c r="H215" s="68">
        <f>_xlfn.XLOOKUP($A215,'06'!$G$3:$G$100,'06'!$R$3:$R$100,"-")</f>
        <v/>
      </c>
      <c r="I215" s="68">
        <f>_xlfn.XLOOKUP($A215,'07'!$G$3:$G$100,'07'!$R$3:$R$100,"-")</f>
        <v/>
      </c>
      <c r="J215" s="68">
        <f>_xlfn.XLOOKUP($A215,'08'!$G$3:$G$100,'08'!$R$3:$R$100,"-")</f>
        <v/>
      </c>
      <c r="K215" s="68">
        <f>_xlfn.XLOOKUP($A215,'09'!$G$3:$G$100,'09'!$R$3:$R$100,"-")</f>
        <v/>
      </c>
      <c r="L215" s="68">
        <f>_xlfn.XLOOKUP($A215,'10'!$G$3:$G$100,'10'!$R$3:$R$100,"-")</f>
        <v/>
      </c>
      <c r="M215" s="68">
        <f>_xlfn.XLOOKUP($A215,'11'!$G$3:$G$100,'11'!$R$3:$R$100,"-")</f>
        <v/>
      </c>
      <c r="N215" s="68">
        <f>_xlfn.XLOOKUP($A215,'12'!$G$3:$G$100,'12'!$R$3:$R$100,"-")</f>
        <v/>
      </c>
      <c r="O215" s="79">
        <f>SUM(C215:N215)</f>
        <v/>
      </c>
      <c r="P215" s="74" t="n"/>
      <c r="Q215" s="82" t="n">
        <v>213</v>
      </c>
      <c r="R215" s="38" t="n"/>
      <c r="S215" s="61" t="n">
        <v>0</v>
      </c>
      <c r="T215" s="68" t="n">
        <v>0</v>
      </c>
      <c r="U215" s="68" t="n">
        <v>0</v>
      </c>
      <c r="V215" s="68" t="n">
        <v>0</v>
      </c>
      <c r="W215" s="68" t="n">
        <v>0</v>
      </c>
      <c r="X215" s="68" t="n">
        <v>0</v>
      </c>
      <c r="Y215" s="68" t="n">
        <v>0</v>
      </c>
      <c r="Z215" s="68" t="n">
        <v>0</v>
      </c>
      <c r="AA215" s="68" t="n">
        <v>0</v>
      </c>
      <c r="AB215" s="68" t="n">
        <v>0</v>
      </c>
      <c r="AC215" s="68" t="n">
        <v>0</v>
      </c>
      <c r="AD215" s="68" t="n">
        <v>0</v>
      </c>
      <c r="AE215" s="68" t="n">
        <v>0</v>
      </c>
      <c r="AF215" s="79" t="n">
        <v>0</v>
      </c>
      <c r="AG215" s="74" t="n">
        <v>0</v>
      </c>
      <c r="AH215" s="82" t="n">
        <v>213</v>
      </c>
    </row>
    <row r="216" ht="18" customHeight="1">
      <c r="C216" s="68">
        <f>_xlfn.XLOOKUP($A216,'01'!$G$3:$G$100,'01'!$R$3:$R$100,"-")</f>
        <v/>
      </c>
      <c r="D216" s="68">
        <f>_xlfn.XLOOKUP($A216,'02'!$G$3:$G$100,'02'!$R$3:$R$100,"-")</f>
        <v/>
      </c>
      <c r="E216" s="68">
        <f>_xlfn.XLOOKUP($A216,'03'!$G$3:$G$100,'03'!$R$3:$R$100,"-")</f>
        <v/>
      </c>
      <c r="F216" s="68">
        <f>_xlfn.XLOOKUP($A216,'04'!$G$3:$G$100,'04'!$R$3:$R$100,"-")</f>
        <v/>
      </c>
      <c r="G216" s="68">
        <f>_xlfn.XLOOKUP($A216,'05'!$G$3:$G$100,'05'!$R$3:$R$100,"-")</f>
        <v/>
      </c>
      <c r="H216" s="68">
        <f>_xlfn.XLOOKUP($A216,'06'!$G$3:$G$100,'06'!$R$3:$R$100,"-")</f>
        <v/>
      </c>
      <c r="I216" s="68">
        <f>_xlfn.XLOOKUP($A216,'07'!$G$3:$G$100,'07'!$R$3:$R$100,"-")</f>
        <v/>
      </c>
      <c r="J216" s="68">
        <f>_xlfn.XLOOKUP($A216,'08'!$G$3:$G$100,'08'!$R$3:$R$100,"-")</f>
        <v/>
      </c>
      <c r="K216" s="68">
        <f>_xlfn.XLOOKUP($A216,'09'!$G$3:$G$100,'09'!$R$3:$R$100,"-")</f>
        <v/>
      </c>
      <c r="L216" s="68">
        <f>_xlfn.XLOOKUP($A216,'10'!$G$3:$G$100,'10'!$R$3:$R$100,"-")</f>
        <v/>
      </c>
      <c r="M216" s="68">
        <f>_xlfn.XLOOKUP($A216,'11'!$G$3:$G$100,'11'!$R$3:$R$100,"-")</f>
        <v/>
      </c>
      <c r="N216" s="68">
        <f>_xlfn.XLOOKUP($A216,'12'!$G$3:$G$100,'12'!$R$3:$R$100,"-")</f>
        <v/>
      </c>
      <c r="O216" s="79">
        <f>SUM(C216:N216)</f>
        <v/>
      </c>
      <c r="P216" s="74" t="n"/>
      <c r="Q216" s="82" t="n">
        <v>214</v>
      </c>
      <c r="R216" s="38" t="n"/>
      <c r="S216" s="61" t="n">
        <v>0</v>
      </c>
      <c r="T216" s="68" t="n">
        <v>0</v>
      </c>
      <c r="U216" s="68" t="n">
        <v>0</v>
      </c>
      <c r="V216" s="68" t="n">
        <v>0</v>
      </c>
      <c r="W216" s="68" t="n">
        <v>0</v>
      </c>
      <c r="X216" s="68" t="n">
        <v>0</v>
      </c>
      <c r="Y216" s="68" t="n">
        <v>0</v>
      </c>
      <c r="Z216" s="68" t="n">
        <v>0</v>
      </c>
      <c r="AA216" s="68" t="n">
        <v>0</v>
      </c>
      <c r="AB216" s="68" t="n">
        <v>0</v>
      </c>
      <c r="AC216" s="68" t="n">
        <v>0</v>
      </c>
      <c r="AD216" s="68" t="n">
        <v>0</v>
      </c>
      <c r="AE216" s="68" t="n">
        <v>0</v>
      </c>
      <c r="AF216" s="79" t="n">
        <v>0</v>
      </c>
      <c r="AG216" s="74" t="n">
        <v>0</v>
      </c>
      <c r="AH216" s="82" t="n">
        <v>214</v>
      </c>
    </row>
    <row r="217" ht="18" customHeight="1">
      <c r="C217" s="68">
        <f>_xlfn.XLOOKUP($A217,'01'!$G$3:$G$100,'01'!$R$3:$R$100,"-")</f>
        <v/>
      </c>
      <c r="D217" s="68">
        <f>_xlfn.XLOOKUP($A217,'02'!$G$3:$G$100,'02'!$R$3:$R$100,"-")</f>
        <v/>
      </c>
      <c r="E217" s="68">
        <f>_xlfn.XLOOKUP($A217,'03'!$G$3:$G$100,'03'!$R$3:$R$100,"-")</f>
        <v/>
      </c>
      <c r="F217" s="68">
        <f>_xlfn.XLOOKUP($A217,'04'!$G$3:$G$100,'04'!$R$3:$R$100,"-")</f>
        <v/>
      </c>
      <c r="G217" s="68">
        <f>_xlfn.XLOOKUP($A217,'05'!$G$3:$G$100,'05'!$R$3:$R$100,"-")</f>
        <v/>
      </c>
      <c r="H217" s="68">
        <f>_xlfn.XLOOKUP($A217,'06'!$G$3:$G$100,'06'!$R$3:$R$100,"-")</f>
        <v/>
      </c>
      <c r="I217" s="68">
        <f>_xlfn.XLOOKUP($A217,'07'!$G$3:$G$100,'07'!$R$3:$R$100,"-")</f>
        <v/>
      </c>
      <c r="J217" s="68">
        <f>_xlfn.XLOOKUP($A217,'08'!$G$3:$G$100,'08'!$R$3:$R$100,"-")</f>
        <v/>
      </c>
      <c r="K217" s="68">
        <f>_xlfn.XLOOKUP($A217,'09'!$G$3:$G$100,'09'!$R$3:$R$100,"-")</f>
        <v/>
      </c>
      <c r="L217" s="68">
        <f>_xlfn.XLOOKUP($A217,'10'!$G$3:$G$100,'10'!$R$3:$R$100,"-")</f>
        <v/>
      </c>
      <c r="M217" s="68">
        <f>_xlfn.XLOOKUP($A217,'11'!$G$3:$G$100,'11'!$R$3:$R$100,"-")</f>
        <v/>
      </c>
      <c r="N217" s="68">
        <f>_xlfn.XLOOKUP($A217,'12'!$G$3:$G$100,'12'!$R$3:$R$100,"-")</f>
        <v/>
      </c>
      <c r="O217" s="79">
        <f>SUM(C217:N217)</f>
        <v/>
      </c>
      <c r="P217" s="74" t="n"/>
      <c r="Q217" s="83" t="n">
        <v>215</v>
      </c>
      <c r="R217" s="38" t="n"/>
      <c r="S217" s="61" t="n">
        <v>0</v>
      </c>
      <c r="T217" s="68" t="n">
        <v>0</v>
      </c>
      <c r="U217" s="68" t="n">
        <v>0</v>
      </c>
      <c r="V217" s="68" t="n">
        <v>0</v>
      </c>
      <c r="W217" s="68" t="n">
        <v>0</v>
      </c>
      <c r="X217" s="68" t="n">
        <v>0</v>
      </c>
      <c r="Y217" s="68" t="n">
        <v>0</v>
      </c>
      <c r="Z217" s="68" t="n">
        <v>0</v>
      </c>
      <c r="AA217" s="68" t="n">
        <v>0</v>
      </c>
      <c r="AB217" s="68" t="n">
        <v>0</v>
      </c>
      <c r="AC217" s="68" t="n">
        <v>0</v>
      </c>
      <c r="AD217" s="68" t="n">
        <v>0</v>
      </c>
      <c r="AE217" s="68" t="n">
        <v>0</v>
      </c>
      <c r="AF217" s="79" t="n">
        <v>0</v>
      </c>
      <c r="AG217" s="74" t="n">
        <v>0</v>
      </c>
      <c r="AH217" s="83" t="n">
        <v>215</v>
      </c>
    </row>
    <row r="218" ht="18" customHeight="1">
      <c r="C218" s="68">
        <f>_xlfn.XLOOKUP($A218,'01'!$G$3:$G$100,'01'!$R$3:$R$100,"-")</f>
        <v/>
      </c>
      <c r="D218" s="68">
        <f>_xlfn.XLOOKUP($A218,'02'!$G$3:$G$100,'02'!$R$3:$R$100,"-")</f>
        <v/>
      </c>
      <c r="E218" s="68">
        <f>_xlfn.XLOOKUP($A218,'03'!$G$3:$G$100,'03'!$R$3:$R$100,"-")</f>
        <v/>
      </c>
      <c r="F218" s="68">
        <f>_xlfn.XLOOKUP($A218,'04'!$G$3:$G$100,'04'!$R$3:$R$100,"-")</f>
        <v/>
      </c>
      <c r="G218" s="68">
        <f>_xlfn.XLOOKUP($A218,'05'!$G$3:$G$100,'05'!$R$3:$R$100,"-")</f>
        <v/>
      </c>
      <c r="H218" s="68">
        <f>_xlfn.XLOOKUP($A218,'06'!$G$3:$G$100,'06'!$R$3:$R$100,"-")</f>
        <v/>
      </c>
      <c r="I218" s="68">
        <f>_xlfn.XLOOKUP($A218,'07'!$G$3:$G$100,'07'!$R$3:$R$100,"-")</f>
        <v/>
      </c>
      <c r="J218" s="68">
        <f>_xlfn.XLOOKUP($A218,'08'!$G$3:$G$100,'08'!$R$3:$R$100,"-")</f>
        <v/>
      </c>
      <c r="K218" s="68">
        <f>_xlfn.XLOOKUP($A218,'09'!$G$3:$G$100,'09'!$R$3:$R$100,"-")</f>
        <v/>
      </c>
      <c r="L218" s="68">
        <f>_xlfn.XLOOKUP($A218,'10'!$G$3:$G$100,'10'!$R$3:$R$100,"-")</f>
        <v/>
      </c>
      <c r="M218" s="68">
        <f>_xlfn.XLOOKUP($A218,'11'!$G$3:$G$100,'11'!$R$3:$R$100,"-")</f>
        <v/>
      </c>
      <c r="N218" s="68">
        <f>_xlfn.XLOOKUP($A218,'12'!$G$3:$G$100,'12'!$R$3:$R$100,"-")</f>
        <v/>
      </c>
      <c r="O218" s="79">
        <f>SUM(C218:N218)</f>
        <v/>
      </c>
      <c r="P218" s="74" t="n"/>
      <c r="Q218" s="82" t="n">
        <v>216</v>
      </c>
      <c r="R218" s="38" t="n"/>
      <c r="S218" s="61" t="n">
        <v>0</v>
      </c>
      <c r="T218" s="68" t="n">
        <v>0</v>
      </c>
      <c r="U218" s="68" t="n">
        <v>0</v>
      </c>
      <c r="V218" s="68" t="n">
        <v>0</v>
      </c>
      <c r="W218" s="68" t="n">
        <v>0</v>
      </c>
      <c r="X218" s="68" t="n">
        <v>0</v>
      </c>
      <c r="Y218" s="68" t="n">
        <v>0</v>
      </c>
      <c r="Z218" s="68" t="n">
        <v>0</v>
      </c>
      <c r="AA218" s="68" t="n">
        <v>0</v>
      </c>
      <c r="AB218" s="68" t="n">
        <v>0</v>
      </c>
      <c r="AC218" s="68" t="n">
        <v>0</v>
      </c>
      <c r="AD218" s="68" t="n">
        <v>0</v>
      </c>
      <c r="AE218" s="68" t="n">
        <v>0</v>
      </c>
      <c r="AF218" s="79" t="n">
        <v>0</v>
      </c>
      <c r="AG218" s="74" t="n">
        <v>0</v>
      </c>
      <c r="AH218" s="82" t="n">
        <v>216</v>
      </c>
    </row>
    <row r="219" ht="18" customHeight="1">
      <c r="C219" s="68">
        <f>_xlfn.XLOOKUP($A219,'01'!$G$3:$G$100,'01'!$R$3:$R$100,"-")</f>
        <v/>
      </c>
      <c r="D219" s="68">
        <f>_xlfn.XLOOKUP($A219,'02'!$G$3:$G$100,'02'!$R$3:$R$100,"-")</f>
        <v/>
      </c>
      <c r="E219" s="68">
        <f>_xlfn.XLOOKUP($A219,'03'!$G$3:$G$100,'03'!$R$3:$R$100,"-")</f>
        <v/>
      </c>
      <c r="F219" s="68">
        <f>_xlfn.XLOOKUP($A219,'04'!$G$3:$G$100,'04'!$R$3:$R$100,"-")</f>
        <v/>
      </c>
      <c r="G219" s="68">
        <f>_xlfn.XLOOKUP($A219,'05'!$G$3:$G$100,'05'!$R$3:$R$100,"-")</f>
        <v/>
      </c>
      <c r="H219" s="68">
        <f>_xlfn.XLOOKUP($A219,'06'!$G$3:$G$100,'06'!$R$3:$R$100,"-")</f>
        <v/>
      </c>
      <c r="I219" s="68">
        <f>_xlfn.XLOOKUP($A219,'07'!$G$3:$G$100,'07'!$R$3:$R$100,"-")</f>
        <v/>
      </c>
      <c r="J219" s="68">
        <f>_xlfn.XLOOKUP($A219,'08'!$G$3:$G$100,'08'!$R$3:$R$100,"-")</f>
        <v/>
      </c>
      <c r="K219" s="68">
        <f>_xlfn.XLOOKUP($A219,'09'!$G$3:$G$100,'09'!$R$3:$R$100,"-")</f>
        <v/>
      </c>
      <c r="L219" s="68">
        <f>_xlfn.XLOOKUP($A219,'10'!$G$3:$G$100,'10'!$R$3:$R$100,"-")</f>
        <v/>
      </c>
      <c r="M219" s="68">
        <f>_xlfn.XLOOKUP($A219,'11'!$G$3:$G$100,'11'!$R$3:$R$100,"-")</f>
        <v/>
      </c>
      <c r="N219" s="68">
        <f>_xlfn.XLOOKUP($A219,'12'!$G$3:$G$100,'12'!$R$3:$R$100,"-")</f>
        <v/>
      </c>
      <c r="O219" s="79">
        <f>SUM(C219:N219)</f>
        <v/>
      </c>
      <c r="P219" s="74" t="n"/>
      <c r="Q219" s="82" t="n">
        <v>217</v>
      </c>
      <c r="R219" s="38" t="n"/>
      <c r="S219" s="61" t="n">
        <v>0</v>
      </c>
      <c r="T219" s="68" t="n">
        <v>0</v>
      </c>
      <c r="U219" s="68" t="n">
        <v>0</v>
      </c>
      <c r="V219" s="68" t="n">
        <v>0</v>
      </c>
      <c r="W219" s="68" t="n">
        <v>0</v>
      </c>
      <c r="X219" s="68" t="n">
        <v>0</v>
      </c>
      <c r="Y219" s="68" t="n">
        <v>0</v>
      </c>
      <c r="Z219" s="68" t="n">
        <v>0</v>
      </c>
      <c r="AA219" s="68" t="n">
        <v>0</v>
      </c>
      <c r="AB219" s="68" t="n">
        <v>0</v>
      </c>
      <c r="AC219" s="68" t="n">
        <v>0</v>
      </c>
      <c r="AD219" s="68" t="n">
        <v>0</v>
      </c>
      <c r="AE219" s="68" t="n">
        <v>0</v>
      </c>
      <c r="AF219" s="79" t="n">
        <v>0</v>
      </c>
      <c r="AG219" s="74" t="n">
        <v>0</v>
      </c>
      <c r="AH219" s="82" t="n">
        <v>217</v>
      </c>
    </row>
    <row r="220" ht="18" customHeight="1">
      <c r="C220" s="68">
        <f>_xlfn.XLOOKUP($A220,'01'!$G$3:$G$100,'01'!$R$3:$R$100,"-")</f>
        <v/>
      </c>
      <c r="D220" s="68">
        <f>_xlfn.XLOOKUP($A220,'02'!$G$3:$G$100,'02'!$R$3:$R$100,"-")</f>
        <v/>
      </c>
      <c r="E220" s="68">
        <f>_xlfn.XLOOKUP($A220,'03'!$G$3:$G$100,'03'!$R$3:$R$100,"-")</f>
        <v/>
      </c>
      <c r="F220" s="68">
        <f>_xlfn.XLOOKUP($A220,'04'!$G$3:$G$100,'04'!$R$3:$R$100,"-")</f>
        <v/>
      </c>
      <c r="G220" s="68">
        <f>_xlfn.XLOOKUP($A220,'05'!$G$3:$G$100,'05'!$R$3:$R$100,"-")</f>
        <v/>
      </c>
      <c r="H220" s="68">
        <f>_xlfn.XLOOKUP($A220,'06'!$G$3:$G$100,'06'!$R$3:$R$100,"-")</f>
        <v/>
      </c>
      <c r="I220" s="68">
        <f>_xlfn.XLOOKUP($A220,'07'!$G$3:$G$100,'07'!$R$3:$R$100,"-")</f>
        <v/>
      </c>
      <c r="J220" s="68">
        <f>_xlfn.XLOOKUP($A220,'08'!$G$3:$G$100,'08'!$R$3:$R$100,"-")</f>
        <v/>
      </c>
      <c r="K220" s="68">
        <f>_xlfn.XLOOKUP($A220,'09'!$G$3:$G$100,'09'!$R$3:$R$100,"-")</f>
        <v/>
      </c>
      <c r="L220" s="68">
        <f>_xlfn.XLOOKUP($A220,'10'!$G$3:$G$100,'10'!$R$3:$R$100,"-")</f>
        <v/>
      </c>
      <c r="M220" s="68">
        <f>_xlfn.XLOOKUP($A220,'11'!$G$3:$G$100,'11'!$R$3:$R$100,"-")</f>
        <v/>
      </c>
      <c r="N220" s="68">
        <f>_xlfn.XLOOKUP($A220,'12'!$G$3:$G$100,'12'!$R$3:$R$100,"-")</f>
        <v/>
      </c>
      <c r="O220" s="79">
        <f>SUM(C220:N220)</f>
        <v/>
      </c>
      <c r="P220" s="74" t="n"/>
      <c r="Q220" s="82" t="n">
        <v>218</v>
      </c>
      <c r="R220" s="38" t="n"/>
      <c r="S220" s="61" t="n">
        <v>0</v>
      </c>
      <c r="T220" s="68" t="n">
        <v>0</v>
      </c>
      <c r="U220" s="68" t="n">
        <v>0</v>
      </c>
      <c r="V220" s="68" t="n">
        <v>0</v>
      </c>
      <c r="W220" s="68" t="n">
        <v>0</v>
      </c>
      <c r="X220" s="68" t="n">
        <v>0</v>
      </c>
      <c r="Y220" s="68" t="n">
        <v>0</v>
      </c>
      <c r="Z220" s="68" t="n">
        <v>0</v>
      </c>
      <c r="AA220" s="68" t="n">
        <v>0</v>
      </c>
      <c r="AB220" s="68" t="n">
        <v>0</v>
      </c>
      <c r="AC220" s="68" t="n">
        <v>0</v>
      </c>
      <c r="AD220" s="68" t="n">
        <v>0</v>
      </c>
      <c r="AE220" s="68" t="n">
        <v>0</v>
      </c>
      <c r="AF220" s="79" t="n">
        <v>0</v>
      </c>
      <c r="AG220" s="74" t="n">
        <v>0</v>
      </c>
      <c r="AH220" s="82" t="n">
        <v>218</v>
      </c>
    </row>
    <row r="221" ht="18" customHeight="1">
      <c r="C221" s="68">
        <f>_xlfn.XLOOKUP($A221,'01'!$G$3:$G$100,'01'!$R$3:$R$100,"-")</f>
        <v/>
      </c>
      <c r="D221" s="68">
        <f>_xlfn.XLOOKUP($A221,'02'!$G$3:$G$100,'02'!$R$3:$R$100,"-")</f>
        <v/>
      </c>
      <c r="E221" s="68">
        <f>_xlfn.XLOOKUP($A221,'03'!$G$3:$G$100,'03'!$R$3:$R$100,"-")</f>
        <v/>
      </c>
      <c r="F221" s="68">
        <f>_xlfn.XLOOKUP($A221,'04'!$G$3:$G$100,'04'!$R$3:$R$100,"-")</f>
        <v/>
      </c>
      <c r="G221" s="68">
        <f>_xlfn.XLOOKUP($A221,'05'!$G$3:$G$100,'05'!$R$3:$R$100,"-")</f>
        <v/>
      </c>
      <c r="H221" s="68">
        <f>_xlfn.XLOOKUP($A221,'06'!$G$3:$G$100,'06'!$R$3:$R$100,"-")</f>
        <v/>
      </c>
      <c r="I221" s="68">
        <f>_xlfn.XLOOKUP($A221,'07'!$G$3:$G$100,'07'!$R$3:$R$100,"-")</f>
        <v/>
      </c>
      <c r="J221" s="68">
        <f>_xlfn.XLOOKUP($A221,'08'!$G$3:$G$100,'08'!$R$3:$R$100,"-")</f>
        <v/>
      </c>
      <c r="K221" s="68">
        <f>_xlfn.XLOOKUP($A221,'09'!$G$3:$G$100,'09'!$R$3:$R$100,"-")</f>
        <v/>
      </c>
      <c r="L221" s="68">
        <f>_xlfn.XLOOKUP($A221,'10'!$G$3:$G$100,'10'!$R$3:$R$100,"-")</f>
        <v/>
      </c>
      <c r="M221" s="68">
        <f>_xlfn.XLOOKUP($A221,'11'!$G$3:$G$100,'11'!$R$3:$R$100,"-")</f>
        <v/>
      </c>
      <c r="N221" s="68">
        <f>_xlfn.XLOOKUP($A221,'12'!$G$3:$G$100,'12'!$R$3:$R$100,"-")</f>
        <v/>
      </c>
      <c r="O221" s="79">
        <f>SUM(C221:N221)</f>
        <v/>
      </c>
      <c r="P221" s="74" t="n"/>
      <c r="Q221" s="82" t="n">
        <v>219</v>
      </c>
      <c r="R221" s="38" t="n"/>
      <c r="S221" s="61" t="n">
        <v>0</v>
      </c>
      <c r="T221" s="68" t="n">
        <v>0</v>
      </c>
      <c r="U221" s="68" t="n">
        <v>0</v>
      </c>
      <c r="V221" s="68" t="n">
        <v>0</v>
      </c>
      <c r="W221" s="68" t="n">
        <v>0</v>
      </c>
      <c r="X221" s="68" t="n">
        <v>0</v>
      </c>
      <c r="Y221" s="68" t="n">
        <v>0</v>
      </c>
      <c r="Z221" s="68" t="n">
        <v>0</v>
      </c>
      <c r="AA221" s="68" t="n">
        <v>0</v>
      </c>
      <c r="AB221" s="68" t="n">
        <v>0</v>
      </c>
      <c r="AC221" s="68" t="n">
        <v>0</v>
      </c>
      <c r="AD221" s="68" t="n">
        <v>0</v>
      </c>
      <c r="AE221" s="68" t="n">
        <v>0</v>
      </c>
      <c r="AF221" s="79" t="n">
        <v>0</v>
      </c>
      <c r="AG221" s="74" t="n">
        <v>0</v>
      </c>
      <c r="AH221" s="82" t="n">
        <v>219</v>
      </c>
    </row>
    <row r="222" ht="18" customHeight="1">
      <c r="C222" s="68">
        <f>_xlfn.XLOOKUP($A222,'01'!$G$3:$G$100,'01'!$R$3:$R$100,"-")</f>
        <v/>
      </c>
      <c r="D222" s="68">
        <f>_xlfn.XLOOKUP($A222,'02'!$G$3:$G$100,'02'!$R$3:$R$100,"-")</f>
        <v/>
      </c>
      <c r="E222" s="68">
        <f>_xlfn.XLOOKUP($A222,'03'!$G$3:$G$100,'03'!$R$3:$R$100,"-")</f>
        <v/>
      </c>
      <c r="F222" s="68">
        <f>_xlfn.XLOOKUP($A222,'04'!$G$3:$G$100,'04'!$R$3:$R$100,"-")</f>
        <v/>
      </c>
      <c r="G222" s="68">
        <f>_xlfn.XLOOKUP($A222,'05'!$G$3:$G$100,'05'!$R$3:$R$100,"-")</f>
        <v/>
      </c>
      <c r="H222" s="68">
        <f>_xlfn.XLOOKUP($A222,'06'!$G$3:$G$100,'06'!$R$3:$R$100,"-")</f>
        <v/>
      </c>
      <c r="I222" s="68">
        <f>_xlfn.XLOOKUP($A222,'07'!$G$3:$G$100,'07'!$R$3:$R$100,"-")</f>
        <v/>
      </c>
      <c r="J222" s="68">
        <f>_xlfn.XLOOKUP($A222,'08'!$G$3:$G$100,'08'!$R$3:$R$100,"-")</f>
        <v/>
      </c>
      <c r="K222" s="68">
        <f>_xlfn.XLOOKUP($A222,'09'!$G$3:$G$100,'09'!$R$3:$R$100,"-")</f>
        <v/>
      </c>
      <c r="L222" s="68">
        <f>_xlfn.XLOOKUP($A222,'10'!$G$3:$G$100,'10'!$R$3:$R$100,"-")</f>
        <v/>
      </c>
      <c r="M222" s="68">
        <f>_xlfn.XLOOKUP($A222,'11'!$G$3:$G$100,'11'!$R$3:$R$100,"-")</f>
        <v/>
      </c>
      <c r="N222" s="68">
        <f>_xlfn.XLOOKUP($A222,'12'!$G$3:$G$100,'12'!$R$3:$R$100,"-")</f>
        <v/>
      </c>
      <c r="O222" s="79">
        <f>SUM(C222:N222)</f>
        <v/>
      </c>
      <c r="P222" s="74" t="n"/>
      <c r="Q222" s="82" t="n">
        <v>220</v>
      </c>
      <c r="R222" s="38" t="n"/>
      <c r="S222" s="61" t="n">
        <v>0</v>
      </c>
      <c r="T222" s="68" t="n">
        <v>0</v>
      </c>
      <c r="U222" s="68" t="n">
        <v>0</v>
      </c>
      <c r="V222" s="68" t="n">
        <v>0</v>
      </c>
      <c r="W222" s="68" t="n">
        <v>0</v>
      </c>
      <c r="X222" s="68" t="n">
        <v>0</v>
      </c>
      <c r="Y222" s="68" t="n">
        <v>0</v>
      </c>
      <c r="Z222" s="68" t="n">
        <v>0</v>
      </c>
      <c r="AA222" s="68" t="n">
        <v>0</v>
      </c>
      <c r="AB222" s="68" t="n">
        <v>0</v>
      </c>
      <c r="AC222" s="68" t="n">
        <v>0</v>
      </c>
      <c r="AD222" s="68" t="n">
        <v>0</v>
      </c>
      <c r="AE222" s="68" t="n">
        <v>0</v>
      </c>
      <c r="AF222" s="79" t="n">
        <v>0</v>
      </c>
      <c r="AG222" s="74" t="n">
        <v>0</v>
      </c>
      <c r="AH222" s="82" t="n">
        <v>220</v>
      </c>
    </row>
    <row r="223" ht="18" customHeight="1">
      <c r="C223" s="68">
        <f>_xlfn.XLOOKUP($A223,'01'!$G$3:$G$100,'01'!$R$3:$R$100,"-")</f>
        <v/>
      </c>
      <c r="D223" s="68">
        <f>_xlfn.XLOOKUP($A223,'02'!$G$3:$G$100,'02'!$R$3:$R$100,"-")</f>
        <v/>
      </c>
      <c r="E223" s="68">
        <f>_xlfn.XLOOKUP($A223,'03'!$G$3:$G$100,'03'!$R$3:$R$100,"-")</f>
        <v/>
      </c>
      <c r="F223" s="68">
        <f>_xlfn.XLOOKUP($A223,'04'!$G$3:$G$100,'04'!$R$3:$R$100,"-")</f>
        <v/>
      </c>
      <c r="G223" s="68">
        <f>_xlfn.XLOOKUP($A223,'05'!$G$3:$G$100,'05'!$R$3:$R$100,"-")</f>
        <v/>
      </c>
      <c r="H223" s="68">
        <f>_xlfn.XLOOKUP($A223,'06'!$G$3:$G$100,'06'!$R$3:$R$100,"-")</f>
        <v/>
      </c>
      <c r="I223" s="68">
        <f>_xlfn.XLOOKUP($A223,'07'!$G$3:$G$100,'07'!$R$3:$R$100,"-")</f>
        <v/>
      </c>
      <c r="J223" s="68">
        <f>_xlfn.XLOOKUP($A223,'08'!$G$3:$G$100,'08'!$R$3:$R$100,"-")</f>
        <v/>
      </c>
      <c r="K223" s="68">
        <f>_xlfn.XLOOKUP($A223,'09'!$G$3:$G$100,'09'!$R$3:$R$100,"-")</f>
        <v/>
      </c>
      <c r="L223" s="68">
        <f>_xlfn.XLOOKUP($A223,'10'!$G$3:$G$100,'10'!$R$3:$R$100,"-")</f>
        <v/>
      </c>
      <c r="M223" s="68">
        <f>_xlfn.XLOOKUP($A223,'11'!$G$3:$G$100,'11'!$R$3:$R$100,"-")</f>
        <v/>
      </c>
      <c r="N223" s="68">
        <f>_xlfn.XLOOKUP($A223,'12'!$G$3:$G$100,'12'!$R$3:$R$100,"-")</f>
        <v/>
      </c>
      <c r="O223" s="79">
        <f>SUM(C223:N223)</f>
        <v/>
      </c>
      <c r="P223" s="74" t="n"/>
      <c r="Q223" s="82" t="n">
        <v>221</v>
      </c>
      <c r="R223" s="38" t="n"/>
      <c r="S223" s="61" t="n">
        <v>0</v>
      </c>
      <c r="T223" s="68" t="n">
        <v>0</v>
      </c>
      <c r="U223" s="68" t="n">
        <v>0</v>
      </c>
      <c r="V223" s="68" t="n">
        <v>0</v>
      </c>
      <c r="W223" s="68" t="n">
        <v>0</v>
      </c>
      <c r="X223" s="68" t="n">
        <v>0</v>
      </c>
      <c r="Y223" s="68" t="n">
        <v>0</v>
      </c>
      <c r="Z223" s="68" t="n">
        <v>0</v>
      </c>
      <c r="AA223" s="68" t="n">
        <v>0</v>
      </c>
      <c r="AB223" s="68" t="n">
        <v>0</v>
      </c>
      <c r="AC223" s="68" t="n">
        <v>0</v>
      </c>
      <c r="AD223" s="68" t="n">
        <v>0</v>
      </c>
      <c r="AE223" s="68" t="n">
        <v>0</v>
      </c>
      <c r="AF223" s="79" t="n">
        <v>0</v>
      </c>
      <c r="AG223" s="74" t="n">
        <v>0</v>
      </c>
      <c r="AH223" s="82" t="n">
        <v>221</v>
      </c>
    </row>
    <row r="224" ht="18" customHeight="1">
      <c r="C224" s="68">
        <f>_xlfn.XLOOKUP($A224,'01'!$G$3:$G$100,'01'!$R$3:$R$100,"-")</f>
        <v/>
      </c>
      <c r="D224" s="68">
        <f>_xlfn.XLOOKUP($A224,'02'!$G$3:$G$100,'02'!$R$3:$R$100,"-")</f>
        <v/>
      </c>
      <c r="E224" s="68">
        <f>_xlfn.XLOOKUP($A224,'03'!$G$3:$G$100,'03'!$R$3:$R$100,"-")</f>
        <v/>
      </c>
      <c r="F224" s="68">
        <f>_xlfn.XLOOKUP($A224,'04'!$G$3:$G$100,'04'!$R$3:$R$100,"-")</f>
        <v/>
      </c>
      <c r="G224" s="68">
        <f>_xlfn.XLOOKUP($A224,'05'!$G$3:$G$100,'05'!$R$3:$R$100,"-")</f>
        <v/>
      </c>
      <c r="H224" s="68">
        <f>_xlfn.XLOOKUP($A224,'06'!$G$3:$G$100,'06'!$R$3:$R$100,"-")</f>
        <v/>
      </c>
      <c r="I224" s="68">
        <f>_xlfn.XLOOKUP($A224,'07'!$G$3:$G$100,'07'!$R$3:$R$100,"-")</f>
        <v/>
      </c>
      <c r="J224" s="68">
        <f>_xlfn.XLOOKUP($A224,'08'!$G$3:$G$100,'08'!$R$3:$R$100,"-")</f>
        <v/>
      </c>
      <c r="K224" s="68">
        <f>_xlfn.XLOOKUP($A224,'09'!$G$3:$G$100,'09'!$R$3:$R$100,"-")</f>
        <v/>
      </c>
      <c r="L224" s="68">
        <f>_xlfn.XLOOKUP($A224,'10'!$G$3:$G$100,'10'!$R$3:$R$100,"-")</f>
        <v/>
      </c>
      <c r="M224" s="68">
        <f>_xlfn.XLOOKUP($A224,'11'!$G$3:$G$100,'11'!$R$3:$R$100,"-")</f>
        <v/>
      </c>
      <c r="N224" s="68">
        <f>_xlfn.XLOOKUP($A224,'12'!$G$3:$G$100,'12'!$R$3:$R$100,"-")</f>
        <v/>
      </c>
      <c r="O224" s="79">
        <f>SUM(C224:N224)</f>
        <v/>
      </c>
      <c r="P224" s="74" t="n"/>
      <c r="Q224" s="82" t="n">
        <v>222</v>
      </c>
      <c r="R224" s="38" t="n"/>
      <c r="S224" s="61" t="n">
        <v>0</v>
      </c>
      <c r="T224" s="68" t="n">
        <v>0</v>
      </c>
      <c r="U224" s="68" t="n">
        <v>0</v>
      </c>
      <c r="V224" s="68" t="n">
        <v>0</v>
      </c>
      <c r="W224" s="68" t="n">
        <v>0</v>
      </c>
      <c r="X224" s="68" t="n">
        <v>0</v>
      </c>
      <c r="Y224" s="68" t="n">
        <v>0</v>
      </c>
      <c r="Z224" s="68" t="n">
        <v>0</v>
      </c>
      <c r="AA224" s="68" t="n">
        <v>0</v>
      </c>
      <c r="AB224" s="68" t="n">
        <v>0</v>
      </c>
      <c r="AC224" s="68" t="n">
        <v>0</v>
      </c>
      <c r="AD224" s="68" t="n">
        <v>0</v>
      </c>
      <c r="AE224" s="68" t="n">
        <v>0</v>
      </c>
      <c r="AF224" s="79" t="n">
        <v>0</v>
      </c>
      <c r="AG224" s="74" t="n">
        <v>0</v>
      </c>
      <c r="AH224" s="82" t="n">
        <v>222</v>
      </c>
    </row>
    <row r="225" ht="18" customHeight="1">
      <c r="C225" s="68">
        <f>_xlfn.XLOOKUP($A225,'01'!$G$3:$G$100,'01'!$R$3:$R$100,"-")</f>
        <v/>
      </c>
      <c r="D225" s="68">
        <f>_xlfn.XLOOKUP($A225,'02'!$G$3:$G$100,'02'!$R$3:$R$100,"-")</f>
        <v/>
      </c>
      <c r="E225" s="68">
        <f>_xlfn.XLOOKUP($A225,'03'!$G$3:$G$100,'03'!$R$3:$R$100,"-")</f>
        <v/>
      </c>
      <c r="F225" s="68">
        <f>_xlfn.XLOOKUP($A225,'04'!$G$3:$G$100,'04'!$R$3:$R$100,"-")</f>
        <v/>
      </c>
      <c r="G225" s="68">
        <f>_xlfn.XLOOKUP($A225,'05'!$G$3:$G$100,'05'!$R$3:$R$100,"-")</f>
        <v/>
      </c>
      <c r="H225" s="68">
        <f>_xlfn.XLOOKUP($A225,'06'!$G$3:$G$100,'06'!$R$3:$R$100,"-")</f>
        <v/>
      </c>
      <c r="I225" s="68">
        <f>_xlfn.XLOOKUP($A225,'07'!$G$3:$G$100,'07'!$R$3:$R$100,"-")</f>
        <v/>
      </c>
      <c r="J225" s="68">
        <f>_xlfn.XLOOKUP($A225,'08'!$G$3:$G$100,'08'!$R$3:$R$100,"-")</f>
        <v/>
      </c>
      <c r="K225" s="68">
        <f>_xlfn.XLOOKUP($A225,'09'!$G$3:$G$100,'09'!$R$3:$R$100,"-")</f>
        <v/>
      </c>
      <c r="L225" s="68">
        <f>_xlfn.XLOOKUP($A225,'10'!$G$3:$G$100,'10'!$R$3:$R$100,"-")</f>
        <v/>
      </c>
      <c r="M225" s="68">
        <f>_xlfn.XLOOKUP($A225,'11'!$G$3:$G$100,'11'!$R$3:$R$100,"-")</f>
        <v/>
      </c>
      <c r="N225" s="68">
        <f>_xlfn.XLOOKUP($A225,'12'!$G$3:$G$100,'12'!$R$3:$R$100,"-")</f>
        <v/>
      </c>
      <c r="O225" s="79">
        <f>SUM(C225:N225)</f>
        <v/>
      </c>
      <c r="P225" s="74" t="n"/>
      <c r="Q225" s="82" t="n">
        <v>223</v>
      </c>
      <c r="R225" s="38" t="n"/>
      <c r="S225" s="61" t="n">
        <v>0</v>
      </c>
      <c r="T225" s="68" t="n">
        <v>0</v>
      </c>
      <c r="U225" s="68" t="n">
        <v>0</v>
      </c>
      <c r="V225" s="68" t="n">
        <v>0</v>
      </c>
      <c r="W225" s="68" t="n">
        <v>0</v>
      </c>
      <c r="X225" s="68" t="n">
        <v>0</v>
      </c>
      <c r="Y225" s="68" t="n">
        <v>0</v>
      </c>
      <c r="Z225" s="68" t="n">
        <v>0</v>
      </c>
      <c r="AA225" s="68" t="n">
        <v>0</v>
      </c>
      <c r="AB225" s="68" t="n">
        <v>0</v>
      </c>
      <c r="AC225" s="68" t="n">
        <v>0</v>
      </c>
      <c r="AD225" s="68" t="n">
        <v>0</v>
      </c>
      <c r="AE225" s="68" t="n">
        <v>0</v>
      </c>
      <c r="AF225" s="79" t="n">
        <v>0</v>
      </c>
      <c r="AG225" s="74" t="n">
        <v>0</v>
      </c>
      <c r="AH225" s="82" t="n">
        <v>223</v>
      </c>
    </row>
    <row r="226" ht="18" customHeight="1">
      <c r="C226" s="68">
        <f>_xlfn.XLOOKUP($A226,'01'!$G$3:$G$100,'01'!$R$3:$R$100,"-")</f>
        <v/>
      </c>
      <c r="D226" s="68">
        <f>_xlfn.XLOOKUP($A226,'02'!$G$3:$G$100,'02'!$R$3:$R$100,"-")</f>
        <v/>
      </c>
      <c r="E226" s="68">
        <f>_xlfn.XLOOKUP($A226,'03'!$G$3:$G$100,'03'!$R$3:$R$100,"-")</f>
        <v/>
      </c>
      <c r="F226" s="68">
        <f>_xlfn.XLOOKUP($A226,'04'!$G$3:$G$100,'04'!$R$3:$R$100,"-")</f>
        <v/>
      </c>
      <c r="G226" s="68">
        <f>_xlfn.XLOOKUP($A226,'05'!$G$3:$G$100,'05'!$R$3:$R$100,"-")</f>
        <v/>
      </c>
      <c r="H226" s="68">
        <f>_xlfn.XLOOKUP($A226,'06'!$G$3:$G$100,'06'!$R$3:$R$100,"-")</f>
        <v/>
      </c>
      <c r="I226" s="68">
        <f>_xlfn.XLOOKUP($A226,'07'!$G$3:$G$100,'07'!$R$3:$R$100,"-")</f>
        <v/>
      </c>
      <c r="J226" s="68">
        <f>_xlfn.XLOOKUP($A226,'08'!$G$3:$G$100,'08'!$R$3:$R$100,"-")</f>
        <v/>
      </c>
      <c r="K226" s="68">
        <f>_xlfn.XLOOKUP($A226,'09'!$G$3:$G$100,'09'!$R$3:$R$100,"-")</f>
        <v/>
      </c>
      <c r="L226" s="68">
        <f>_xlfn.XLOOKUP($A226,'10'!$G$3:$G$100,'10'!$R$3:$R$100,"-")</f>
        <v/>
      </c>
      <c r="M226" s="68">
        <f>_xlfn.XLOOKUP($A226,'11'!$G$3:$G$100,'11'!$R$3:$R$100,"-")</f>
        <v/>
      </c>
      <c r="N226" s="68">
        <f>_xlfn.XLOOKUP($A226,'12'!$G$3:$G$100,'12'!$R$3:$R$100,"-")</f>
        <v/>
      </c>
      <c r="O226" s="79">
        <f>SUM(C226:N226)</f>
        <v/>
      </c>
      <c r="P226" s="74" t="n"/>
      <c r="Q226" s="82" t="n">
        <v>224</v>
      </c>
      <c r="R226" s="38" t="n"/>
      <c r="S226" s="61" t="n">
        <v>0</v>
      </c>
      <c r="T226" s="68" t="n">
        <v>0</v>
      </c>
      <c r="U226" s="68" t="n">
        <v>0</v>
      </c>
      <c r="V226" s="68" t="n">
        <v>0</v>
      </c>
      <c r="W226" s="68" t="n">
        <v>0</v>
      </c>
      <c r="X226" s="68" t="n">
        <v>0</v>
      </c>
      <c r="Y226" s="68" t="n">
        <v>0</v>
      </c>
      <c r="Z226" s="68" t="n">
        <v>0</v>
      </c>
      <c r="AA226" s="68" t="n">
        <v>0</v>
      </c>
      <c r="AB226" s="68" t="n">
        <v>0</v>
      </c>
      <c r="AC226" s="68" t="n">
        <v>0</v>
      </c>
      <c r="AD226" s="68" t="n">
        <v>0</v>
      </c>
      <c r="AE226" s="68" t="n">
        <v>0</v>
      </c>
      <c r="AF226" s="79" t="n">
        <v>0</v>
      </c>
      <c r="AG226" s="74" t="n">
        <v>0</v>
      </c>
      <c r="AH226" s="82" t="n">
        <v>224</v>
      </c>
    </row>
    <row r="227" ht="18" customHeight="1">
      <c r="C227" s="68">
        <f>_xlfn.XLOOKUP($A227,'01'!$G$3:$G$100,'01'!$R$3:$R$100,"-")</f>
        <v/>
      </c>
      <c r="D227" s="68">
        <f>_xlfn.XLOOKUP($A227,'02'!$G$3:$G$100,'02'!$R$3:$R$100,"-")</f>
        <v/>
      </c>
      <c r="E227" s="68">
        <f>_xlfn.XLOOKUP($A227,'03'!$G$3:$G$100,'03'!$R$3:$R$100,"-")</f>
        <v/>
      </c>
      <c r="F227" s="68">
        <f>_xlfn.XLOOKUP($A227,'04'!$G$3:$G$100,'04'!$R$3:$R$100,"-")</f>
        <v/>
      </c>
      <c r="G227" s="68">
        <f>_xlfn.XLOOKUP($A227,'05'!$G$3:$G$100,'05'!$R$3:$R$100,"-")</f>
        <v/>
      </c>
      <c r="H227" s="68">
        <f>_xlfn.XLOOKUP($A227,'06'!$G$3:$G$100,'06'!$R$3:$R$100,"-")</f>
        <v/>
      </c>
      <c r="I227" s="68">
        <f>_xlfn.XLOOKUP($A227,'07'!$G$3:$G$100,'07'!$R$3:$R$100,"-")</f>
        <v/>
      </c>
      <c r="J227" s="68">
        <f>_xlfn.XLOOKUP($A227,'08'!$G$3:$G$100,'08'!$R$3:$R$100,"-")</f>
        <v/>
      </c>
      <c r="K227" s="68">
        <f>_xlfn.XLOOKUP($A227,'09'!$G$3:$G$100,'09'!$R$3:$R$100,"-")</f>
        <v/>
      </c>
      <c r="L227" s="68">
        <f>_xlfn.XLOOKUP($A227,'10'!$G$3:$G$100,'10'!$R$3:$R$100,"-")</f>
        <v/>
      </c>
      <c r="M227" s="68">
        <f>_xlfn.XLOOKUP($A227,'11'!$G$3:$G$100,'11'!$R$3:$R$100,"-")</f>
        <v/>
      </c>
      <c r="N227" s="68">
        <f>_xlfn.XLOOKUP($A227,'12'!$G$3:$G$100,'12'!$R$3:$R$100,"-")</f>
        <v/>
      </c>
      <c r="O227" s="79">
        <f>SUM(C227:N227)</f>
        <v/>
      </c>
      <c r="P227" s="74" t="n"/>
      <c r="Q227" s="83" t="n">
        <v>225</v>
      </c>
      <c r="R227" s="38" t="n"/>
      <c r="S227" s="61" t="n">
        <v>0</v>
      </c>
      <c r="T227" s="68" t="n">
        <v>0</v>
      </c>
      <c r="U227" s="68" t="n">
        <v>0</v>
      </c>
      <c r="V227" s="68" t="n">
        <v>0</v>
      </c>
      <c r="W227" s="68" t="n">
        <v>0</v>
      </c>
      <c r="X227" s="68" t="n">
        <v>0</v>
      </c>
      <c r="Y227" s="68" t="n">
        <v>0</v>
      </c>
      <c r="Z227" s="68" t="n">
        <v>0</v>
      </c>
      <c r="AA227" s="68" t="n">
        <v>0</v>
      </c>
      <c r="AB227" s="68" t="n">
        <v>0</v>
      </c>
      <c r="AC227" s="68" t="n">
        <v>0</v>
      </c>
      <c r="AD227" s="68" t="n">
        <v>0</v>
      </c>
      <c r="AE227" s="68" t="n">
        <v>0</v>
      </c>
      <c r="AF227" s="79" t="n">
        <v>0</v>
      </c>
      <c r="AG227" s="74" t="n">
        <v>0</v>
      </c>
      <c r="AH227" s="83" t="n">
        <v>225</v>
      </c>
    </row>
    <row r="228" ht="18" customHeight="1">
      <c r="C228" s="68">
        <f>_xlfn.XLOOKUP($A228,'01'!$G$3:$G$100,'01'!$R$3:$R$100,"-")</f>
        <v/>
      </c>
      <c r="D228" s="68">
        <f>_xlfn.XLOOKUP($A228,'02'!$G$3:$G$100,'02'!$R$3:$R$100,"-")</f>
        <v/>
      </c>
      <c r="E228" s="68">
        <f>_xlfn.XLOOKUP($A228,'03'!$G$3:$G$100,'03'!$R$3:$R$100,"-")</f>
        <v/>
      </c>
      <c r="F228" s="68">
        <f>_xlfn.XLOOKUP($A228,'04'!$G$3:$G$100,'04'!$R$3:$R$100,"-")</f>
        <v/>
      </c>
      <c r="G228" s="68">
        <f>_xlfn.XLOOKUP($A228,'05'!$G$3:$G$100,'05'!$R$3:$R$100,"-")</f>
        <v/>
      </c>
      <c r="H228" s="68">
        <f>_xlfn.XLOOKUP($A228,'06'!$G$3:$G$100,'06'!$R$3:$R$100,"-")</f>
        <v/>
      </c>
      <c r="I228" s="68">
        <f>_xlfn.XLOOKUP($A228,'07'!$G$3:$G$100,'07'!$R$3:$R$100,"-")</f>
        <v/>
      </c>
      <c r="J228" s="68">
        <f>_xlfn.XLOOKUP($A228,'08'!$G$3:$G$100,'08'!$R$3:$R$100,"-")</f>
        <v/>
      </c>
      <c r="K228" s="68">
        <f>_xlfn.XLOOKUP($A228,'09'!$G$3:$G$100,'09'!$R$3:$R$100,"-")</f>
        <v/>
      </c>
      <c r="L228" s="68">
        <f>_xlfn.XLOOKUP($A228,'10'!$G$3:$G$100,'10'!$R$3:$R$100,"-")</f>
        <v/>
      </c>
      <c r="M228" s="68">
        <f>_xlfn.XLOOKUP($A228,'11'!$G$3:$G$100,'11'!$R$3:$R$100,"-")</f>
        <v/>
      </c>
      <c r="N228" s="68">
        <f>_xlfn.XLOOKUP($A228,'12'!$G$3:$G$100,'12'!$R$3:$R$100,"-")</f>
        <v/>
      </c>
      <c r="O228" s="79">
        <f>SUM(C228:N228)</f>
        <v/>
      </c>
      <c r="P228" s="74" t="n"/>
      <c r="Q228" s="82" t="n">
        <v>226</v>
      </c>
      <c r="R228" s="38" t="n"/>
      <c r="S228" s="61" t="n">
        <v>0</v>
      </c>
      <c r="T228" s="68" t="n">
        <v>0</v>
      </c>
      <c r="U228" s="68" t="n">
        <v>0</v>
      </c>
      <c r="V228" s="68" t="n">
        <v>0</v>
      </c>
      <c r="W228" s="68" t="n">
        <v>0</v>
      </c>
      <c r="X228" s="68" t="n">
        <v>0</v>
      </c>
      <c r="Y228" s="68" t="n">
        <v>0</v>
      </c>
      <c r="Z228" s="68" t="n">
        <v>0</v>
      </c>
      <c r="AA228" s="68" t="n">
        <v>0</v>
      </c>
      <c r="AB228" s="68" t="n">
        <v>0</v>
      </c>
      <c r="AC228" s="68" t="n">
        <v>0</v>
      </c>
      <c r="AD228" s="68" t="n">
        <v>0</v>
      </c>
      <c r="AE228" s="68" t="n">
        <v>0</v>
      </c>
      <c r="AF228" s="79" t="n">
        <v>0</v>
      </c>
      <c r="AG228" s="74" t="n">
        <v>0</v>
      </c>
      <c r="AH228" s="82" t="n">
        <v>226</v>
      </c>
    </row>
    <row r="229" ht="18" customHeight="1">
      <c r="C229" s="68">
        <f>_xlfn.XLOOKUP($A229,'01'!$G$3:$G$100,'01'!$R$3:$R$100,"-")</f>
        <v/>
      </c>
      <c r="D229" s="68">
        <f>_xlfn.XLOOKUP($A229,'02'!$G$3:$G$100,'02'!$R$3:$R$100,"-")</f>
        <v/>
      </c>
      <c r="E229" s="68">
        <f>_xlfn.XLOOKUP($A229,'03'!$G$3:$G$100,'03'!$R$3:$R$100,"-")</f>
        <v/>
      </c>
      <c r="F229" s="68">
        <f>_xlfn.XLOOKUP($A229,'04'!$G$3:$G$100,'04'!$R$3:$R$100,"-")</f>
        <v/>
      </c>
      <c r="G229" s="68">
        <f>_xlfn.XLOOKUP($A229,'05'!$G$3:$G$100,'05'!$R$3:$R$100,"-")</f>
        <v/>
      </c>
      <c r="H229" s="68">
        <f>_xlfn.XLOOKUP($A229,'06'!$G$3:$G$100,'06'!$R$3:$R$100,"-")</f>
        <v/>
      </c>
      <c r="I229" s="68">
        <f>_xlfn.XLOOKUP($A229,'07'!$G$3:$G$100,'07'!$R$3:$R$100,"-")</f>
        <v/>
      </c>
      <c r="J229" s="68">
        <f>_xlfn.XLOOKUP($A229,'08'!$G$3:$G$100,'08'!$R$3:$R$100,"-")</f>
        <v/>
      </c>
      <c r="K229" s="68">
        <f>_xlfn.XLOOKUP($A229,'09'!$G$3:$G$100,'09'!$R$3:$R$100,"-")</f>
        <v/>
      </c>
      <c r="L229" s="68">
        <f>_xlfn.XLOOKUP($A229,'10'!$G$3:$G$100,'10'!$R$3:$R$100,"-")</f>
        <v/>
      </c>
      <c r="M229" s="68">
        <f>_xlfn.XLOOKUP($A229,'11'!$G$3:$G$100,'11'!$R$3:$R$100,"-")</f>
        <v/>
      </c>
      <c r="N229" s="68">
        <f>_xlfn.XLOOKUP($A229,'12'!$G$3:$G$100,'12'!$R$3:$R$100,"-")</f>
        <v/>
      </c>
      <c r="O229" s="79">
        <f>SUM(C229:N229)</f>
        <v/>
      </c>
      <c r="P229" s="74" t="n"/>
      <c r="Q229" s="82" t="n">
        <v>227</v>
      </c>
      <c r="R229" s="38" t="n"/>
      <c r="S229" s="61" t="n">
        <v>0</v>
      </c>
      <c r="T229" s="68" t="n">
        <v>0</v>
      </c>
      <c r="U229" s="68" t="n">
        <v>0</v>
      </c>
      <c r="V229" s="68" t="n">
        <v>0</v>
      </c>
      <c r="W229" s="68" t="n">
        <v>0</v>
      </c>
      <c r="X229" s="68" t="n">
        <v>0</v>
      </c>
      <c r="Y229" s="68" t="n">
        <v>0</v>
      </c>
      <c r="Z229" s="68" t="n">
        <v>0</v>
      </c>
      <c r="AA229" s="68" t="n">
        <v>0</v>
      </c>
      <c r="AB229" s="68" t="n">
        <v>0</v>
      </c>
      <c r="AC229" s="68" t="n">
        <v>0</v>
      </c>
      <c r="AD229" s="68" t="n">
        <v>0</v>
      </c>
      <c r="AE229" s="68" t="n">
        <v>0</v>
      </c>
      <c r="AF229" s="79" t="n">
        <v>0</v>
      </c>
      <c r="AG229" s="74" t="n">
        <v>0</v>
      </c>
      <c r="AH229" s="82" t="n">
        <v>227</v>
      </c>
    </row>
    <row r="230" ht="18" customHeight="1">
      <c r="C230" s="68">
        <f>_xlfn.XLOOKUP($A230,'01'!$G$3:$G$100,'01'!$R$3:$R$100,"-")</f>
        <v/>
      </c>
      <c r="D230" s="68">
        <f>_xlfn.XLOOKUP($A230,'02'!$G$3:$G$100,'02'!$R$3:$R$100,"-")</f>
        <v/>
      </c>
      <c r="E230" s="68">
        <f>_xlfn.XLOOKUP($A230,'03'!$G$3:$G$100,'03'!$R$3:$R$100,"-")</f>
        <v/>
      </c>
      <c r="F230" s="68">
        <f>_xlfn.XLOOKUP($A230,'04'!$G$3:$G$100,'04'!$R$3:$R$100,"-")</f>
        <v/>
      </c>
      <c r="G230" s="68">
        <f>_xlfn.XLOOKUP($A230,'05'!$G$3:$G$100,'05'!$R$3:$R$100,"-")</f>
        <v/>
      </c>
      <c r="H230" s="68">
        <f>_xlfn.XLOOKUP($A230,'06'!$G$3:$G$100,'06'!$R$3:$R$100,"-")</f>
        <v/>
      </c>
      <c r="I230" s="68">
        <f>_xlfn.XLOOKUP($A230,'07'!$G$3:$G$100,'07'!$R$3:$R$100,"-")</f>
        <v/>
      </c>
      <c r="J230" s="68">
        <f>_xlfn.XLOOKUP($A230,'08'!$G$3:$G$100,'08'!$R$3:$R$100,"-")</f>
        <v/>
      </c>
      <c r="K230" s="68">
        <f>_xlfn.XLOOKUP($A230,'09'!$G$3:$G$100,'09'!$R$3:$R$100,"-")</f>
        <v/>
      </c>
      <c r="L230" s="68">
        <f>_xlfn.XLOOKUP($A230,'10'!$G$3:$G$100,'10'!$R$3:$R$100,"-")</f>
        <v/>
      </c>
      <c r="M230" s="68">
        <f>_xlfn.XLOOKUP($A230,'11'!$G$3:$G$100,'11'!$R$3:$R$100,"-")</f>
        <v/>
      </c>
      <c r="N230" s="68">
        <f>_xlfn.XLOOKUP($A230,'12'!$G$3:$G$100,'12'!$R$3:$R$100,"-")</f>
        <v/>
      </c>
      <c r="O230" s="79">
        <f>SUM(C230:N230)</f>
        <v/>
      </c>
      <c r="P230" s="74" t="n"/>
      <c r="Q230" s="82" t="n">
        <v>228</v>
      </c>
      <c r="R230" s="38" t="n"/>
      <c r="S230" s="61" t="n">
        <v>0</v>
      </c>
      <c r="T230" s="68" t="n">
        <v>0</v>
      </c>
      <c r="U230" s="68" t="n">
        <v>0</v>
      </c>
      <c r="V230" s="68" t="n">
        <v>0</v>
      </c>
      <c r="W230" s="68" t="n">
        <v>0</v>
      </c>
      <c r="X230" s="68" t="n">
        <v>0</v>
      </c>
      <c r="Y230" s="68" t="n">
        <v>0</v>
      </c>
      <c r="Z230" s="68" t="n">
        <v>0</v>
      </c>
      <c r="AA230" s="68" t="n">
        <v>0</v>
      </c>
      <c r="AB230" s="68" t="n">
        <v>0</v>
      </c>
      <c r="AC230" s="68" t="n">
        <v>0</v>
      </c>
      <c r="AD230" s="68" t="n">
        <v>0</v>
      </c>
      <c r="AE230" s="68" t="n">
        <v>0</v>
      </c>
      <c r="AF230" s="79" t="n">
        <v>0</v>
      </c>
      <c r="AG230" s="74" t="n">
        <v>0</v>
      </c>
      <c r="AH230" s="82" t="n">
        <v>228</v>
      </c>
    </row>
    <row r="231" ht="18" customHeight="1">
      <c r="C231" s="68">
        <f>_xlfn.XLOOKUP($A231,'01'!$G$3:$G$100,'01'!$R$3:$R$100,"-")</f>
        <v/>
      </c>
      <c r="D231" s="68">
        <f>_xlfn.XLOOKUP($A231,'02'!$G$3:$G$100,'02'!$R$3:$R$100,"-")</f>
        <v/>
      </c>
      <c r="E231" s="68">
        <f>_xlfn.XLOOKUP($A231,'03'!$G$3:$G$100,'03'!$R$3:$R$100,"-")</f>
        <v/>
      </c>
      <c r="F231" s="68">
        <f>_xlfn.XLOOKUP($A231,'04'!$G$3:$G$100,'04'!$R$3:$R$100,"-")</f>
        <v/>
      </c>
      <c r="G231" s="68">
        <f>_xlfn.XLOOKUP($A231,'05'!$G$3:$G$100,'05'!$R$3:$R$100,"-")</f>
        <v/>
      </c>
      <c r="H231" s="68">
        <f>_xlfn.XLOOKUP($A231,'06'!$G$3:$G$100,'06'!$R$3:$R$100,"-")</f>
        <v/>
      </c>
      <c r="I231" s="68">
        <f>_xlfn.XLOOKUP($A231,'07'!$G$3:$G$100,'07'!$R$3:$R$100,"-")</f>
        <v/>
      </c>
      <c r="J231" s="68">
        <f>_xlfn.XLOOKUP($A231,'08'!$G$3:$G$100,'08'!$R$3:$R$100,"-")</f>
        <v/>
      </c>
      <c r="K231" s="68">
        <f>_xlfn.XLOOKUP($A231,'09'!$G$3:$G$100,'09'!$R$3:$R$100,"-")</f>
        <v/>
      </c>
      <c r="L231" s="68">
        <f>_xlfn.XLOOKUP($A231,'10'!$G$3:$G$100,'10'!$R$3:$R$100,"-")</f>
        <v/>
      </c>
      <c r="M231" s="68">
        <f>_xlfn.XLOOKUP($A231,'11'!$G$3:$G$100,'11'!$R$3:$R$100,"-")</f>
        <v/>
      </c>
      <c r="N231" s="68">
        <f>_xlfn.XLOOKUP($A231,'12'!$G$3:$G$100,'12'!$R$3:$R$100,"-")</f>
        <v/>
      </c>
      <c r="O231" s="79">
        <f>SUM(C231:N231)</f>
        <v/>
      </c>
      <c r="P231" s="74" t="n"/>
      <c r="Q231" s="82" t="n">
        <v>229</v>
      </c>
      <c r="R231" s="38" t="n"/>
      <c r="S231" s="61" t="n">
        <v>0</v>
      </c>
      <c r="T231" s="68" t="n">
        <v>0</v>
      </c>
      <c r="U231" s="68" t="n">
        <v>0</v>
      </c>
      <c r="V231" s="68" t="n">
        <v>0</v>
      </c>
      <c r="W231" s="68" t="n">
        <v>0</v>
      </c>
      <c r="X231" s="68" t="n">
        <v>0</v>
      </c>
      <c r="Y231" s="68" t="n">
        <v>0</v>
      </c>
      <c r="Z231" s="68" t="n">
        <v>0</v>
      </c>
      <c r="AA231" s="68" t="n">
        <v>0</v>
      </c>
      <c r="AB231" s="68" t="n">
        <v>0</v>
      </c>
      <c r="AC231" s="68" t="n">
        <v>0</v>
      </c>
      <c r="AD231" s="68" t="n">
        <v>0</v>
      </c>
      <c r="AE231" s="68" t="n">
        <v>0</v>
      </c>
      <c r="AF231" s="79" t="n">
        <v>0</v>
      </c>
      <c r="AG231" s="74" t="n">
        <v>0</v>
      </c>
      <c r="AH231" s="82" t="n">
        <v>229</v>
      </c>
    </row>
    <row r="232" ht="18" customHeight="1">
      <c r="C232" s="68">
        <f>_xlfn.XLOOKUP($A232,'01'!$G$3:$G$100,'01'!$R$3:$R$100,"-")</f>
        <v/>
      </c>
      <c r="D232" s="68">
        <f>_xlfn.XLOOKUP($A232,'02'!$G$3:$G$100,'02'!$R$3:$R$100,"-")</f>
        <v/>
      </c>
      <c r="E232" s="68">
        <f>_xlfn.XLOOKUP($A232,'03'!$G$3:$G$100,'03'!$R$3:$R$100,"-")</f>
        <v/>
      </c>
      <c r="F232" s="68">
        <f>_xlfn.XLOOKUP($A232,'04'!$G$3:$G$100,'04'!$R$3:$R$100,"-")</f>
        <v/>
      </c>
      <c r="G232" s="68">
        <f>_xlfn.XLOOKUP($A232,'05'!$G$3:$G$100,'05'!$R$3:$R$100,"-")</f>
        <v/>
      </c>
      <c r="H232" s="68">
        <f>_xlfn.XLOOKUP($A232,'06'!$G$3:$G$100,'06'!$R$3:$R$100,"-")</f>
        <v/>
      </c>
      <c r="I232" s="68">
        <f>_xlfn.XLOOKUP($A232,'07'!$G$3:$G$100,'07'!$R$3:$R$100,"-")</f>
        <v/>
      </c>
      <c r="J232" s="68">
        <f>_xlfn.XLOOKUP($A232,'08'!$G$3:$G$100,'08'!$R$3:$R$100,"-")</f>
        <v/>
      </c>
      <c r="K232" s="68">
        <f>_xlfn.XLOOKUP($A232,'09'!$G$3:$G$100,'09'!$R$3:$R$100,"-")</f>
        <v/>
      </c>
      <c r="L232" s="68">
        <f>_xlfn.XLOOKUP($A232,'10'!$G$3:$G$100,'10'!$R$3:$R$100,"-")</f>
        <v/>
      </c>
      <c r="M232" s="68">
        <f>_xlfn.XLOOKUP($A232,'11'!$G$3:$G$100,'11'!$R$3:$R$100,"-")</f>
        <v/>
      </c>
      <c r="N232" s="68">
        <f>_xlfn.XLOOKUP($A232,'12'!$G$3:$G$100,'12'!$R$3:$R$100,"-")</f>
        <v/>
      </c>
      <c r="O232" s="79">
        <f>SUM(C232:N232)</f>
        <v/>
      </c>
      <c r="P232" s="74" t="n"/>
      <c r="Q232" s="82" t="n">
        <v>230</v>
      </c>
      <c r="R232" s="38" t="n"/>
      <c r="S232" s="61" t="n">
        <v>0</v>
      </c>
      <c r="T232" s="68" t="n">
        <v>0</v>
      </c>
      <c r="U232" s="68" t="n">
        <v>0</v>
      </c>
      <c r="V232" s="68" t="n">
        <v>0</v>
      </c>
      <c r="W232" s="68" t="n">
        <v>0</v>
      </c>
      <c r="X232" s="68" t="n">
        <v>0</v>
      </c>
      <c r="Y232" s="68" t="n">
        <v>0</v>
      </c>
      <c r="Z232" s="68" t="n">
        <v>0</v>
      </c>
      <c r="AA232" s="68" t="n">
        <v>0</v>
      </c>
      <c r="AB232" s="68" t="n">
        <v>0</v>
      </c>
      <c r="AC232" s="68" t="n">
        <v>0</v>
      </c>
      <c r="AD232" s="68" t="n">
        <v>0</v>
      </c>
      <c r="AE232" s="68" t="n">
        <v>0</v>
      </c>
      <c r="AF232" s="79" t="n">
        <v>0</v>
      </c>
      <c r="AG232" s="74" t="n">
        <v>0</v>
      </c>
      <c r="AH232" s="82" t="n">
        <v>230</v>
      </c>
    </row>
    <row r="233" ht="18" customHeight="1">
      <c r="C233" s="68">
        <f>_xlfn.XLOOKUP($A233,'01'!$G$3:$G$100,'01'!$R$3:$R$100,"-")</f>
        <v/>
      </c>
      <c r="D233" s="68">
        <f>_xlfn.XLOOKUP($A233,'02'!$G$3:$G$100,'02'!$R$3:$R$100,"-")</f>
        <v/>
      </c>
      <c r="E233" s="68">
        <f>_xlfn.XLOOKUP($A233,'03'!$G$3:$G$100,'03'!$R$3:$R$100,"-")</f>
        <v/>
      </c>
      <c r="F233" s="68">
        <f>_xlfn.XLOOKUP($A233,'04'!$G$3:$G$100,'04'!$R$3:$R$100,"-")</f>
        <v/>
      </c>
      <c r="G233" s="68">
        <f>_xlfn.XLOOKUP($A233,'05'!$G$3:$G$100,'05'!$R$3:$R$100,"-")</f>
        <v/>
      </c>
      <c r="H233" s="68">
        <f>_xlfn.XLOOKUP($A233,'06'!$G$3:$G$100,'06'!$R$3:$R$100,"-")</f>
        <v/>
      </c>
      <c r="I233" s="68">
        <f>_xlfn.XLOOKUP($A233,'07'!$G$3:$G$100,'07'!$R$3:$R$100,"-")</f>
        <v/>
      </c>
      <c r="J233" s="68">
        <f>_xlfn.XLOOKUP($A233,'08'!$G$3:$G$100,'08'!$R$3:$R$100,"-")</f>
        <v/>
      </c>
      <c r="K233" s="68">
        <f>_xlfn.XLOOKUP($A233,'09'!$G$3:$G$100,'09'!$R$3:$R$100,"-")</f>
        <v/>
      </c>
      <c r="L233" s="68">
        <f>_xlfn.XLOOKUP($A233,'10'!$G$3:$G$100,'10'!$R$3:$R$100,"-")</f>
        <v/>
      </c>
      <c r="M233" s="68">
        <f>_xlfn.XLOOKUP($A233,'11'!$G$3:$G$100,'11'!$R$3:$R$100,"-")</f>
        <v/>
      </c>
      <c r="N233" s="68">
        <f>_xlfn.XLOOKUP($A233,'12'!$G$3:$G$100,'12'!$R$3:$R$100,"-")</f>
        <v/>
      </c>
      <c r="O233" s="79">
        <f>SUM(C233:N233)</f>
        <v/>
      </c>
      <c r="P233" s="74" t="n"/>
      <c r="Q233" s="82" t="n">
        <v>231</v>
      </c>
      <c r="R233" s="38" t="n"/>
      <c r="S233" s="61" t="n">
        <v>0</v>
      </c>
      <c r="T233" s="68" t="n">
        <v>0</v>
      </c>
      <c r="U233" s="68" t="n">
        <v>0</v>
      </c>
      <c r="V233" s="68" t="n">
        <v>0</v>
      </c>
      <c r="W233" s="68" t="n">
        <v>0</v>
      </c>
      <c r="X233" s="68" t="n">
        <v>0</v>
      </c>
      <c r="Y233" s="68" t="n">
        <v>0</v>
      </c>
      <c r="Z233" s="68" t="n">
        <v>0</v>
      </c>
      <c r="AA233" s="68" t="n">
        <v>0</v>
      </c>
      <c r="AB233" s="68" t="n">
        <v>0</v>
      </c>
      <c r="AC233" s="68" t="n">
        <v>0</v>
      </c>
      <c r="AD233" s="68" t="n">
        <v>0</v>
      </c>
      <c r="AE233" s="68" t="n">
        <v>0</v>
      </c>
      <c r="AF233" s="79" t="n">
        <v>0</v>
      </c>
      <c r="AG233" s="74" t="n">
        <v>0</v>
      </c>
      <c r="AH233" s="82" t="n">
        <v>231</v>
      </c>
    </row>
    <row r="234" ht="18" customHeight="1">
      <c r="C234" s="68">
        <f>_xlfn.XLOOKUP($A234,'01'!$G$3:$G$100,'01'!$R$3:$R$100,"-")</f>
        <v/>
      </c>
      <c r="D234" s="68">
        <f>_xlfn.XLOOKUP($A234,'02'!$G$3:$G$100,'02'!$R$3:$R$100,"-")</f>
        <v/>
      </c>
      <c r="E234" s="68">
        <f>_xlfn.XLOOKUP($A234,'03'!$G$3:$G$100,'03'!$R$3:$R$100,"-")</f>
        <v/>
      </c>
      <c r="F234" s="68">
        <f>_xlfn.XLOOKUP($A234,'04'!$G$3:$G$100,'04'!$R$3:$R$100,"-")</f>
        <v/>
      </c>
      <c r="G234" s="68">
        <f>_xlfn.XLOOKUP($A234,'05'!$G$3:$G$100,'05'!$R$3:$R$100,"-")</f>
        <v/>
      </c>
      <c r="H234" s="68">
        <f>_xlfn.XLOOKUP($A234,'06'!$G$3:$G$100,'06'!$R$3:$R$100,"-")</f>
        <v/>
      </c>
      <c r="I234" s="68">
        <f>_xlfn.XLOOKUP($A234,'07'!$G$3:$G$100,'07'!$R$3:$R$100,"-")</f>
        <v/>
      </c>
      <c r="J234" s="68">
        <f>_xlfn.XLOOKUP($A234,'08'!$G$3:$G$100,'08'!$R$3:$R$100,"-")</f>
        <v/>
      </c>
      <c r="K234" s="68">
        <f>_xlfn.XLOOKUP($A234,'09'!$G$3:$G$100,'09'!$R$3:$R$100,"-")</f>
        <v/>
      </c>
      <c r="L234" s="68">
        <f>_xlfn.XLOOKUP($A234,'10'!$G$3:$G$100,'10'!$R$3:$R$100,"-")</f>
        <v/>
      </c>
      <c r="M234" s="68">
        <f>_xlfn.XLOOKUP($A234,'11'!$G$3:$G$100,'11'!$R$3:$R$100,"-")</f>
        <v/>
      </c>
      <c r="N234" s="68">
        <f>_xlfn.XLOOKUP($A234,'12'!$G$3:$G$100,'12'!$R$3:$R$100,"-")</f>
        <v/>
      </c>
      <c r="O234" s="79">
        <f>SUM(C234:N234)</f>
        <v/>
      </c>
      <c r="P234" s="74" t="n"/>
      <c r="Q234" s="82" t="n">
        <v>232</v>
      </c>
      <c r="R234" s="38" t="n"/>
      <c r="S234" s="61" t="n">
        <v>0</v>
      </c>
      <c r="T234" s="68" t="n">
        <v>0</v>
      </c>
      <c r="U234" s="68" t="n">
        <v>0</v>
      </c>
      <c r="V234" s="68" t="n">
        <v>0</v>
      </c>
      <c r="W234" s="68" t="n">
        <v>0</v>
      </c>
      <c r="X234" s="68" t="n">
        <v>0</v>
      </c>
      <c r="Y234" s="68" t="n">
        <v>0</v>
      </c>
      <c r="Z234" s="68" t="n">
        <v>0</v>
      </c>
      <c r="AA234" s="68" t="n">
        <v>0</v>
      </c>
      <c r="AB234" s="68" t="n">
        <v>0</v>
      </c>
      <c r="AC234" s="68" t="n">
        <v>0</v>
      </c>
      <c r="AD234" s="68" t="n">
        <v>0</v>
      </c>
      <c r="AE234" s="68" t="n">
        <v>0</v>
      </c>
      <c r="AF234" s="79" t="n">
        <v>0</v>
      </c>
      <c r="AG234" s="74" t="n">
        <v>0</v>
      </c>
      <c r="AH234" s="82" t="n">
        <v>232</v>
      </c>
    </row>
    <row r="235" ht="18" customHeight="1">
      <c r="C235" s="68">
        <f>_xlfn.XLOOKUP($A235,'01'!$G$3:$G$100,'01'!$R$3:$R$100,"-")</f>
        <v/>
      </c>
      <c r="D235" s="68">
        <f>_xlfn.XLOOKUP($A235,'02'!$G$3:$G$100,'02'!$R$3:$R$100,"-")</f>
        <v/>
      </c>
      <c r="E235" s="68">
        <f>_xlfn.XLOOKUP($A235,'03'!$G$3:$G$100,'03'!$R$3:$R$100,"-")</f>
        <v/>
      </c>
      <c r="F235" s="68">
        <f>_xlfn.XLOOKUP($A235,'04'!$G$3:$G$100,'04'!$R$3:$R$100,"-")</f>
        <v/>
      </c>
      <c r="G235" s="68">
        <f>_xlfn.XLOOKUP($A235,'05'!$G$3:$G$100,'05'!$R$3:$R$100,"-")</f>
        <v/>
      </c>
      <c r="H235" s="68">
        <f>_xlfn.XLOOKUP($A235,'06'!$G$3:$G$100,'06'!$R$3:$R$100,"-")</f>
        <v/>
      </c>
      <c r="I235" s="68">
        <f>_xlfn.XLOOKUP($A235,'07'!$G$3:$G$100,'07'!$R$3:$R$100,"-")</f>
        <v/>
      </c>
      <c r="J235" s="68">
        <f>_xlfn.XLOOKUP($A235,'08'!$G$3:$G$100,'08'!$R$3:$R$100,"-")</f>
        <v/>
      </c>
      <c r="K235" s="68">
        <f>_xlfn.XLOOKUP($A235,'09'!$G$3:$G$100,'09'!$R$3:$R$100,"-")</f>
        <v/>
      </c>
      <c r="L235" s="68">
        <f>_xlfn.XLOOKUP($A235,'10'!$G$3:$G$100,'10'!$R$3:$R$100,"-")</f>
        <v/>
      </c>
      <c r="M235" s="68">
        <f>_xlfn.XLOOKUP($A235,'11'!$G$3:$G$100,'11'!$R$3:$R$100,"-")</f>
        <v/>
      </c>
      <c r="N235" s="68">
        <f>_xlfn.XLOOKUP($A235,'12'!$G$3:$G$100,'12'!$R$3:$R$100,"-")</f>
        <v/>
      </c>
      <c r="O235" s="79">
        <f>SUM(C235:N235)</f>
        <v/>
      </c>
      <c r="P235" s="74" t="n"/>
      <c r="Q235" s="82" t="n">
        <v>233</v>
      </c>
      <c r="R235" s="38" t="n"/>
      <c r="S235" s="61" t="n">
        <v>0</v>
      </c>
      <c r="T235" s="68" t="n">
        <v>0</v>
      </c>
      <c r="U235" s="68" t="n">
        <v>0</v>
      </c>
      <c r="V235" s="68" t="n">
        <v>0</v>
      </c>
      <c r="W235" s="68" t="n">
        <v>0</v>
      </c>
      <c r="X235" s="68" t="n">
        <v>0</v>
      </c>
      <c r="Y235" s="68" t="n">
        <v>0</v>
      </c>
      <c r="Z235" s="68" t="n">
        <v>0</v>
      </c>
      <c r="AA235" s="68" t="n">
        <v>0</v>
      </c>
      <c r="AB235" s="68" t="n">
        <v>0</v>
      </c>
      <c r="AC235" s="68" t="n">
        <v>0</v>
      </c>
      <c r="AD235" s="68" t="n">
        <v>0</v>
      </c>
      <c r="AE235" s="68" t="n">
        <v>0</v>
      </c>
      <c r="AF235" s="79" t="n">
        <v>0</v>
      </c>
      <c r="AG235" s="74" t="n">
        <v>0</v>
      </c>
      <c r="AH235" s="82" t="n">
        <v>233</v>
      </c>
    </row>
    <row r="236" ht="18" customHeight="1">
      <c r="C236" s="68">
        <f>_xlfn.XLOOKUP($A236,'01'!$G$3:$G$100,'01'!$R$3:$R$100,"-")</f>
        <v/>
      </c>
      <c r="D236" s="68">
        <f>_xlfn.XLOOKUP($A236,'02'!$G$3:$G$100,'02'!$R$3:$R$100,"-")</f>
        <v/>
      </c>
      <c r="E236" s="68">
        <f>_xlfn.XLOOKUP($A236,'03'!$G$3:$G$100,'03'!$R$3:$R$100,"-")</f>
        <v/>
      </c>
      <c r="F236" s="68">
        <f>_xlfn.XLOOKUP($A236,'04'!$G$3:$G$100,'04'!$R$3:$R$100,"-")</f>
        <v/>
      </c>
      <c r="G236" s="68">
        <f>_xlfn.XLOOKUP($A236,'05'!$G$3:$G$100,'05'!$R$3:$R$100,"-")</f>
        <v/>
      </c>
      <c r="H236" s="68">
        <f>_xlfn.XLOOKUP($A236,'06'!$G$3:$G$100,'06'!$R$3:$R$100,"-")</f>
        <v/>
      </c>
      <c r="I236" s="68">
        <f>_xlfn.XLOOKUP($A236,'07'!$G$3:$G$100,'07'!$R$3:$R$100,"-")</f>
        <v/>
      </c>
      <c r="J236" s="68">
        <f>_xlfn.XLOOKUP($A236,'08'!$G$3:$G$100,'08'!$R$3:$R$100,"-")</f>
        <v/>
      </c>
      <c r="K236" s="68">
        <f>_xlfn.XLOOKUP($A236,'09'!$G$3:$G$100,'09'!$R$3:$R$100,"-")</f>
        <v/>
      </c>
      <c r="L236" s="68">
        <f>_xlfn.XLOOKUP($A236,'10'!$G$3:$G$100,'10'!$R$3:$R$100,"-")</f>
        <v/>
      </c>
      <c r="M236" s="68">
        <f>_xlfn.XLOOKUP($A236,'11'!$G$3:$G$100,'11'!$R$3:$R$100,"-")</f>
        <v/>
      </c>
      <c r="N236" s="68">
        <f>_xlfn.XLOOKUP($A236,'12'!$G$3:$G$100,'12'!$R$3:$R$100,"-")</f>
        <v/>
      </c>
      <c r="O236" s="79">
        <f>SUM(C236:N236)</f>
        <v/>
      </c>
      <c r="P236" s="74" t="n"/>
      <c r="Q236" s="82" t="n">
        <v>234</v>
      </c>
      <c r="R236" s="38" t="n"/>
      <c r="S236" s="61" t="n">
        <v>0</v>
      </c>
      <c r="T236" s="68" t="n">
        <v>0</v>
      </c>
      <c r="U236" s="68" t="n">
        <v>0</v>
      </c>
      <c r="V236" s="68" t="n">
        <v>0</v>
      </c>
      <c r="W236" s="68" t="n">
        <v>0</v>
      </c>
      <c r="X236" s="68" t="n">
        <v>0</v>
      </c>
      <c r="Y236" s="68" t="n">
        <v>0</v>
      </c>
      <c r="Z236" s="68" t="n">
        <v>0</v>
      </c>
      <c r="AA236" s="68" t="n">
        <v>0</v>
      </c>
      <c r="AB236" s="68" t="n">
        <v>0</v>
      </c>
      <c r="AC236" s="68" t="n">
        <v>0</v>
      </c>
      <c r="AD236" s="68" t="n">
        <v>0</v>
      </c>
      <c r="AE236" s="68" t="n">
        <v>0</v>
      </c>
      <c r="AF236" s="79" t="n">
        <v>0</v>
      </c>
      <c r="AG236" s="74" t="n">
        <v>0</v>
      </c>
      <c r="AH236" s="82" t="n">
        <v>234</v>
      </c>
    </row>
    <row r="237" ht="18" customHeight="1">
      <c r="C237" s="68">
        <f>_xlfn.XLOOKUP($A237,'01'!$G$3:$G$100,'01'!$R$3:$R$100,"-")</f>
        <v/>
      </c>
      <c r="D237" s="68">
        <f>_xlfn.XLOOKUP($A237,'02'!$G$3:$G$100,'02'!$R$3:$R$100,"-")</f>
        <v/>
      </c>
      <c r="E237" s="68">
        <f>_xlfn.XLOOKUP($A237,'03'!$G$3:$G$100,'03'!$R$3:$R$100,"-")</f>
        <v/>
      </c>
      <c r="F237" s="68">
        <f>_xlfn.XLOOKUP($A237,'04'!$G$3:$G$100,'04'!$R$3:$R$100,"-")</f>
        <v/>
      </c>
      <c r="G237" s="68">
        <f>_xlfn.XLOOKUP($A237,'05'!$G$3:$G$100,'05'!$R$3:$R$100,"-")</f>
        <v/>
      </c>
      <c r="H237" s="68">
        <f>_xlfn.XLOOKUP($A237,'06'!$G$3:$G$100,'06'!$R$3:$R$100,"-")</f>
        <v/>
      </c>
      <c r="I237" s="68">
        <f>_xlfn.XLOOKUP($A237,'07'!$G$3:$G$100,'07'!$R$3:$R$100,"-")</f>
        <v/>
      </c>
      <c r="J237" s="68">
        <f>_xlfn.XLOOKUP($A237,'08'!$G$3:$G$100,'08'!$R$3:$R$100,"-")</f>
        <v/>
      </c>
      <c r="K237" s="68">
        <f>_xlfn.XLOOKUP($A237,'09'!$G$3:$G$100,'09'!$R$3:$R$100,"-")</f>
        <v/>
      </c>
      <c r="L237" s="68">
        <f>_xlfn.XLOOKUP($A237,'10'!$G$3:$G$100,'10'!$R$3:$R$100,"-")</f>
        <v/>
      </c>
      <c r="M237" s="68">
        <f>_xlfn.XLOOKUP($A237,'11'!$G$3:$G$100,'11'!$R$3:$R$100,"-")</f>
        <v/>
      </c>
      <c r="N237" s="68">
        <f>_xlfn.XLOOKUP($A237,'12'!$G$3:$G$100,'12'!$R$3:$R$100,"-")</f>
        <v/>
      </c>
      <c r="O237" s="79">
        <f>SUM(C237:N237)</f>
        <v/>
      </c>
      <c r="P237" s="74" t="n"/>
      <c r="Q237" s="83" t="n">
        <v>235</v>
      </c>
      <c r="R237" s="38" t="n"/>
      <c r="S237" s="61" t="n">
        <v>0</v>
      </c>
      <c r="T237" s="68" t="n">
        <v>0</v>
      </c>
      <c r="U237" s="68" t="n">
        <v>0</v>
      </c>
      <c r="V237" s="68" t="n">
        <v>0</v>
      </c>
      <c r="W237" s="68" t="n">
        <v>0</v>
      </c>
      <c r="X237" s="68" t="n">
        <v>0</v>
      </c>
      <c r="Y237" s="68" t="n">
        <v>0</v>
      </c>
      <c r="Z237" s="68" t="n">
        <v>0</v>
      </c>
      <c r="AA237" s="68" t="n">
        <v>0</v>
      </c>
      <c r="AB237" s="68" t="n">
        <v>0</v>
      </c>
      <c r="AC237" s="68" t="n">
        <v>0</v>
      </c>
      <c r="AD237" s="68" t="n">
        <v>0</v>
      </c>
      <c r="AE237" s="68" t="n">
        <v>0</v>
      </c>
      <c r="AF237" s="79" t="n">
        <v>0</v>
      </c>
      <c r="AG237" s="74" t="n">
        <v>0</v>
      </c>
      <c r="AH237" s="83" t="n">
        <v>235</v>
      </c>
    </row>
    <row r="238" ht="18" customHeight="1">
      <c r="C238" s="68">
        <f>_xlfn.XLOOKUP($A238,'01'!$G$3:$G$100,'01'!$R$3:$R$100,"-")</f>
        <v/>
      </c>
      <c r="D238" s="68">
        <f>_xlfn.XLOOKUP($A238,'02'!$G$3:$G$100,'02'!$R$3:$R$100,"-")</f>
        <v/>
      </c>
      <c r="E238" s="68">
        <f>_xlfn.XLOOKUP($A238,'03'!$G$3:$G$100,'03'!$R$3:$R$100,"-")</f>
        <v/>
      </c>
      <c r="F238" s="68">
        <f>_xlfn.XLOOKUP($A238,'04'!$G$3:$G$100,'04'!$R$3:$R$100,"-")</f>
        <v/>
      </c>
      <c r="G238" s="68">
        <f>_xlfn.XLOOKUP($A238,'05'!$G$3:$G$100,'05'!$R$3:$R$100,"-")</f>
        <v/>
      </c>
      <c r="H238" s="68">
        <f>_xlfn.XLOOKUP($A238,'06'!$G$3:$G$100,'06'!$R$3:$R$100,"-")</f>
        <v/>
      </c>
      <c r="I238" s="68">
        <f>_xlfn.XLOOKUP($A238,'07'!$G$3:$G$100,'07'!$R$3:$R$100,"-")</f>
        <v/>
      </c>
      <c r="J238" s="68">
        <f>_xlfn.XLOOKUP($A238,'08'!$G$3:$G$100,'08'!$R$3:$R$100,"-")</f>
        <v/>
      </c>
      <c r="K238" s="68">
        <f>_xlfn.XLOOKUP($A238,'09'!$G$3:$G$100,'09'!$R$3:$R$100,"-")</f>
        <v/>
      </c>
      <c r="L238" s="68">
        <f>_xlfn.XLOOKUP($A238,'10'!$G$3:$G$100,'10'!$R$3:$R$100,"-")</f>
        <v/>
      </c>
      <c r="M238" s="68">
        <f>_xlfn.XLOOKUP($A238,'11'!$G$3:$G$100,'11'!$R$3:$R$100,"-")</f>
        <v/>
      </c>
      <c r="N238" s="68">
        <f>_xlfn.XLOOKUP($A238,'12'!$G$3:$G$100,'12'!$R$3:$R$100,"-")</f>
        <v/>
      </c>
      <c r="O238" s="79">
        <f>SUM(C238:N238)</f>
        <v/>
      </c>
      <c r="P238" s="74" t="n"/>
      <c r="Q238" s="82" t="n">
        <v>236</v>
      </c>
      <c r="R238" s="38" t="n"/>
      <c r="S238" s="61" t="n">
        <v>0</v>
      </c>
      <c r="T238" s="68" t="n">
        <v>0</v>
      </c>
      <c r="U238" s="68" t="n">
        <v>0</v>
      </c>
      <c r="V238" s="68" t="n">
        <v>0</v>
      </c>
      <c r="W238" s="68" t="n">
        <v>0</v>
      </c>
      <c r="X238" s="68" t="n">
        <v>0</v>
      </c>
      <c r="Y238" s="68" t="n">
        <v>0</v>
      </c>
      <c r="Z238" s="68" t="n">
        <v>0</v>
      </c>
      <c r="AA238" s="68" t="n">
        <v>0</v>
      </c>
      <c r="AB238" s="68" t="n">
        <v>0</v>
      </c>
      <c r="AC238" s="68" t="n">
        <v>0</v>
      </c>
      <c r="AD238" s="68" t="n">
        <v>0</v>
      </c>
      <c r="AE238" s="68" t="n">
        <v>0</v>
      </c>
      <c r="AF238" s="79" t="n">
        <v>0</v>
      </c>
      <c r="AG238" s="74" t="n">
        <v>0</v>
      </c>
      <c r="AH238" s="82" t="n">
        <v>236</v>
      </c>
    </row>
    <row r="239" ht="18" customHeight="1">
      <c r="C239" s="68">
        <f>_xlfn.XLOOKUP($A239,'01'!$G$3:$G$100,'01'!$R$3:$R$100,"-")</f>
        <v/>
      </c>
      <c r="D239" s="68">
        <f>_xlfn.XLOOKUP($A239,'02'!$G$3:$G$100,'02'!$R$3:$R$100,"-")</f>
        <v/>
      </c>
      <c r="E239" s="68">
        <f>_xlfn.XLOOKUP($A239,'03'!$G$3:$G$100,'03'!$R$3:$R$100,"-")</f>
        <v/>
      </c>
      <c r="F239" s="68">
        <f>_xlfn.XLOOKUP($A239,'04'!$G$3:$G$100,'04'!$R$3:$R$100,"-")</f>
        <v/>
      </c>
      <c r="G239" s="68">
        <f>_xlfn.XLOOKUP($A239,'05'!$G$3:$G$100,'05'!$R$3:$R$100,"-")</f>
        <v/>
      </c>
      <c r="H239" s="68">
        <f>_xlfn.XLOOKUP($A239,'06'!$G$3:$G$100,'06'!$R$3:$R$100,"-")</f>
        <v/>
      </c>
      <c r="I239" s="68">
        <f>_xlfn.XLOOKUP($A239,'07'!$G$3:$G$100,'07'!$R$3:$R$100,"-")</f>
        <v/>
      </c>
      <c r="J239" s="68">
        <f>_xlfn.XLOOKUP($A239,'08'!$G$3:$G$100,'08'!$R$3:$R$100,"-")</f>
        <v/>
      </c>
      <c r="K239" s="68">
        <f>_xlfn.XLOOKUP($A239,'09'!$G$3:$G$100,'09'!$R$3:$R$100,"-")</f>
        <v/>
      </c>
      <c r="L239" s="68">
        <f>_xlfn.XLOOKUP($A239,'10'!$G$3:$G$100,'10'!$R$3:$R$100,"-")</f>
        <v/>
      </c>
      <c r="M239" s="68">
        <f>_xlfn.XLOOKUP($A239,'11'!$G$3:$G$100,'11'!$R$3:$R$100,"-")</f>
        <v/>
      </c>
      <c r="N239" s="68">
        <f>_xlfn.XLOOKUP($A239,'12'!$G$3:$G$100,'12'!$R$3:$R$100,"-")</f>
        <v/>
      </c>
      <c r="O239" s="79">
        <f>SUM(C239:N239)</f>
        <v/>
      </c>
      <c r="P239" s="74" t="n"/>
      <c r="Q239" s="82" t="n">
        <v>237</v>
      </c>
      <c r="R239" s="38" t="n"/>
      <c r="S239" s="61" t="n">
        <v>0</v>
      </c>
      <c r="T239" s="68" t="n">
        <v>0</v>
      </c>
      <c r="U239" s="68" t="n">
        <v>0</v>
      </c>
      <c r="V239" s="68" t="n">
        <v>0</v>
      </c>
      <c r="W239" s="68" t="n">
        <v>0</v>
      </c>
      <c r="X239" s="68" t="n">
        <v>0</v>
      </c>
      <c r="Y239" s="68" t="n">
        <v>0</v>
      </c>
      <c r="Z239" s="68" t="n">
        <v>0</v>
      </c>
      <c r="AA239" s="68" t="n">
        <v>0</v>
      </c>
      <c r="AB239" s="68" t="n">
        <v>0</v>
      </c>
      <c r="AC239" s="68" t="n">
        <v>0</v>
      </c>
      <c r="AD239" s="68" t="n">
        <v>0</v>
      </c>
      <c r="AE239" s="68" t="n">
        <v>0</v>
      </c>
      <c r="AF239" s="79" t="n">
        <v>0</v>
      </c>
      <c r="AG239" s="74" t="n">
        <v>0</v>
      </c>
      <c r="AH239" s="82" t="n">
        <v>237</v>
      </c>
    </row>
    <row r="240" ht="18" customHeight="1">
      <c r="C240" s="68">
        <f>_xlfn.XLOOKUP($A240,'01'!$G$3:$G$100,'01'!$R$3:$R$100,"-")</f>
        <v/>
      </c>
      <c r="D240" s="68">
        <f>_xlfn.XLOOKUP($A240,'02'!$G$3:$G$100,'02'!$R$3:$R$100,"-")</f>
        <v/>
      </c>
      <c r="E240" s="68">
        <f>_xlfn.XLOOKUP($A240,'03'!$G$3:$G$100,'03'!$R$3:$R$100,"-")</f>
        <v/>
      </c>
      <c r="F240" s="68">
        <f>_xlfn.XLOOKUP($A240,'04'!$G$3:$G$100,'04'!$R$3:$R$100,"-")</f>
        <v/>
      </c>
      <c r="G240" s="68">
        <f>_xlfn.XLOOKUP($A240,'05'!$G$3:$G$100,'05'!$R$3:$R$100,"-")</f>
        <v/>
      </c>
      <c r="H240" s="68">
        <f>_xlfn.XLOOKUP($A240,'06'!$G$3:$G$100,'06'!$R$3:$R$100,"-")</f>
        <v/>
      </c>
      <c r="I240" s="68">
        <f>_xlfn.XLOOKUP($A240,'07'!$G$3:$G$100,'07'!$R$3:$R$100,"-")</f>
        <v/>
      </c>
      <c r="J240" s="68">
        <f>_xlfn.XLOOKUP($A240,'08'!$G$3:$G$100,'08'!$R$3:$R$100,"-")</f>
        <v/>
      </c>
      <c r="K240" s="68">
        <f>_xlfn.XLOOKUP($A240,'09'!$G$3:$G$100,'09'!$R$3:$R$100,"-")</f>
        <v/>
      </c>
      <c r="L240" s="68">
        <f>_xlfn.XLOOKUP($A240,'10'!$G$3:$G$100,'10'!$R$3:$R$100,"-")</f>
        <v/>
      </c>
      <c r="M240" s="68">
        <f>_xlfn.XLOOKUP($A240,'11'!$G$3:$G$100,'11'!$R$3:$R$100,"-")</f>
        <v/>
      </c>
      <c r="N240" s="68">
        <f>_xlfn.XLOOKUP($A240,'12'!$G$3:$G$100,'12'!$R$3:$R$100,"-")</f>
        <v/>
      </c>
      <c r="O240" s="79">
        <f>SUM(C240:N240)</f>
        <v/>
      </c>
      <c r="P240" s="74" t="n"/>
      <c r="Q240" s="82" t="n">
        <v>238</v>
      </c>
      <c r="R240" s="38" t="n"/>
      <c r="S240" s="61" t="n">
        <v>0</v>
      </c>
      <c r="T240" s="68" t="n">
        <v>0</v>
      </c>
      <c r="U240" s="68" t="n">
        <v>0</v>
      </c>
      <c r="V240" s="68" t="n">
        <v>0</v>
      </c>
      <c r="W240" s="68" t="n">
        <v>0</v>
      </c>
      <c r="X240" s="68" t="n">
        <v>0</v>
      </c>
      <c r="Y240" s="68" t="n">
        <v>0</v>
      </c>
      <c r="Z240" s="68" t="n">
        <v>0</v>
      </c>
      <c r="AA240" s="68" t="n">
        <v>0</v>
      </c>
      <c r="AB240" s="68" t="n">
        <v>0</v>
      </c>
      <c r="AC240" s="68" t="n">
        <v>0</v>
      </c>
      <c r="AD240" s="68" t="n">
        <v>0</v>
      </c>
      <c r="AE240" s="68" t="n">
        <v>0</v>
      </c>
      <c r="AF240" s="79" t="n">
        <v>0</v>
      </c>
      <c r="AG240" s="74" t="n">
        <v>0</v>
      </c>
      <c r="AH240" s="82" t="n">
        <v>238</v>
      </c>
    </row>
    <row r="241" ht="18" customHeight="1">
      <c r="C241" s="68">
        <f>_xlfn.XLOOKUP($A241,'01'!$G$3:$G$100,'01'!$R$3:$R$100,"-")</f>
        <v/>
      </c>
      <c r="D241" s="68">
        <f>_xlfn.XLOOKUP($A241,'02'!$G$3:$G$100,'02'!$R$3:$R$100,"-")</f>
        <v/>
      </c>
      <c r="E241" s="68">
        <f>_xlfn.XLOOKUP($A241,'03'!$G$3:$G$100,'03'!$R$3:$R$100,"-")</f>
        <v/>
      </c>
      <c r="F241" s="68">
        <f>_xlfn.XLOOKUP($A241,'04'!$G$3:$G$100,'04'!$R$3:$R$100,"-")</f>
        <v/>
      </c>
      <c r="G241" s="68">
        <f>_xlfn.XLOOKUP($A241,'05'!$G$3:$G$100,'05'!$R$3:$R$100,"-")</f>
        <v/>
      </c>
      <c r="H241" s="68">
        <f>_xlfn.XLOOKUP($A241,'06'!$G$3:$G$100,'06'!$R$3:$R$100,"-")</f>
        <v/>
      </c>
      <c r="I241" s="68">
        <f>_xlfn.XLOOKUP($A241,'07'!$G$3:$G$100,'07'!$R$3:$R$100,"-")</f>
        <v/>
      </c>
      <c r="J241" s="68">
        <f>_xlfn.XLOOKUP($A241,'08'!$G$3:$G$100,'08'!$R$3:$R$100,"-")</f>
        <v/>
      </c>
      <c r="K241" s="68">
        <f>_xlfn.XLOOKUP($A241,'09'!$G$3:$G$100,'09'!$R$3:$R$100,"-")</f>
        <v/>
      </c>
      <c r="L241" s="68">
        <f>_xlfn.XLOOKUP($A241,'10'!$G$3:$G$100,'10'!$R$3:$R$100,"-")</f>
        <v/>
      </c>
      <c r="M241" s="68">
        <f>_xlfn.XLOOKUP($A241,'11'!$G$3:$G$100,'11'!$R$3:$R$100,"-")</f>
        <v/>
      </c>
      <c r="N241" s="68">
        <f>_xlfn.XLOOKUP($A241,'12'!$G$3:$G$100,'12'!$R$3:$R$100,"-")</f>
        <v/>
      </c>
      <c r="O241" s="79">
        <f>SUM(C241:N241)</f>
        <v/>
      </c>
      <c r="P241" s="74" t="n"/>
      <c r="Q241" s="82" t="n">
        <v>239</v>
      </c>
      <c r="R241" s="38" t="n"/>
      <c r="S241" s="61" t="n">
        <v>0</v>
      </c>
      <c r="T241" s="68" t="n">
        <v>0</v>
      </c>
      <c r="U241" s="68" t="n">
        <v>0</v>
      </c>
      <c r="V241" s="68" t="n">
        <v>0</v>
      </c>
      <c r="W241" s="68" t="n">
        <v>0</v>
      </c>
      <c r="X241" s="68" t="n">
        <v>0</v>
      </c>
      <c r="Y241" s="68" t="n">
        <v>0</v>
      </c>
      <c r="Z241" s="68" t="n">
        <v>0</v>
      </c>
      <c r="AA241" s="68" t="n">
        <v>0</v>
      </c>
      <c r="AB241" s="68" t="n">
        <v>0</v>
      </c>
      <c r="AC241" s="68" t="n">
        <v>0</v>
      </c>
      <c r="AD241" s="68" t="n">
        <v>0</v>
      </c>
      <c r="AE241" s="68" t="n">
        <v>0</v>
      </c>
      <c r="AF241" s="79" t="n">
        <v>0</v>
      </c>
      <c r="AG241" s="74" t="n">
        <v>0</v>
      </c>
      <c r="AH241" s="82" t="n">
        <v>239</v>
      </c>
    </row>
    <row r="242" ht="18" customHeight="1">
      <c r="C242" s="68">
        <f>_xlfn.XLOOKUP($A242,'01'!$G$3:$G$100,'01'!$R$3:$R$100,"-")</f>
        <v/>
      </c>
      <c r="D242" s="68">
        <f>_xlfn.XLOOKUP($A242,'02'!$G$3:$G$100,'02'!$R$3:$R$100,"-")</f>
        <v/>
      </c>
      <c r="E242" s="68">
        <f>_xlfn.XLOOKUP($A242,'03'!$G$3:$G$100,'03'!$R$3:$R$100,"-")</f>
        <v/>
      </c>
      <c r="F242" s="68">
        <f>_xlfn.XLOOKUP($A242,'04'!$G$3:$G$100,'04'!$R$3:$R$100,"-")</f>
        <v/>
      </c>
      <c r="G242" s="68">
        <f>_xlfn.XLOOKUP($A242,'05'!$G$3:$G$100,'05'!$R$3:$R$100,"-")</f>
        <v/>
      </c>
      <c r="H242" s="68">
        <f>_xlfn.XLOOKUP($A242,'06'!$G$3:$G$100,'06'!$R$3:$R$100,"-")</f>
        <v/>
      </c>
      <c r="I242" s="68">
        <f>_xlfn.XLOOKUP($A242,'07'!$G$3:$G$100,'07'!$R$3:$R$100,"-")</f>
        <v/>
      </c>
      <c r="J242" s="68">
        <f>_xlfn.XLOOKUP($A242,'08'!$G$3:$G$100,'08'!$R$3:$R$100,"-")</f>
        <v/>
      </c>
      <c r="K242" s="68">
        <f>_xlfn.XLOOKUP($A242,'09'!$G$3:$G$100,'09'!$R$3:$R$100,"-")</f>
        <v/>
      </c>
      <c r="L242" s="68">
        <f>_xlfn.XLOOKUP($A242,'10'!$G$3:$G$100,'10'!$R$3:$R$100,"-")</f>
        <v/>
      </c>
      <c r="M242" s="68">
        <f>_xlfn.XLOOKUP($A242,'11'!$G$3:$G$100,'11'!$R$3:$R$100,"-")</f>
        <v/>
      </c>
      <c r="N242" s="68">
        <f>_xlfn.XLOOKUP($A242,'12'!$G$3:$G$100,'12'!$R$3:$R$100,"-")</f>
        <v/>
      </c>
      <c r="O242" s="79">
        <f>SUM(C242:N242)</f>
        <v/>
      </c>
      <c r="P242" s="74" t="n"/>
      <c r="Q242" s="82" t="n">
        <v>240</v>
      </c>
      <c r="R242" s="38" t="n"/>
      <c r="S242" s="61" t="n">
        <v>0</v>
      </c>
      <c r="T242" s="68" t="n">
        <v>0</v>
      </c>
      <c r="U242" s="68" t="n">
        <v>0</v>
      </c>
      <c r="V242" s="68" t="n">
        <v>0</v>
      </c>
      <c r="W242" s="68" t="n">
        <v>0</v>
      </c>
      <c r="X242" s="68" t="n">
        <v>0</v>
      </c>
      <c r="Y242" s="68" t="n">
        <v>0</v>
      </c>
      <c r="Z242" s="68" t="n">
        <v>0</v>
      </c>
      <c r="AA242" s="68" t="n">
        <v>0</v>
      </c>
      <c r="AB242" s="68" t="n">
        <v>0</v>
      </c>
      <c r="AC242" s="68" t="n">
        <v>0</v>
      </c>
      <c r="AD242" s="68" t="n">
        <v>0</v>
      </c>
      <c r="AE242" s="68" t="n">
        <v>0</v>
      </c>
      <c r="AF242" s="79" t="n">
        <v>0</v>
      </c>
      <c r="AG242" s="74" t="n">
        <v>0</v>
      </c>
      <c r="AH242" s="82" t="n">
        <v>240</v>
      </c>
    </row>
    <row r="243" ht="18" customHeight="1">
      <c r="C243" s="68">
        <f>_xlfn.XLOOKUP($A243,'01'!$G$3:$G$100,'01'!$R$3:$R$100,"-")</f>
        <v/>
      </c>
      <c r="D243" s="68">
        <f>_xlfn.XLOOKUP($A243,'02'!$G$3:$G$100,'02'!$R$3:$R$100,"-")</f>
        <v/>
      </c>
      <c r="E243" s="68">
        <f>_xlfn.XLOOKUP($A243,'03'!$G$3:$G$100,'03'!$R$3:$R$100,"-")</f>
        <v/>
      </c>
      <c r="F243" s="68">
        <f>_xlfn.XLOOKUP($A243,'04'!$G$3:$G$100,'04'!$R$3:$R$100,"-")</f>
        <v/>
      </c>
      <c r="G243" s="68">
        <f>_xlfn.XLOOKUP($A243,'05'!$G$3:$G$100,'05'!$R$3:$R$100,"-")</f>
        <v/>
      </c>
      <c r="H243" s="68">
        <f>_xlfn.XLOOKUP($A243,'06'!$G$3:$G$100,'06'!$R$3:$R$100,"-")</f>
        <v/>
      </c>
      <c r="I243" s="68">
        <f>_xlfn.XLOOKUP($A243,'07'!$G$3:$G$100,'07'!$R$3:$R$100,"-")</f>
        <v/>
      </c>
      <c r="J243" s="68">
        <f>_xlfn.XLOOKUP($A243,'08'!$G$3:$G$100,'08'!$R$3:$R$100,"-")</f>
        <v/>
      </c>
      <c r="K243" s="68">
        <f>_xlfn.XLOOKUP($A243,'09'!$G$3:$G$100,'09'!$R$3:$R$100,"-")</f>
        <v/>
      </c>
      <c r="L243" s="68">
        <f>_xlfn.XLOOKUP($A243,'10'!$G$3:$G$100,'10'!$R$3:$R$100,"-")</f>
        <v/>
      </c>
      <c r="M243" s="68">
        <f>_xlfn.XLOOKUP($A243,'11'!$G$3:$G$100,'11'!$R$3:$R$100,"-")</f>
        <v/>
      </c>
      <c r="N243" s="68">
        <f>_xlfn.XLOOKUP($A243,'12'!$G$3:$G$100,'12'!$R$3:$R$100,"-")</f>
        <v/>
      </c>
      <c r="O243" s="79">
        <f>SUM(C243:N243)</f>
        <v/>
      </c>
      <c r="P243" s="74" t="n"/>
      <c r="Q243" s="82" t="n">
        <v>241</v>
      </c>
      <c r="R243" s="38" t="n"/>
      <c r="S243" s="61" t="n">
        <v>0</v>
      </c>
      <c r="T243" s="68" t="n">
        <v>0</v>
      </c>
      <c r="U243" s="68" t="n">
        <v>0</v>
      </c>
      <c r="V243" s="68" t="n">
        <v>0</v>
      </c>
      <c r="W243" s="68" t="n">
        <v>0</v>
      </c>
      <c r="X243" s="68" t="n">
        <v>0</v>
      </c>
      <c r="Y243" s="68" t="n">
        <v>0</v>
      </c>
      <c r="Z243" s="68" t="n">
        <v>0</v>
      </c>
      <c r="AA243" s="68" t="n">
        <v>0</v>
      </c>
      <c r="AB243" s="68" t="n">
        <v>0</v>
      </c>
      <c r="AC243" s="68" t="n">
        <v>0</v>
      </c>
      <c r="AD243" s="68" t="n">
        <v>0</v>
      </c>
      <c r="AE243" s="68" t="n">
        <v>0</v>
      </c>
      <c r="AF243" s="79" t="n">
        <v>0</v>
      </c>
      <c r="AG243" s="74" t="n">
        <v>0</v>
      </c>
      <c r="AH243" s="82" t="n">
        <v>241</v>
      </c>
    </row>
    <row r="244" ht="18" customHeight="1">
      <c r="C244" s="68">
        <f>_xlfn.XLOOKUP($A244,'01'!$G$3:$G$100,'01'!$R$3:$R$100,"-")</f>
        <v/>
      </c>
      <c r="D244" s="68">
        <f>_xlfn.XLOOKUP($A244,'02'!$G$3:$G$100,'02'!$R$3:$R$100,"-")</f>
        <v/>
      </c>
      <c r="E244" s="68">
        <f>_xlfn.XLOOKUP($A244,'03'!$G$3:$G$100,'03'!$R$3:$R$100,"-")</f>
        <v/>
      </c>
      <c r="F244" s="68">
        <f>_xlfn.XLOOKUP($A244,'04'!$G$3:$G$100,'04'!$R$3:$R$100,"-")</f>
        <v/>
      </c>
      <c r="G244" s="68">
        <f>_xlfn.XLOOKUP($A244,'05'!$G$3:$G$100,'05'!$R$3:$R$100,"-")</f>
        <v/>
      </c>
      <c r="H244" s="68">
        <f>_xlfn.XLOOKUP($A244,'06'!$G$3:$G$100,'06'!$R$3:$R$100,"-")</f>
        <v/>
      </c>
      <c r="I244" s="68">
        <f>_xlfn.XLOOKUP($A244,'07'!$G$3:$G$100,'07'!$R$3:$R$100,"-")</f>
        <v/>
      </c>
      <c r="J244" s="68">
        <f>_xlfn.XLOOKUP($A244,'08'!$G$3:$G$100,'08'!$R$3:$R$100,"-")</f>
        <v/>
      </c>
      <c r="K244" s="68">
        <f>_xlfn.XLOOKUP($A244,'09'!$G$3:$G$100,'09'!$R$3:$R$100,"-")</f>
        <v/>
      </c>
      <c r="L244" s="68">
        <f>_xlfn.XLOOKUP($A244,'10'!$G$3:$G$100,'10'!$R$3:$R$100,"-")</f>
        <v/>
      </c>
      <c r="M244" s="68">
        <f>_xlfn.XLOOKUP($A244,'11'!$G$3:$G$100,'11'!$R$3:$R$100,"-")</f>
        <v/>
      </c>
      <c r="N244" s="68">
        <f>_xlfn.XLOOKUP($A244,'12'!$G$3:$G$100,'12'!$R$3:$R$100,"-")</f>
        <v/>
      </c>
      <c r="O244" s="79">
        <f>SUM(C244:N244)</f>
        <v/>
      </c>
      <c r="P244" s="74" t="n"/>
      <c r="Q244" s="82" t="n">
        <v>242</v>
      </c>
      <c r="R244" s="38" t="n"/>
      <c r="S244" s="61" t="n">
        <v>0</v>
      </c>
      <c r="T244" s="68" t="n">
        <v>0</v>
      </c>
      <c r="U244" s="68" t="n">
        <v>0</v>
      </c>
      <c r="V244" s="68" t="n">
        <v>0</v>
      </c>
      <c r="W244" s="68" t="n">
        <v>0</v>
      </c>
      <c r="X244" s="68" t="n">
        <v>0</v>
      </c>
      <c r="Y244" s="68" t="n">
        <v>0</v>
      </c>
      <c r="Z244" s="68" t="n">
        <v>0</v>
      </c>
      <c r="AA244" s="68" t="n">
        <v>0</v>
      </c>
      <c r="AB244" s="68" t="n">
        <v>0</v>
      </c>
      <c r="AC244" s="68" t="n">
        <v>0</v>
      </c>
      <c r="AD244" s="68" t="n">
        <v>0</v>
      </c>
      <c r="AE244" s="68" t="n">
        <v>0</v>
      </c>
      <c r="AF244" s="79" t="n">
        <v>0</v>
      </c>
      <c r="AG244" s="74" t="n">
        <v>0</v>
      </c>
      <c r="AH244" s="82" t="n">
        <v>242</v>
      </c>
    </row>
    <row r="245" ht="18" customHeight="1">
      <c r="C245" s="68">
        <f>_xlfn.XLOOKUP($A245,'01'!$G$3:$G$100,'01'!$R$3:$R$100,"-")</f>
        <v/>
      </c>
      <c r="D245" s="68">
        <f>_xlfn.XLOOKUP($A245,'02'!$G$3:$G$100,'02'!$R$3:$R$100,"-")</f>
        <v/>
      </c>
      <c r="E245" s="68">
        <f>_xlfn.XLOOKUP($A245,'03'!$G$3:$G$100,'03'!$R$3:$R$100,"-")</f>
        <v/>
      </c>
      <c r="F245" s="68">
        <f>_xlfn.XLOOKUP($A245,'04'!$G$3:$G$100,'04'!$R$3:$R$100,"-")</f>
        <v/>
      </c>
      <c r="G245" s="68">
        <f>_xlfn.XLOOKUP($A245,'05'!$G$3:$G$100,'05'!$R$3:$R$100,"-")</f>
        <v/>
      </c>
      <c r="H245" s="68">
        <f>_xlfn.XLOOKUP($A245,'06'!$G$3:$G$100,'06'!$R$3:$R$100,"-")</f>
        <v/>
      </c>
      <c r="I245" s="68">
        <f>_xlfn.XLOOKUP($A245,'07'!$G$3:$G$100,'07'!$R$3:$R$100,"-")</f>
        <v/>
      </c>
      <c r="J245" s="68">
        <f>_xlfn.XLOOKUP($A245,'08'!$G$3:$G$100,'08'!$R$3:$R$100,"-")</f>
        <v/>
      </c>
      <c r="K245" s="68">
        <f>_xlfn.XLOOKUP($A245,'09'!$G$3:$G$100,'09'!$R$3:$R$100,"-")</f>
        <v/>
      </c>
      <c r="L245" s="68">
        <f>_xlfn.XLOOKUP($A245,'10'!$G$3:$G$100,'10'!$R$3:$R$100,"-")</f>
        <v/>
      </c>
      <c r="M245" s="68">
        <f>_xlfn.XLOOKUP($A245,'11'!$G$3:$G$100,'11'!$R$3:$R$100,"-")</f>
        <v/>
      </c>
      <c r="N245" s="68">
        <f>_xlfn.XLOOKUP($A245,'12'!$G$3:$G$100,'12'!$R$3:$R$100,"-")</f>
        <v/>
      </c>
      <c r="O245" s="79">
        <f>SUM(C245:N245)</f>
        <v/>
      </c>
      <c r="P245" s="74" t="n"/>
      <c r="Q245" s="82" t="n">
        <v>243</v>
      </c>
      <c r="R245" s="38" t="n"/>
      <c r="S245" s="61" t="n">
        <v>0</v>
      </c>
      <c r="T245" s="68" t="n">
        <v>0</v>
      </c>
      <c r="U245" s="68" t="n">
        <v>0</v>
      </c>
      <c r="V245" s="68" t="n">
        <v>0</v>
      </c>
      <c r="W245" s="68" t="n">
        <v>0</v>
      </c>
      <c r="X245" s="68" t="n">
        <v>0</v>
      </c>
      <c r="Y245" s="68" t="n">
        <v>0</v>
      </c>
      <c r="Z245" s="68" t="n">
        <v>0</v>
      </c>
      <c r="AA245" s="68" t="n">
        <v>0</v>
      </c>
      <c r="AB245" s="68" t="n">
        <v>0</v>
      </c>
      <c r="AC245" s="68" t="n">
        <v>0</v>
      </c>
      <c r="AD245" s="68" t="n">
        <v>0</v>
      </c>
      <c r="AE245" s="68" t="n">
        <v>0</v>
      </c>
      <c r="AF245" s="79" t="n">
        <v>0</v>
      </c>
      <c r="AG245" s="74" t="n">
        <v>0</v>
      </c>
      <c r="AH245" s="82" t="n">
        <v>243</v>
      </c>
    </row>
    <row r="246" ht="18" customHeight="1">
      <c r="C246" s="68">
        <f>_xlfn.XLOOKUP($A246,'01'!$G$3:$G$100,'01'!$R$3:$R$100,"-")</f>
        <v/>
      </c>
      <c r="D246" s="68">
        <f>_xlfn.XLOOKUP($A246,'02'!$G$3:$G$100,'02'!$R$3:$R$100,"-")</f>
        <v/>
      </c>
      <c r="E246" s="68">
        <f>_xlfn.XLOOKUP($A246,'03'!$G$3:$G$100,'03'!$R$3:$R$100,"-")</f>
        <v/>
      </c>
      <c r="F246" s="68">
        <f>_xlfn.XLOOKUP($A246,'04'!$G$3:$G$100,'04'!$R$3:$R$100,"-")</f>
        <v/>
      </c>
      <c r="G246" s="68">
        <f>_xlfn.XLOOKUP($A246,'05'!$G$3:$G$100,'05'!$R$3:$R$100,"-")</f>
        <v/>
      </c>
      <c r="H246" s="68">
        <f>_xlfn.XLOOKUP($A246,'06'!$G$3:$G$100,'06'!$R$3:$R$100,"-")</f>
        <v/>
      </c>
      <c r="I246" s="68">
        <f>_xlfn.XLOOKUP($A246,'07'!$G$3:$G$100,'07'!$R$3:$R$100,"-")</f>
        <v/>
      </c>
      <c r="J246" s="68">
        <f>_xlfn.XLOOKUP($A246,'08'!$G$3:$G$100,'08'!$R$3:$R$100,"-")</f>
        <v/>
      </c>
      <c r="K246" s="68">
        <f>_xlfn.XLOOKUP($A246,'09'!$G$3:$G$100,'09'!$R$3:$R$100,"-")</f>
        <v/>
      </c>
      <c r="L246" s="68">
        <f>_xlfn.XLOOKUP($A246,'10'!$G$3:$G$100,'10'!$R$3:$R$100,"-")</f>
        <v/>
      </c>
      <c r="M246" s="68">
        <f>_xlfn.XLOOKUP($A246,'11'!$G$3:$G$100,'11'!$R$3:$R$100,"-")</f>
        <v/>
      </c>
      <c r="N246" s="68">
        <f>_xlfn.XLOOKUP($A246,'12'!$G$3:$G$100,'12'!$R$3:$R$100,"-")</f>
        <v/>
      </c>
      <c r="O246" s="79">
        <f>SUM(C246:N246)</f>
        <v/>
      </c>
      <c r="P246" s="74" t="n"/>
      <c r="Q246" s="82" t="n">
        <v>244</v>
      </c>
      <c r="R246" s="38" t="n"/>
      <c r="S246" s="61" t="n">
        <v>0</v>
      </c>
      <c r="T246" s="68" t="n">
        <v>0</v>
      </c>
      <c r="U246" s="68" t="n">
        <v>0</v>
      </c>
      <c r="V246" s="68" t="n">
        <v>0</v>
      </c>
      <c r="W246" s="68" t="n">
        <v>0</v>
      </c>
      <c r="X246" s="68" t="n">
        <v>0</v>
      </c>
      <c r="Y246" s="68" t="n">
        <v>0</v>
      </c>
      <c r="Z246" s="68" t="n">
        <v>0</v>
      </c>
      <c r="AA246" s="68" t="n">
        <v>0</v>
      </c>
      <c r="AB246" s="68" t="n">
        <v>0</v>
      </c>
      <c r="AC246" s="68" t="n">
        <v>0</v>
      </c>
      <c r="AD246" s="68" t="n">
        <v>0</v>
      </c>
      <c r="AE246" s="68" t="n">
        <v>0</v>
      </c>
      <c r="AF246" s="79" t="n">
        <v>0</v>
      </c>
      <c r="AG246" s="74" t="n">
        <v>0</v>
      </c>
      <c r="AH246" s="82" t="n">
        <v>244</v>
      </c>
    </row>
    <row r="247" ht="18" customHeight="1">
      <c r="C247" s="68">
        <f>_xlfn.XLOOKUP($A247,'01'!$G$3:$G$100,'01'!$R$3:$R$100,"-")</f>
        <v/>
      </c>
      <c r="D247" s="68">
        <f>_xlfn.XLOOKUP($A247,'02'!$G$3:$G$100,'02'!$R$3:$R$100,"-")</f>
        <v/>
      </c>
      <c r="E247" s="68">
        <f>_xlfn.XLOOKUP($A247,'03'!$G$3:$G$100,'03'!$R$3:$R$100,"-")</f>
        <v/>
      </c>
      <c r="F247" s="68">
        <f>_xlfn.XLOOKUP($A247,'04'!$G$3:$G$100,'04'!$R$3:$R$100,"-")</f>
        <v/>
      </c>
      <c r="G247" s="68">
        <f>_xlfn.XLOOKUP($A247,'05'!$G$3:$G$100,'05'!$R$3:$R$100,"-")</f>
        <v/>
      </c>
      <c r="H247" s="68">
        <f>_xlfn.XLOOKUP($A247,'06'!$G$3:$G$100,'06'!$R$3:$R$100,"-")</f>
        <v/>
      </c>
      <c r="I247" s="68">
        <f>_xlfn.XLOOKUP($A247,'07'!$G$3:$G$100,'07'!$R$3:$R$100,"-")</f>
        <v/>
      </c>
      <c r="J247" s="68">
        <f>_xlfn.XLOOKUP($A247,'08'!$G$3:$G$100,'08'!$R$3:$R$100,"-")</f>
        <v/>
      </c>
      <c r="K247" s="68">
        <f>_xlfn.XLOOKUP($A247,'09'!$G$3:$G$100,'09'!$R$3:$R$100,"-")</f>
        <v/>
      </c>
      <c r="L247" s="68">
        <f>_xlfn.XLOOKUP($A247,'10'!$G$3:$G$100,'10'!$R$3:$R$100,"-")</f>
        <v/>
      </c>
      <c r="M247" s="68">
        <f>_xlfn.XLOOKUP($A247,'11'!$G$3:$G$100,'11'!$R$3:$R$100,"-")</f>
        <v/>
      </c>
      <c r="N247" s="68">
        <f>_xlfn.XLOOKUP($A247,'12'!$G$3:$G$100,'12'!$R$3:$R$100,"-")</f>
        <v/>
      </c>
      <c r="O247" s="79">
        <f>SUM(C247:N247)</f>
        <v/>
      </c>
      <c r="P247" s="74" t="n"/>
      <c r="Q247" s="83" t="n">
        <v>245</v>
      </c>
      <c r="R247" s="38" t="n"/>
      <c r="S247" s="61" t="n">
        <v>0</v>
      </c>
      <c r="T247" s="68" t="n">
        <v>0</v>
      </c>
      <c r="U247" s="68" t="n">
        <v>0</v>
      </c>
      <c r="V247" s="68" t="n">
        <v>0</v>
      </c>
      <c r="W247" s="68" t="n">
        <v>0</v>
      </c>
      <c r="X247" s="68" t="n">
        <v>0</v>
      </c>
      <c r="Y247" s="68" t="n">
        <v>0</v>
      </c>
      <c r="Z247" s="68" t="n">
        <v>0</v>
      </c>
      <c r="AA247" s="68" t="n">
        <v>0</v>
      </c>
      <c r="AB247" s="68" t="n">
        <v>0</v>
      </c>
      <c r="AC247" s="68" t="n">
        <v>0</v>
      </c>
      <c r="AD247" s="68" t="n">
        <v>0</v>
      </c>
      <c r="AE247" s="68" t="n">
        <v>0</v>
      </c>
      <c r="AF247" s="79" t="n">
        <v>0</v>
      </c>
      <c r="AG247" s="74" t="n">
        <v>0</v>
      </c>
      <c r="AH247" s="83" t="n">
        <v>245</v>
      </c>
    </row>
    <row r="248" ht="18" customHeight="1">
      <c r="C248" s="68">
        <f>_xlfn.XLOOKUP($A248,'01'!$G$3:$G$100,'01'!$R$3:$R$100,"-")</f>
        <v/>
      </c>
      <c r="D248" s="68">
        <f>_xlfn.XLOOKUP($A248,'02'!$G$3:$G$100,'02'!$R$3:$R$100,"-")</f>
        <v/>
      </c>
      <c r="E248" s="68">
        <f>_xlfn.XLOOKUP($A248,'03'!$G$3:$G$100,'03'!$R$3:$R$100,"-")</f>
        <v/>
      </c>
      <c r="F248" s="68">
        <f>_xlfn.XLOOKUP($A248,'04'!$G$3:$G$100,'04'!$R$3:$R$100,"-")</f>
        <v/>
      </c>
      <c r="G248" s="68">
        <f>_xlfn.XLOOKUP($A248,'05'!$G$3:$G$100,'05'!$R$3:$R$100,"-")</f>
        <v/>
      </c>
      <c r="H248" s="68">
        <f>_xlfn.XLOOKUP($A248,'06'!$G$3:$G$100,'06'!$R$3:$R$100,"-")</f>
        <v/>
      </c>
      <c r="I248" s="68">
        <f>_xlfn.XLOOKUP($A248,'07'!$G$3:$G$100,'07'!$R$3:$R$100,"-")</f>
        <v/>
      </c>
      <c r="J248" s="68">
        <f>_xlfn.XLOOKUP($A248,'08'!$G$3:$G$100,'08'!$R$3:$R$100,"-")</f>
        <v/>
      </c>
      <c r="K248" s="68">
        <f>_xlfn.XLOOKUP($A248,'09'!$G$3:$G$100,'09'!$R$3:$R$100,"-")</f>
        <v/>
      </c>
      <c r="L248" s="68">
        <f>_xlfn.XLOOKUP($A248,'10'!$G$3:$G$100,'10'!$R$3:$R$100,"-")</f>
        <v/>
      </c>
      <c r="M248" s="68">
        <f>_xlfn.XLOOKUP($A248,'11'!$G$3:$G$100,'11'!$R$3:$R$100,"-")</f>
        <v/>
      </c>
      <c r="N248" s="68">
        <f>_xlfn.XLOOKUP($A248,'12'!$G$3:$G$100,'12'!$R$3:$R$100,"-")</f>
        <v/>
      </c>
      <c r="O248" s="79">
        <f>SUM(C248:N248)</f>
        <v/>
      </c>
      <c r="P248" s="74" t="n"/>
      <c r="Q248" s="82" t="n">
        <v>246</v>
      </c>
      <c r="R248" s="38" t="n"/>
      <c r="S248" s="61" t="n">
        <v>0</v>
      </c>
      <c r="T248" s="68" t="n">
        <v>0</v>
      </c>
      <c r="U248" s="68" t="n">
        <v>0</v>
      </c>
      <c r="V248" s="68" t="n">
        <v>0</v>
      </c>
      <c r="W248" s="68" t="n">
        <v>0</v>
      </c>
      <c r="X248" s="68" t="n">
        <v>0</v>
      </c>
      <c r="Y248" s="68" t="n">
        <v>0</v>
      </c>
      <c r="Z248" s="68" t="n">
        <v>0</v>
      </c>
      <c r="AA248" s="68" t="n">
        <v>0</v>
      </c>
      <c r="AB248" s="68" t="n">
        <v>0</v>
      </c>
      <c r="AC248" s="68" t="n">
        <v>0</v>
      </c>
      <c r="AD248" s="68" t="n">
        <v>0</v>
      </c>
      <c r="AE248" s="68" t="n">
        <v>0</v>
      </c>
      <c r="AF248" s="79" t="n">
        <v>0</v>
      </c>
      <c r="AG248" s="74" t="n">
        <v>0</v>
      </c>
      <c r="AH248" s="82" t="n">
        <v>246</v>
      </c>
    </row>
    <row r="249" ht="18" customHeight="1">
      <c r="C249" s="68">
        <f>_xlfn.XLOOKUP($A249,'01'!$G$3:$G$100,'01'!$R$3:$R$100,"-")</f>
        <v/>
      </c>
      <c r="D249" s="68">
        <f>_xlfn.XLOOKUP($A249,'02'!$G$3:$G$100,'02'!$R$3:$R$100,"-")</f>
        <v/>
      </c>
      <c r="E249" s="68">
        <f>_xlfn.XLOOKUP($A249,'03'!$G$3:$G$100,'03'!$R$3:$R$100,"-")</f>
        <v/>
      </c>
      <c r="F249" s="68">
        <f>_xlfn.XLOOKUP($A249,'04'!$G$3:$G$100,'04'!$R$3:$R$100,"-")</f>
        <v/>
      </c>
      <c r="G249" s="68">
        <f>_xlfn.XLOOKUP($A249,'05'!$G$3:$G$100,'05'!$R$3:$R$100,"-")</f>
        <v/>
      </c>
      <c r="H249" s="68">
        <f>_xlfn.XLOOKUP($A249,'06'!$G$3:$G$100,'06'!$R$3:$R$100,"-")</f>
        <v/>
      </c>
      <c r="I249" s="68">
        <f>_xlfn.XLOOKUP($A249,'07'!$G$3:$G$100,'07'!$R$3:$R$100,"-")</f>
        <v/>
      </c>
      <c r="J249" s="68">
        <f>_xlfn.XLOOKUP($A249,'08'!$G$3:$G$100,'08'!$R$3:$R$100,"-")</f>
        <v/>
      </c>
      <c r="K249" s="68">
        <f>_xlfn.XLOOKUP($A249,'09'!$G$3:$G$100,'09'!$R$3:$R$100,"-")</f>
        <v/>
      </c>
      <c r="L249" s="68">
        <f>_xlfn.XLOOKUP($A249,'10'!$G$3:$G$100,'10'!$R$3:$R$100,"-")</f>
        <v/>
      </c>
      <c r="M249" s="68">
        <f>_xlfn.XLOOKUP($A249,'11'!$G$3:$G$100,'11'!$R$3:$R$100,"-")</f>
        <v/>
      </c>
      <c r="N249" s="68">
        <f>_xlfn.XLOOKUP($A249,'12'!$G$3:$G$100,'12'!$R$3:$R$100,"-")</f>
        <v/>
      </c>
      <c r="O249" s="79">
        <f>SUM(C249:N249)</f>
        <v/>
      </c>
      <c r="P249" s="74" t="n"/>
      <c r="Q249" s="82" t="n">
        <v>247</v>
      </c>
      <c r="R249" s="38" t="n"/>
      <c r="S249" s="61" t="n">
        <v>0</v>
      </c>
      <c r="T249" s="68" t="n">
        <v>0</v>
      </c>
      <c r="U249" s="68" t="n">
        <v>0</v>
      </c>
      <c r="V249" s="68" t="n">
        <v>0</v>
      </c>
      <c r="W249" s="68" t="n">
        <v>0</v>
      </c>
      <c r="X249" s="68" t="n">
        <v>0</v>
      </c>
      <c r="Y249" s="68" t="n">
        <v>0</v>
      </c>
      <c r="Z249" s="68" t="n">
        <v>0</v>
      </c>
      <c r="AA249" s="68" t="n">
        <v>0</v>
      </c>
      <c r="AB249" s="68" t="n">
        <v>0</v>
      </c>
      <c r="AC249" s="68" t="n">
        <v>0</v>
      </c>
      <c r="AD249" s="68" t="n">
        <v>0</v>
      </c>
      <c r="AE249" s="68" t="n">
        <v>0</v>
      </c>
      <c r="AF249" s="79" t="n">
        <v>0</v>
      </c>
      <c r="AG249" s="74" t="n">
        <v>0</v>
      </c>
      <c r="AH249" s="82" t="n">
        <v>247</v>
      </c>
    </row>
    <row r="250" ht="18" customHeight="1">
      <c r="C250" s="68">
        <f>_xlfn.XLOOKUP($A250,'01'!$G$3:$G$100,'01'!$R$3:$R$100,"-")</f>
        <v/>
      </c>
      <c r="D250" s="68">
        <f>_xlfn.XLOOKUP($A250,'02'!$G$3:$G$100,'02'!$R$3:$R$100,"-")</f>
        <v/>
      </c>
      <c r="E250" s="68">
        <f>_xlfn.XLOOKUP($A250,'03'!$G$3:$G$100,'03'!$R$3:$R$100,"-")</f>
        <v/>
      </c>
      <c r="F250" s="68">
        <f>_xlfn.XLOOKUP($A250,'04'!$G$3:$G$100,'04'!$R$3:$R$100,"-")</f>
        <v/>
      </c>
      <c r="G250" s="68">
        <f>_xlfn.XLOOKUP($A250,'05'!$G$3:$G$100,'05'!$R$3:$R$100,"-")</f>
        <v/>
      </c>
      <c r="H250" s="68">
        <f>_xlfn.XLOOKUP($A250,'06'!$G$3:$G$100,'06'!$R$3:$R$100,"-")</f>
        <v/>
      </c>
      <c r="I250" s="68">
        <f>_xlfn.XLOOKUP($A250,'07'!$G$3:$G$100,'07'!$R$3:$R$100,"-")</f>
        <v/>
      </c>
      <c r="J250" s="68">
        <f>_xlfn.XLOOKUP($A250,'08'!$G$3:$G$100,'08'!$R$3:$R$100,"-")</f>
        <v/>
      </c>
      <c r="K250" s="68">
        <f>_xlfn.XLOOKUP($A250,'09'!$G$3:$G$100,'09'!$R$3:$R$100,"-")</f>
        <v/>
      </c>
      <c r="L250" s="68">
        <f>_xlfn.XLOOKUP($A250,'10'!$G$3:$G$100,'10'!$R$3:$R$100,"-")</f>
        <v/>
      </c>
      <c r="M250" s="68">
        <f>_xlfn.XLOOKUP($A250,'11'!$G$3:$G$100,'11'!$R$3:$R$100,"-")</f>
        <v/>
      </c>
      <c r="N250" s="68">
        <f>_xlfn.XLOOKUP($A250,'12'!$G$3:$G$100,'12'!$R$3:$R$100,"-")</f>
        <v/>
      </c>
      <c r="O250" s="79">
        <f>SUM(C250:N250)</f>
        <v/>
      </c>
      <c r="P250" s="74" t="n"/>
      <c r="Q250" s="82" t="n">
        <v>248</v>
      </c>
      <c r="R250" s="38" t="n"/>
      <c r="S250" s="61" t="n">
        <v>0</v>
      </c>
      <c r="T250" s="68" t="n">
        <v>0</v>
      </c>
      <c r="U250" s="68" t="n">
        <v>0</v>
      </c>
      <c r="V250" s="68" t="n">
        <v>0</v>
      </c>
      <c r="W250" s="68" t="n">
        <v>0</v>
      </c>
      <c r="X250" s="68" t="n">
        <v>0</v>
      </c>
      <c r="Y250" s="68" t="n">
        <v>0</v>
      </c>
      <c r="Z250" s="68" t="n">
        <v>0</v>
      </c>
      <c r="AA250" s="68" t="n">
        <v>0</v>
      </c>
      <c r="AB250" s="68" t="n">
        <v>0</v>
      </c>
      <c r="AC250" s="68" t="n">
        <v>0</v>
      </c>
      <c r="AD250" s="68" t="n">
        <v>0</v>
      </c>
      <c r="AE250" s="68" t="n">
        <v>0</v>
      </c>
      <c r="AF250" s="79" t="n">
        <v>0</v>
      </c>
      <c r="AG250" s="74" t="n">
        <v>0</v>
      </c>
      <c r="AH250" s="82" t="n">
        <v>248</v>
      </c>
    </row>
    <row r="251" ht="18" customHeight="1">
      <c r="C251" s="68">
        <f>_xlfn.XLOOKUP($A251,'01'!$G$3:$G$100,'01'!$R$3:$R$100,"-")</f>
        <v/>
      </c>
      <c r="D251" s="68">
        <f>_xlfn.XLOOKUP($A251,'02'!$G$3:$G$100,'02'!$R$3:$R$100,"-")</f>
        <v/>
      </c>
      <c r="E251" s="68">
        <f>_xlfn.XLOOKUP($A251,'03'!$G$3:$G$100,'03'!$R$3:$R$100,"-")</f>
        <v/>
      </c>
      <c r="F251" s="68">
        <f>_xlfn.XLOOKUP($A251,'04'!$G$3:$G$100,'04'!$R$3:$R$100,"-")</f>
        <v/>
      </c>
      <c r="G251" s="68">
        <f>_xlfn.XLOOKUP($A251,'05'!$G$3:$G$100,'05'!$R$3:$R$100,"-")</f>
        <v/>
      </c>
      <c r="H251" s="68">
        <f>_xlfn.XLOOKUP($A251,'06'!$G$3:$G$100,'06'!$R$3:$R$100,"-")</f>
        <v/>
      </c>
      <c r="I251" s="68">
        <f>_xlfn.XLOOKUP($A251,'07'!$G$3:$G$100,'07'!$R$3:$R$100,"-")</f>
        <v/>
      </c>
      <c r="J251" s="68">
        <f>_xlfn.XLOOKUP($A251,'08'!$G$3:$G$100,'08'!$R$3:$R$100,"-")</f>
        <v/>
      </c>
      <c r="K251" s="68">
        <f>_xlfn.XLOOKUP($A251,'09'!$G$3:$G$100,'09'!$R$3:$R$100,"-")</f>
        <v/>
      </c>
      <c r="L251" s="68">
        <f>_xlfn.XLOOKUP($A251,'10'!$G$3:$G$100,'10'!$R$3:$R$100,"-")</f>
        <v/>
      </c>
      <c r="M251" s="68">
        <f>_xlfn.XLOOKUP($A251,'11'!$G$3:$G$100,'11'!$R$3:$R$100,"-")</f>
        <v/>
      </c>
      <c r="N251" s="68">
        <f>_xlfn.XLOOKUP($A251,'12'!$G$3:$G$100,'12'!$R$3:$R$100,"-")</f>
        <v/>
      </c>
      <c r="O251" s="79">
        <f>SUM(C251:N251)</f>
        <v/>
      </c>
      <c r="P251" s="74" t="n"/>
      <c r="Q251" s="82" t="n">
        <v>249</v>
      </c>
      <c r="R251" s="38" t="n"/>
      <c r="S251" s="61" t="n">
        <v>0</v>
      </c>
      <c r="T251" s="68" t="n">
        <v>0</v>
      </c>
      <c r="U251" s="68" t="n">
        <v>0</v>
      </c>
      <c r="V251" s="68" t="n">
        <v>0</v>
      </c>
      <c r="W251" s="68" t="n">
        <v>0</v>
      </c>
      <c r="X251" s="68" t="n">
        <v>0</v>
      </c>
      <c r="Y251" s="68" t="n">
        <v>0</v>
      </c>
      <c r="Z251" s="68" t="n">
        <v>0</v>
      </c>
      <c r="AA251" s="68" t="n">
        <v>0</v>
      </c>
      <c r="AB251" s="68" t="n">
        <v>0</v>
      </c>
      <c r="AC251" s="68" t="n">
        <v>0</v>
      </c>
      <c r="AD251" s="68" t="n">
        <v>0</v>
      </c>
      <c r="AE251" s="68" t="n">
        <v>0</v>
      </c>
      <c r="AF251" s="79" t="n">
        <v>0</v>
      </c>
      <c r="AG251" s="74" t="n">
        <v>0</v>
      </c>
      <c r="AH251" s="82" t="n">
        <v>249</v>
      </c>
    </row>
    <row r="252" ht="18" customHeight="1">
      <c r="C252" s="68">
        <f>_xlfn.XLOOKUP($A252,'01'!$G$3:$G$100,'01'!$R$3:$R$100,"-")</f>
        <v/>
      </c>
      <c r="D252" s="68">
        <f>_xlfn.XLOOKUP($A252,'02'!$G$3:$G$100,'02'!$R$3:$R$100,"-")</f>
        <v/>
      </c>
      <c r="E252" s="68">
        <f>_xlfn.XLOOKUP($A252,'03'!$G$3:$G$100,'03'!$R$3:$R$100,"-")</f>
        <v/>
      </c>
      <c r="F252" s="68">
        <f>_xlfn.XLOOKUP($A252,'04'!$G$3:$G$100,'04'!$R$3:$R$100,"-")</f>
        <v/>
      </c>
      <c r="G252" s="68">
        <f>_xlfn.XLOOKUP($A252,'05'!$G$3:$G$100,'05'!$R$3:$R$100,"-")</f>
        <v/>
      </c>
      <c r="H252" s="68">
        <f>_xlfn.XLOOKUP($A252,'06'!$G$3:$G$100,'06'!$R$3:$R$100,"-")</f>
        <v/>
      </c>
      <c r="I252" s="68">
        <f>_xlfn.XLOOKUP($A252,'07'!$G$3:$G$100,'07'!$R$3:$R$100,"-")</f>
        <v/>
      </c>
      <c r="J252" s="68">
        <f>_xlfn.XLOOKUP($A252,'08'!$G$3:$G$100,'08'!$R$3:$R$100,"-")</f>
        <v/>
      </c>
      <c r="K252" s="68">
        <f>_xlfn.XLOOKUP($A252,'09'!$G$3:$G$100,'09'!$R$3:$R$100,"-")</f>
        <v/>
      </c>
      <c r="L252" s="68">
        <f>_xlfn.XLOOKUP($A252,'10'!$G$3:$G$100,'10'!$R$3:$R$100,"-")</f>
        <v/>
      </c>
      <c r="M252" s="68">
        <f>_xlfn.XLOOKUP($A252,'11'!$G$3:$G$100,'11'!$R$3:$R$100,"-")</f>
        <v/>
      </c>
      <c r="N252" s="68">
        <f>_xlfn.XLOOKUP($A252,'12'!$G$3:$G$100,'12'!$R$3:$R$100,"-")</f>
        <v/>
      </c>
      <c r="O252" s="79">
        <f>SUM(C252:N252)</f>
        <v/>
      </c>
      <c r="P252" s="74" t="n"/>
      <c r="Q252" s="82" t="n">
        <v>250</v>
      </c>
      <c r="R252" s="38" t="n"/>
      <c r="S252" s="61" t="n">
        <v>0</v>
      </c>
      <c r="T252" s="68" t="n">
        <v>0</v>
      </c>
      <c r="U252" s="68" t="n">
        <v>0</v>
      </c>
      <c r="V252" s="68" t="n">
        <v>0</v>
      </c>
      <c r="W252" s="68" t="n">
        <v>0</v>
      </c>
      <c r="X252" s="68" t="n">
        <v>0</v>
      </c>
      <c r="Y252" s="68" t="n">
        <v>0</v>
      </c>
      <c r="Z252" s="68" t="n">
        <v>0</v>
      </c>
      <c r="AA252" s="68" t="n">
        <v>0</v>
      </c>
      <c r="AB252" s="68" t="n">
        <v>0</v>
      </c>
      <c r="AC252" s="68" t="n">
        <v>0</v>
      </c>
      <c r="AD252" s="68" t="n">
        <v>0</v>
      </c>
      <c r="AE252" s="68" t="n">
        <v>0</v>
      </c>
      <c r="AF252" s="79" t="n">
        <v>0</v>
      </c>
      <c r="AG252" s="74" t="n">
        <v>0</v>
      </c>
      <c r="AH252" s="82" t="n">
        <v>250</v>
      </c>
    </row>
    <row r="253" ht="18" customHeight="1">
      <c r="C253" s="68">
        <f>_xlfn.XLOOKUP($A253,'01'!$G$3:$G$100,'01'!$R$3:$R$100,"-")</f>
        <v/>
      </c>
      <c r="D253" s="68">
        <f>_xlfn.XLOOKUP($A253,'02'!$G$3:$G$100,'02'!$R$3:$R$100,"-")</f>
        <v/>
      </c>
      <c r="E253" s="68">
        <f>_xlfn.XLOOKUP($A253,'03'!$G$3:$G$100,'03'!$R$3:$R$100,"-")</f>
        <v/>
      </c>
      <c r="F253" s="68">
        <f>_xlfn.XLOOKUP($A253,'04'!$G$3:$G$100,'04'!$R$3:$R$100,"-")</f>
        <v/>
      </c>
      <c r="G253" s="68">
        <f>_xlfn.XLOOKUP($A253,'05'!$G$3:$G$100,'05'!$R$3:$R$100,"-")</f>
        <v/>
      </c>
      <c r="H253" s="68">
        <f>_xlfn.XLOOKUP($A253,'06'!$G$3:$G$100,'06'!$R$3:$R$100,"-")</f>
        <v/>
      </c>
      <c r="I253" s="68">
        <f>_xlfn.XLOOKUP($A253,'07'!$G$3:$G$100,'07'!$R$3:$R$100,"-")</f>
        <v/>
      </c>
      <c r="J253" s="68">
        <f>_xlfn.XLOOKUP($A253,'08'!$G$3:$G$100,'08'!$R$3:$R$100,"-")</f>
        <v/>
      </c>
      <c r="K253" s="68">
        <f>_xlfn.XLOOKUP($A253,'09'!$G$3:$G$100,'09'!$R$3:$R$100,"-")</f>
        <v/>
      </c>
      <c r="L253" s="68">
        <f>_xlfn.XLOOKUP($A253,'10'!$G$3:$G$100,'10'!$R$3:$R$100,"-")</f>
        <v/>
      </c>
      <c r="M253" s="68">
        <f>_xlfn.XLOOKUP($A253,'11'!$G$3:$G$100,'11'!$R$3:$R$100,"-")</f>
        <v/>
      </c>
      <c r="N253" s="68">
        <f>_xlfn.XLOOKUP($A253,'12'!$G$3:$G$100,'12'!$R$3:$R$100,"-")</f>
        <v/>
      </c>
      <c r="O253" s="79">
        <f>SUM(C253:N253)</f>
        <v/>
      </c>
      <c r="P253" s="74" t="n"/>
      <c r="Q253" s="82" t="n">
        <v>251</v>
      </c>
      <c r="R253" s="38" t="n"/>
      <c r="S253" s="61" t="n">
        <v>0</v>
      </c>
      <c r="T253" s="68" t="n">
        <v>0</v>
      </c>
      <c r="U253" s="68" t="n">
        <v>0</v>
      </c>
      <c r="V253" s="68" t="n">
        <v>0</v>
      </c>
      <c r="W253" s="68" t="n">
        <v>0</v>
      </c>
      <c r="X253" s="68" t="n">
        <v>0</v>
      </c>
      <c r="Y253" s="68" t="n">
        <v>0</v>
      </c>
      <c r="Z253" s="68" t="n">
        <v>0</v>
      </c>
      <c r="AA253" s="68" t="n">
        <v>0</v>
      </c>
      <c r="AB253" s="68" t="n">
        <v>0</v>
      </c>
      <c r="AC253" s="68" t="n">
        <v>0</v>
      </c>
      <c r="AD253" s="68" t="n">
        <v>0</v>
      </c>
      <c r="AE253" s="68" t="n">
        <v>0</v>
      </c>
      <c r="AF253" s="79" t="n">
        <v>0</v>
      </c>
      <c r="AG253" s="74" t="n">
        <v>0</v>
      </c>
      <c r="AH253" s="82" t="n">
        <v>251</v>
      </c>
    </row>
    <row r="254" ht="18" customHeight="1">
      <c r="C254" s="68">
        <f>_xlfn.XLOOKUP($A254,'01'!$G$3:$G$100,'01'!$R$3:$R$100,"-")</f>
        <v/>
      </c>
      <c r="D254" s="68">
        <f>_xlfn.XLOOKUP($A254,'02'!$G$3:$G$100,'02'!$R$3:$R$100,"-")</f>
        <v/>
      </c>
      <c r="E254" s="68">
        <f>_xlfn.XLOOKUP($A254,'03'!$G$3:$G$100,'03'!$R$3:$R$100,"-")</f>
        <v/>
      </c>
      <c r="F254" s="68">
        <f>_xlfn.XLOOKUP($A254,'04'!$G$3:$G$100,'04'!$R$3:$R$100,"-")</f>
        <v/>
      </c>
      <c r="G254" s="68">
        <f>_xlfn.XLOOKUP($A254,'05'!$G$3:$G$100,'05'!$R$3:$R$100,"-")</f>
        <v/>
      </c>
      <c r="H254" s="68">
        <f>_xlfn.XLOOKUP($A254,'06'!$G$3:$G$100,'06'!$R$3:$R$100,"-")</f>
        <v/>
      </c>
      <c r="I254" s="68">
        <f>_xlfn.XLOOKUP($A254,'07'!$G$3:$G$100,'07'!$R$3:$R$100,"-")</f>
        <v/>
      </c>
      <c r="J254" s="68">
        <f>_xlfn.XLOOKUP($A254,'08'!$G$3:$G$100,'08'!$R$3:$R$100,"-")</f>
        <v/>
      </c>
      <c r="K254" s="68">
        <f>_xlfn.XLOOKUP($A254,'09'!$G$3:$G$100,'09'!$R$3:$R$100,"-")</f>
        <v/>
      </c>
      <c r="L254" s="68">
        <f>_xlfn.XLOOKUP($A254,'10'!$G$3:$G$100,'10'!$R$3:$R$100,"-")</f>
        <v/>
      </c>
      <c r="M254" s="68">
        <f>_xlfn.XLOOKUP($A254,'11'!$G$3:$G$100,'11'!$R$3:$R$100,"-")</f>
        <v/>
      </c>
      <c r="N254" s="68">
        <f>_xlfn.XLOOKUP($A254,'12'!$G$3:$G$100,'12'!$R$3:$R$100,"-")</f>
        <v/>
      </c>
      <c r="O254" s="79">
        <f>SUM(C254:N254)</f>
        <v/>
      </c>
      <c r="P254" s="74" t="n"/>
      <c r="Q254" s="82" t="n">
        <v>252</v>
      </c>
      <c r="R254" s="38" t="n"/>
      <c r="S254" s="61" t="n">
        <v>0</v>
      </c>
      <c r="T254" s="68" t="n">
        <v>0</v>
      </c>
      <c r="U254" s="68" t="n">
        <v>0</v>
      </c>
      <c r="V254" s="68" t="n">
        <v>0</v>
      </c>
      <c r="W254" s="68" t="n">
        <v>0</v>
      </c>
      <c r="X254" s="68" t="n">
        <v>0</v>
      </c>
      <c r="Y254" s="68" t="n">
        <v>0</v>
      </c>
      <c r="Z254" s="68" t="n">
        <v>0</v>
      </c>
      <c r="AA254" s="68" t="n">
        <v>0</v>
      </c>
      <c r="AB254" s="68" t="n">
        <v>0</v>
      </c>
      <c r="AC254" s="68" t="n">
        <v>0</v>
      </c>
      <c r="AD254" s="68" t="n">
        <v>0</v>
      </c>
      <c r="AE254" s="68" t="n">
        <v>0</v>
      </c>
      <c r="AF254" s="79" t="n">
        <v>0</v>
      </c>
      <c r="AG254" s="74" t="n">
        <v>0</v>
      </c>
      <c r="AH254" s="82" t="n">
        <v>252</v>
      </c>
    </row>
    <row r="255" ht="18" customHeight="1">
      <c r="C255" s="68">
        <f>_xlfn.XLOOKUP($A255,'01'!$G$3:$G$100,'01'!$R$3:$R$100,"-")</f>
        <v/>
      </c>
      <c r="D255" s="68">
        <f>_xlfn.XLOOKUP($A255,'02'!$G$3:$G$100,'02'!$R$3:$R$100,"-")</f>
        <v/>
      </c>
      <c r="E255" s="68">
        <f>_xlfn.XLOOKUP($A255,'03'!$G$3:$G$100,'03'!$R$3:$R$100,"-")</f>
        <v/>
      </c>
      <c r="F255" s="68">
        <f>_xlfn.XLOOKUP($A255,'04'!$G$3:$G$100,'04'!$R$3:$R$100,"-")</f>
        <v/>
      </c>
      <c r="G255" s="68">
        <f>_xlfn.XLOOKUP($A255,'05'!$G$3:$G$100,'05'!$R$3:$R$100,"-")</f>
        <v/>
      </c>
      <c r="H255" s="68">
        <f>_xlfn.XLOOKUP($A255,'06'!$G$3:$G$100,'06'!$R$3:$R$100,"-")</f>
        <v/>
      </c>
      <c r="I255" s="68">
        <f>_xlfn.XLOOKUP($A255,'07'!$G$3:$G$100,'07'!$R$3:$R$100,"-")</f>
        <v/>
      </c>
      <c r="J255" s="68">
        <f>_xlfn.XLOOKUP($A255,'08'!$G$3:$G$100,'08'!$R$3:$R$100,"-")</f>
        <v/>
      </c>
      <c r="K255" s="68">
        <f>_xlfn.XLOOKUP($A255,'09'!$G$3:$G$100,'09'!$R$3:$R$100,"-")</f>
        <v/>
      </c>
      <c r="L255" s="68">
        <f>_xlfn.XLOOKUP($A255,'10'!$G$3:$G$100,'10'!$R$3:$R$100,"-")</f>
        <v/>
      </c>
      <c r="M255" s="68">
        <f>_xlfn.XLOOKUP($A255,'11'!$G$3:$G$100,'11'!$R$3:$R$100,"-")</f>
        <v/>
      </c>
      <c r="N255" s="68">
        <f>_xlfn.XLOOKUP($A255,'12'!$G$3:$G$100,'12'!$R$3:$R$100,"-")</f>
        <v/>
      </c>
      <c r="O255" s="79">
        <f>SUM(C255:N255)</f>
        <v/>
      </c>
      <c r="P255" s="74" t="n"/>
      <c r="Q255" s="82" t="n">
        <v>253</v>
      </c>
      <c r="R255" s="38" t="n"/>
      <c r="S255" s="61" t="n">
        <v>0</v>
      </c>
      <c r="T255" s="68" t="n">
        <v>0</v>
      </c>
      <c r="U255" s="68" t="n">
        <v>0</v>
      </c>
      <c r="V255" s="68" t="n">
        <v>0</v>
      </c>
      <c r="W255" s="68" t="n">
        <v>0</v>
      </c>
      <c r="X255" s="68" t="n">
        <v>0</v>
      </c>
      <c r="Y255" s="68" t="n">
        <v>0</v>
      </c>
      <c r="Z255" s="68" t="n">
        <v>0</v>
      </c>
      <c r="AA255" s="68" t="n">
        <v>0</v>
      </c>
      <c r="AB255" s="68" t="n">
        <v>0</v>
      </c>
      <c r="AC255" s="68" t="n">
        <v>0</v>
      </c>
      <c r="AD255" s="68" t="n">
        <v>0</v>
      </c>
      <c r="AE255" s="68" t="n">
        <v>0</v>
      </c>
      <c r="AF255" s="79" t="n">
        <v>0</v>
      </c>
      <c r="AG255" s="74" t="n">
        <v>0</v>
      </c>
      <c r="AH255" s="82" t="n">
        <v>253</v>
      </c>
    </row>
    <row r="256" ht="18" customHeight="1">
      <c r="C256" s="68">
        <f>_xlfn.XLOOKUP($A256,'01'!$G$3:$G$100,'01'!$R$3:$R$100,"-")</f>
        <v/>
      </c>
      <c r="D256" s="68">
        <f>_xlfn.XLOOKUP($A256,'02'!$G$3:$G$100,'02'!$R$3:$R$100,"-")</f>
        <v/>
      </c>
      <c r="E256" s="68">
        <f>_xlfn.XLOOKUP($A256,'03'!$G$3:$G$100,'03'!$R$3:$R$100,"-")</f>
        <v/>
      </c>
      <c r="F256" s="68">
        <f>_xlfn.XLOOKUP($A256,'04'!$G$3:$G$100,'04'!$R$3:$R$100,"-")</f>
        <v/>
      </c>
      <c r="G256" s="68">
        <f>_xlfn.XLOOKUP($A256,'05'!$G$3:$G$100,'05'!$R$3:$R$100,"-")</f>
        <v/>
      </c>
      <c r="H256" s="68">
        <f>_xlfn.XLOOKUP($A256,'06'!$G$3:$G$100,'06'!$R$3:$R$100,"-")</f>
        <v/>
      </c>
      <c r="I256" s="68">
        <f>_xlfn.XLOOKUP($A256,'07'!$G$3:$G$100,'07'!$R$3:$R$100,"-")</f>
        <v/>
      </c>
      <c r="J256" s="68">
        <f>_xlfn.XLOOKUP($A256,'08'!$G$3:$G$100,'08'!$R$3:$R$100,"-")</f>
        <v/>
      </c>
      <c r="K256" s="68">
        <f>_xlfn.XLOOKUP($A256,'09'!$G$3:$G$100,'09'!$R$3:$R$100,"-")</f>
        <v/>
      </c>
      <c r="L256" s="68">
        <f>_xlfn.XLOOKUP($A256,'10'!$G$3:$G$100,'10'!$R$3:$R$100,"-")</f>
        <v/>
      </c>
      <c r="M256" s="68">
        <f>_xlfn.XLOOKUP($A256,'11'!$G$3:$G$100,'11'!$R$3:$R$100,"-")</f>
        <v/>
      </c>
      <c r="N256" s="68">
        <f>_xlfn.XLOOKUP($A256,'12'!$G$3:$G$100,'12'!$R$3:$R$100,"-")</f>
        <v/>
      </c>
      <c r="O256" s="79">
        <f>SUM(C256:N256)</f>
        <v/>
      </c>
      <c r="P256" s="74" t="n"/>
      <c r="Q256" s="82" t="n">
        <v>254</v>
      </c>
      <c r="R256" s="38" t="n"/>
      <c r="S256" s="61" t="n">
        <v>0</v>
      </c>
      <c r="T256" s="68" t="n">
        <v>0</v>
      </c>
      <c r="U256" s="68" t="n">
        <v>0</v>
      </c>
      <c r="V256" s="68" t="n">
        <v>0</v>
      </c>
      <c r="W256" s="68" t="n">
        <v>0</v>
      </c>
      <c r="X256" s="68" t="n">
        <v>0</v>
      </c>
      <c r="Y256" s="68" t="n">
        <v>0</v>
      </c>
      <c r="Z256" s="68" t="n">
        <v>0</v>
      </c>
      <c r="AA256" s="68" t="n">
        <v>0</v>
      </c>
      <c r="AB256" s="68" t="n">
        <v>0</v>
      </c>
      <c r="AC256" s="68" t="n">
        <v>0</v>
      </c>
      <c r="AD256" s="68" t="n">
        <v>0</v>
      </c>
      <c r="AE256" s="68" t="n">
        <v>0</v>
      </c>
      <c r="AF256" s="79" t="n">
        <v>0</v>
      </c>
      <c r="AG256" s="74" t="n">
        <v>0</v>
      </c>
      <c r="AH256" s="82" t="n">
        <v>254</v>
      </c>
    </row>
    <row r="257" ht="18" customHeight="1">
      <c r="C257" s="68">
        <f>_xlfn.XLOOKUP($A257,'01'!$G$3:$G$100,'01'!$R$3:$R$100,"-")</f>
        <v/>
      </c>
      <c r="D257" s="68">
        <f>_xlfn.XLOOKUP($A257,'02'!$G$3:$G$100,'02'!$R$3:$R$100,"-")</f>
        <v/>
      </c>
      <c r="E257" s="68">
        <f>_xlfn.XLOOKUP($A257,'03'!$G$3:$G$100,'03'!$R$3:$R$100,"-")</f>
        <v/>
      </c>
      <c r="F257" s="68">
        <f>_xlfn.XLOOKUP($A257,'04'!$G$3:$G$100,'04'!$R$3:$R$100,"-")</f>
        <v/>
      </c>
      <c r="G257" s="68">
        <f>_xlfn.XLOOKUP($A257,'05'!$G$3:$G$100,'05'!$R$3:$R$100,"-")</f>
        <v/>
      </c>
      <c r="H257" s="68">
        <f>_xlfn.XLOOKUP($A257,'06'!$G$3:$G$100,'06'!$R$3:$R$100,"-")</f>
        <v/>
      </c>
      <c r="I257" s="68">
        <f>_xlfn.XLOOKUP($A257,'07'!$G$3:$G$100,'07'!$R$3:$R$100,"-")</f>
        <v/>
      </c>
      <c r="J257" s="68">
        <f>_xlfn.XLOOKUP($A257,'08'!$G$3:$G$100,'08'!$R$3:$R$100,"-")</f>
        <v/>
      </c>
      <c r="K257" s="68">
        <f>_xlfn.XLOOKUP($A257,'09'!$G$3:$G$100,'09'!$R$3:$R$100,"-")</f>
        <v/>
      </c>
      <c r="L257" s="68">
        <f>_xlfn.XLOOKUP($A257,'10'!$G$3:$G$100,'10'!$R$3:$R$100,"-")</f>
        <v/>
      </c>
      <c r="M257" s="68">
        <f>_xlfn.XLOOKUP($A257,'11'!$G$3:$G$100,'11'!$R$3:$R$100,"-")</f>
        <v/>
      </c>
      <c r="N257" s="68">
        <f>_xlfn.XLOOKUP($A257,'12'!$G$3:$G$100,'12'!$R$3:$R$100,"-")</f>
        <v/>
      </c>
      <c r="O257" s="79">
        <f>SUM(C257:N257)</f>
        <v/>
      </c>
      <c r="P257" s="74" t="n"/>
      <c r="Q257" s="83" t="n">
        <v>255</v>
      </c>
      <c r="R257" s="38" t="n"/>
      <c r="S257" s="61" t="n">
        <v>0</v>
      </c>
      <c r="T257" s="68" t="n">
        <v>0</v>
      </c>
      <c r="U257" s="68" t="n">
        <v>0</v>
      </c>
      <c r="V257" s="68" t="n">
        <v>0</v>
      </c>
      <c r="W257" s="68" t="n">
        <v>0</v>
      </c>
      <c r="X257" s="68" t="n">
        <v>0</v>
      </c>
      <c r="Y257" s="68" t="n">
        <v>0</v>
      </c>
      <c r="Z257" s="68" t="n">
        <v>0</v>
      </c>
      <c r="AA257" s="68" t="n">
        <v>0</v>
      </c>
      <c r="AB257" s="68" t="n">
        <v>0</v>
      </c>
      <c r="AC257" s="68" t="n">
        <v>0</v>
      </c>
      <c r="AD257" s="68" t="n">
        <v>0</v>
      </c>
      <c r="AE257" s="68" t="n">
        <v>0</v>
      </c>
      <c r="AF257" s="79" t="n">
        <v>0</v>
      </c>
      <c r="AG257" s="74" t="n">
        <v>0</v>
      </c>
      <c r="AH257" s="83" t="n">
        <v>255</v>
      </c>
    </row>
    <row r="258" ht="18" customHeight="1">
      <c r="C258" s="68">
        <f>_xlfn.XLOOKUP($A258,'01'!$G$3:$G$100,'01'!$R$3:$R$100,"-")</f>
        <v/>
      </c>
      <c r="D258" s="68">
        <f>_xlfn.XLOOKUP($A258,'02'!$G$3:$G$100,'02'!$R$3:$R$100,"-")</f>
        <v/>
      </c>
      <c r="E258" s="68">
        <f>_xlfn.XLOOKUP($A258,'03'!$G$3:$G$100,'03'!$R$3:$R$100,"-")</f>
        <v/>
      </c>
      <c r="F258" s="68">
        <f>_xlfn.XLOOKUP($A258,'04'!$G$3:$G$100,'04'!$R$3:$R$100,"-")</f>
        <v/>
      </c>
      <c r="G258" s="68">
        <f>_xlfn.XLOOKUP($A258,'05'!$G$3:$G$100,'05'!$R$3:$R$100,"-")</f>
        <v/>
      </c>
      <c r="H258" s="68">
        <f>_xlfn.XLOOKUP($A258,'06'!$G$3:$G$100,'06'!$R$3:$R$100,"-")</f>
        <v/>
      </c>
      <c r="I258" s="68">
        <f>_xlfn.XLOOKUP($A258,'07'!$G$3:$G$100,'07'!$R$3:$R$100,"-")</f>
        <v/>
      </c>
      <c r="J258" s="68">
        <f>_xlfn.XLOOKUP($A258,'08'!$G$3:$G$100,'08'!$R$3:$R$100,"-")</f>
        <v/>
      </c>
      <c r="K258" s="68">
        <f>_xlfn.XLOOKUP($A258,'09'!$G$3:$G$100,'09'!$R$3:$R$100,"-")</f>
        <v/>
      </c>
      <c r="L258" s="68">
        <f>_xlfn.XLOOKUP($A258,'10'!$G$3:$G$100,'10'!$R$3:$R$100,"-")</f>
        <v/>
      </c>
      <c r="M258" s="68">
        <f>_xlfn.XLOOKUP($A258,'11'!$G$3:$G$100,'11'!$R$3:$R$100,"-")</f>
        <v/>
      </c>
      <c r="N258" s="68">
        <f>_xlfn.XLOOKUP($A258,'12'!$G$3:$G$100,'12'!$R$3:$R$100,"-")</f>
        <v/>
      </c>
      <c r="O258" s="79">
        <f>SUM(C258:N258)</f>
        <v/>
      </c>
      <c r="P258" s="74" t="n"/>
      <c r="Q258" s="82" t="n">
        <v>256</v>
      </c>
      <c r="R258" s="38" t="n"/>
      <c r="S258" s="61" t="n">
        <v>0</v>
      </c>
      <c r="T258" s="68" t="n">
        <v>0</v>
      </c>
      <c r="U258" s="68" t="n">
        <v>0</v>
      </c>
      <c r="V258" s="68" t="n">
        <v>0</v>
      </c>
      <c r="W258" s="68" t="n">
        <v>0</v>
      </c>
      <c r="X258" s="68" t="n">
        <v>0</v>
      </c>
      <c r="Y258" s="68" t="n">
        <v>0</v>
      </c>
      <c r="Z258" s="68" t="n">
        <v>0</v>
      </c>
      <c r="AA258" s="68" t="n">
        <v>0</v>
      </c>
      <c r="AB258" s="68" t="n">
        <v>0</v>
      </c>
      <c r="AC258" s="68" t="n">
        <v>0</v>
      </c>
      <c r="AD258" s="68" t="n">
        <v>0</v>
      </c>
      <c r="AE258" s="68" t="n">
        <v>0</v>
      </c>
      <c r="AF258" s="79" t="n">
        <v>0</v>
      </c>
      <c r="AG258" s="74" t="n">
        <v>0</v>
      </c>
      <c r="AH258" s="82" t="n">
        <v>256</v>
      </c>
    </row>
    <row r="259" ht="18" customHeight="1">
      <c r="C259" s="68">
        <f>_xlfn.XLOOKUP($A259,'01'!$G$3:$G$100,'01'!$R$3:$R$100,"-")</f>
        <v/>
      </c>
      <c r="D259" s="68">
        <f>_xlfn.XLOOKUP($A259,'02'!$G$3:$G$100,'02'!$R$3:$R$100,"-")</f>
        <v/>
      </c>
      <c r="E259" s="68">
        <f>_xlfn.XLOOKUP($A259,'03'!$G$3:$G$100,'03'!$R$3:$R$100,"-")</f>
        <v/>
      </c>
      <c r="F259" s="68">
        <f>_xlfn.XLOOKUP($A259,'04'!$G$3:$G$100,'04'!$R$3:$R$100,"-")</f>
        <v/>
      </c>
      <c r="G259" s="68">
        <f>_xlfn.XLOOKUP($A259,'05'!$G$3:$G$100,'05'!$R$3:$R$100,"-")</f>
        <v/>
      </c>
      <c r="H259" s="68">
        <f>_xlfn.XLOOKUP($A259,'06'!$G$3:$G$100,'06'!$R$3:$R$100,"-")</f>
        <v/>
      </c>
      <c r="I259" s="68">
        <f>_xlfn.XLOOKUP($A259,'07'!$G$3:$G$100,'07'!$R$3:$R$100,"-")</f>
        <v/>
      </c>
      <c r="J259" s="68">
        <f>_xlfn.XLOOKUP($A259,'08'!$G$3:$G$100,'08'!$R$3:$R$100,"-")</f>
        <v/>
      </c>
      <c r="K259" s="68">
        <f>_xlfn.XLOOKUP($A259,'09'!$G$3:$G$100,'09'!$R$3:$R$100,"-")</f>
        <v/>
      </c>
      <c r="L259" s="68">
        <f>_xlfn.XLOOKUP($A259,'10'!$G$3:$G$100,'10'!$R$3:$R$100,"-")</f>
        <v/>
      </c>
      <c r="M259" s="68">
        <f>_xlfn.XLOOKUP($A259,'11'!$G$3:$G$100,'11'!$R$3:$R$100,"-")</f>
        <v/>
      </c>
      <c r="N259" s="68">
        <f>_xlfn.XLOOKUP($A259,'12'!$G$3:$G$100,'12'!$R$3:$R$100,"-")</f>
        <v/>
      </c>
      <c r="O259" s="79">
        <f>SUM(C259:N259)</f>
        <v/>
      </c>
      <c r="P259" s="74" t="n"/>
      <c r="Q259" s="82" t="n">
        <v>257</v>
      </c>
      <c r="R259" s="38" t="n"/>
      <c r="S259" s="61" t="n">
        <v>0</v>
      </c>
      <c r="T259" s="68" t="n">
        <v>0</v>
      </c>
      <c r="U259" s="68" t="n">
        <v>0</v>
      </c>
      <c r="V259" s="68" t="n">
        <v>0</v>
      </c>
      <c r="W259" s="68" t="n">
        <v>0</v>
      </c>
      <c r="X259" s="68" t="n">
        <v>0</v>
      </c>
      <c r="Y259" s="68" t="n">
        <v>0</v>
      </c>
      <c r="Z259" s="68" t="n">
        <v>0</v>
      </c>
      <c r="AA259" s="68" t="n">
        <v>0</v>
      </c>
      <c r="AB259" s="68" t="n">
        <v>0</v>
      </c>
      <c r="AC259" s="68" t="n">
        <v>0</v>
      </c>
      <c r="AD259" s="68" t="n">
        <v>0</v>
      </c>
      <c r="AE259" s="68" t="n">
        <v>0</v>
      </c>
      <c r="AF259" s="79" t="n">
        <v>0</v>
      </c>
      <c r="AG259" s="74" t="n">
        <v>0</v>
      </c>
      <c r="AH259" s="82" t="n">
        <v>257</v>
      </c>
    </row>
    <row r="260" ht="18" customHeight="1">
      <c r="C260" s="68">
        <f>_xlfn.XLOOKUP($A260,'01'!$G$3:$G$100,'01'!$R$3:$R$100,"-")</f>
        <v/>
      </c>
      <c r="D260" s="68">
        <f>_xlfn.XLOOKUP($A260,'02'!$G$3:$G$100,'02'!$R$3:$R$100,"-")</f>
        <v/>
      </c>
      <c r="E260" s="68">
        <f>_xlfn.XLOOKUP($A260,'03'!$G$3:$G$100,'03'!$R$3:$R$100,"-")</f>
        <v/>
      </c>
      <c r="F260" s="68">
        <f>_xlfn.XLOOKUP($A260,'04'!$G$3:$G$100,'04'!$R$3:$R$100,"-")</f>
        <v/>
      </c>
      <c r="G260" s="68">
        <f>_xlfn.XLOOKUP($A260,'05'!$G$3:$G$100,'05'!$R$3:$R$100,"-")</f>
        <v/>
      </c>
      <c r="H260" s="68">
        <f>_xlfn.XLOOKUP($A260,'06'!$G$3:$G$100,'06'!$R$3:$R$100,"-")</f>
        <v/>
      </c>
      <c r="I260" s="68">
        <f>_xlfn.XLOOKUP($A260,'07'!$G$3:$G$100,'07'!$R$3:$R$100,"-")</f>
        <v/>
      </c>
      <c r="J260" s="68">
        <f>_xlfn.XLOOKUP($A260,'08'!$G$3:$G$100,'08'!$R$3:$R$100,"-")</f>
        <v/>
      </c>
      <c r="K260" s="68">
        <f>_xlfn.XLOOKUP($A260,'09'!$G$3:$G$100,'09'!$R$3:$R$100,"-")</f>
        <v/>
      </c>
      <c r="L260" s="68">
        <f>_xlfn.XLOOKUP($A260,'10'!$G$3:$G$100,'10'!$R$3:$R$100,"-")</f>
        <v/>
      </c>
      <c r="M260" s="68">
        <f>_xlfn.XLOOKUP($A260,'11'!$G$3:$G$100,'11'!$R$3:$R$100,"-")</f>
        <v/>
      </c>
      <c r="N260" s="68">
        <f>_xlfn.XLOOKUP($A260,'12'!$G$3:$G$100,'12'!$R$3:$R$100,"-")</f>
        <v/>
      </c>
      <c r="O260" s="79">
        <f>SUM(C260:N260)</f>
        <v/>
      </c>
      <c r="P260" s="74" t="n"/>
      <c r="Q260" s="82" t="n">
        <v>258</v>
      </c>
      <c r="R260" s="38" t="n"/>
      <c r="S260" s="61" t="n">
        <v>0</v>
      </c>
      <c r="T260" s="68" t="n">
        <v>0</v>
      </c>
      <c r="U260" s="68" t="n">
        <v>0</v>
      </c>
      <c r="V260" s="68" t="n">
        <v>0</v>
      </c>
      <c r="W260" s="68" t="n">
        <v>0</v>
      </c>
      <c r="X260" s="68" t="n">
        <v>0</v>
      </c>
      <c r="Y260" s="68" t="n">
        <v>0</v>
      </c>
      <c r="Z260" s="68" t="n">
        <v>0</v>
      </c>
      <c r="AA260" s="68" t="n">
        <v>0</v>
      </c>
      <c r="AB260" s="68" t="n">
        <v>0</v>
      </c>
      <c r="AC260" s="68" t="n">
        <v>0</v>
      </c>
      <c r="AD260" s="68" t="n">
        <v>0</v>
      </c>
      <c r="AE260" s="68" t="n">
        <v>0</v>
      </c>
      <c r="AF260" s="79" t="n">
        <v>0</v>
      </c>
      <c r="AG260" s="74" t="n">
        <v>0</v>
      </c>
      <c r="AH260" s="82" t="n">
        <v>258</v>
      </c>
    </row>
    <row r="261" ht="18" customHeight="1">
      <c r="C261" s="68">
        <f>_xlfn.XLOOKUP($A261,'01'!$G$3:$G$100,'01'!$R$3:$R$100,"-")</f>
        <v/>
      </c>
      <c r="D261" s="68">
        <f>_xlfn.XLOOKUP($A261,'02'!$G$3:$G$100,'02'!$R$3:$R$100,"-")</f>
        <v/>
      </c>
      <c r="E261" s="68">
        <f>_xlfn.XLOOKUP($A261,'03'!$G$3:$G$100,'03'!$R$3:$R$100,"-")</f>
        <v/>
      </c>
      <c r="F261" s="68">
        <f>_xlfn.XLOOKUP($A261,'04'!$G$3:$G$100,'04'!$R$3:$R$100,"-")</f>
        <v/>
      </c>
      <c r="G261" s="68">
        <f>_xlfn.XLOOKUP($A261,'05'!$G$3:$G$100,'05'!$R$3:$R$100,"-")</f>
        <v/>
      </c>
      <c r="H261" s="68">
        <f>_xlfn.XLOOKUP($A261,'06'!$G$3:$G$100,'06'!$R$3:$R$100,"-")</f>
        <v/>
      </c>
      <c r="I261" s="68">
        <f>_xlfn.XLOOKUP($A261,'07'!$G$3:$G$100,'07'!$R$3:$R$100,"-")</f>
        <v/>
      </c>
      <c r="J261" s="68">
        <f>_xlfn.XLOOKUP($A261,'08'!$G$3:$G$100,'08'!$R$3:$R$100,"-")</f>
        <v/>
      </c>
      <c r="K261" s="68">
        <f>_xlfn.XLOOKUP($A261,'09'!$G$3:$G$100,'09'!$R$3:$R$100,"-")</f>
        <v/>
      </c>
      <c r="L261" s="68">
        <f>_xlfn.XLOOKUP($A261,'10'!$G$3:$G$100,'10'!$R$3:$R$100,"-")</f>
        <v/>
      </c>
      <c r="M261" s="68">
        <f>_xlfn.XLOOKUP($A261,'11'!$G$3:$G$100,'11'!$R$3:$R$100,"-")</f>
        <v/>
      </c>
      <c r="N261" s="68">
        <f>_xlfn.XLOOKUP($A261,'12'!$G$3:$G$100,'12'!$R$3:$R$100,"-")</f>
        <v/>
      </c>
      <c r="O261" s="79">
        <f>SUM(C261:N261)</f>
        <v/>
      </c>
      <c r="P261" s="74" t="n"/>
      <c r="Q261" s="82" t="n">
        <v>259</v>
      </c>
      <c r="R261" s="38" t="n"/>
      <c r="S261" s="61" t="n">
        <v>0</v>
      </c>
      <c r="T261" s="68" t="n">
        <v>0</v>
      </c>
      <c r="U261" s="68" t="n">
        <v>0</v>
      </c>
      <c r="V261" s="68" t="n">
        <v>0</v>
      </c>
      <c r="W261" s="68" t="n">
        <v>0</v>
      </c>
      <c r="X261" s="68" t="n">
        <v>0</v>
      </c>
      <c r="Y261" s="68" t="n">
        <v>0</v>
      </c>
      <c r="Z261" s="68" t="n">
        <v>0</v>
      </c>
      <c r="AA261" s="68" t="n">
        <v>0</v>
      </c>
      <c r="AB261" s="68" t="n">
        <v>0</v>
      </c>
      <c r="AC261" s="68" t="n">
        <v>0</v>
      </c>
      <c r="AD261" s="68" t="n">
        <v>0</v>
      </c>
      <c r="AE261" s="68" t="n">
        <v>0</v>
      </c>
      <c r="AF261" s="79" t="n">
        <v>0</v>
      </c>
      <c r="AG261" s="74" t="n">
        <v>0</v>
      </c>
      <c r="AH261" s="82" t="n">
        <v>259</v>
      </c>
    </row>
    <row r="262" ht="18" customHeight="1">
      <c r="C262" s="68">
        <f>_xlfn.XLOOKUP($A262,'01'!$G$3:$G$100,'01'!$R$3:$R$100,"-")</f>
        <v/>
      </c>
      <c r="D262" s="68">
        <f>_xlfn.XLOOKUP($A262,'02'!$G$3:$G$100,'02'!$R$3:$R$100,"-")</f>
        <v/>
      </c>
      <c r="E262" s="68">
        <f>_xlfn.XLOOKUP($A262,'03'!$G$3:$G$100,'03'!$R$3:$R$100,"-")</f>
        <v/>
      </c>
      <c r="F262" s="68">
        <f>_xlfn.XLOOKUP($A262,'04'!$G$3:$G$100,'04'!$R$3:$R$100,"-")</f>
        <v/>
      </c>
      <c r="G262" s="68">
        <f>_xlfn.XLOOKUP($A262,'05'!$G$3:$G$100,'05'!$R$3:$R$100,"-")</f>
        <v/>
      </c>
      <c r="H262" s="68">
        <f>_xlfn.XLOOKUP($A262,'06'!$G$3:$G$100,'06'!$R$3:$R$100,"-")</f>
        <v/>
      </c>
      <c r="I262" s="68">
        <f>_xlfn.XLOOKUP($A262,'07'!$G$3:$G$100,'07'!$R$3:$R$100,"-")</f>
        <v/>
      </c>
      <c r="J262" s="68">
        <f>_xlfn.XLOOKUP($A262,'08'!$G$3:$G$100,'08'!$R$3:$R$100,"-")</f>
        <v/>
      </c>
      <c r="K262" s="68">
        <f>_xlfn.XLOOKUP($A262,'09'!$G$3:$G$100,'09'!$R$3:$R$100,"-")</f>
        <v/>
      </c>
      <c r="L262" s="68">
        <f>_xlfn.XLOOKUP($A262,'10'!$G$3:$G$100,'10'!$R$3:$R$100,"-")</f>
        <v/>
      </c>
      <c r="M262" s="68">
        <f>_xlfn.XLOOKUP($A262,'11'!$G$3:$G$100,'11'!$R$3:$R$100,"-")</f>
        <v/>
      </c>
      <c r="N262" s="68">
        <f>_xlfn.XLOOKUP($A262,'12'!$G$3:$G$100,'12'!$R$3:$R$100,"-")</f>
        <v/>
      </c>
      <c r="O262" s="79">
        <f>SUM(C262:N262)</f>
        <v/>
      </c>
      <c r="P262" s="74" t="n"/>
      <c r="Q262" s="82" t="n">
        <v>260</v>
      </c>
      <c r="R262" s="38" t="n"/>
      <c r="S262" s="61" t="n">
        <v>0</v>
      </c>
      <c r="T262" s="68" t="n">
        <v>0</v>
      </c>
      <c r="U262" s="68" t="n">
        <v>0</v>
      </c>
      <c r="V262" s="68" t="n">
        <v>0</v>
      </c>
      <c r="W262" s="68" t="n">
        <v>0</v>
      </c>
      <c r="X262" s="68" t="n">
        <v>0</v>
      </c>
      <c r="Y262" s="68" t="n">
        <v>0</v>
      </c>
      <c r="Z262" s="68" t="n">
        <v>0</v>
      </c>
      <c r="AA262" s="68" t="n">
        <v>0</v>
      </c>
      <c r="AB262" s="68" t="n">
        <v>0</v>
      </c>
      <c r="AC262" s="68" t="n">
        <v>0</v>
      </c>
      <c r="AD262" s="68" t="n">
        <v>0</v>
      </c>
      <c r="AE262" s="68" t="n">
        <v>0</v>
      </c>
      <c r="AF262" s="79" t="n">
        <v>0</v>
      </c>
      <c r="AG262" s="74" t="n">
        <v>0</v>
      </c>
      <c r="AH262" s="82" t="n">
        <v>260</v>
      </c>
    </row>
    <row r="263" ht="18" customHeight="1">
      <c r="C263" s="68">
        <f>_xlfn.XLOOKUP($A263,'01'!$G$3:$G$100,'01'!$R$3:$R$100,"-")</f>
        <v/>
      </c>
      <c r="D263" s="68">
        <f>_xlfn.XLOOKUP($A263,'02'!$G$3:$G$100,'02'!$R$3:$R$100,"-")</f>
        <v/>
      </c>
      <c r="E263" s="68">
        <f>_xlfn.XLOOKUP($A263,'03'!$G$3:$G$100,'03'!$R$3:$R$100,"-")</f>
        <v/>
      </c>
      <c r="F263" s="68">
        <f>_xlfn.XLOOKUP($A263,'04'!$G$3:$G$100,'04'!$R$3:$R$100,"-")</f>
        <v/>
      </c>
      <c r="G263" s="68">
        <f>_xlfn.XLOOKUP($A263,'05'!$G$3:$G$100,'05'!$R$3:$R$100,"-")</f>
        <v/>
      </c>
      <c r="H263" s="68">
        <f>_xlfn.XLOOKUP($A263,'06'!$G$3:$G$100,'06'!$R$3:$R$100,"-")</f>
        <v/>
      </c>
      <c r="I263" s="68">
        <f>_xlfn.XLOOKUP($A263,'07'!$G$3:$G$100,'07'!$R$3:$R$100,"-")</f>
        <v/>
      </c>
      <c r="J263" s="68">
        <f>_xlfn.XLOOKUP($A263,'08'!$G$3:$G$100,'08'!$R$3:$R$100,"-")</f>
        <v/>
      </c>
      <c r="K263" s="68">
        <f>_xlfn.XLOOKUP($A263,'09'!$G$3:$G$100,'09'!$R$3:$R$100,"-")</f>
        <v/>
      </c>
      <c r="L263" s="68">
        <f>_xlfn.XLOOKUP($A263,'10'!$G$3:$G$100,'10'!$R$3:$R$100,"-")</f>
        <v/>
      </c>
      <c r="M263" s="68">
        <f>_xlfn.XLOOKUP($A263,'11'!$G$3:$G$100,'11'!$R$3:$R$100,"-")</f>
        <v/>
      </c>
      <c r="N263" s="68">
        <f>_xlfn.XLOOKUP($A263,'12'!$G$3:$G$100,'12'!$R$3:$R$100,"-")</f>
        <v/>
      </c>
      <c r="O263" s="79">
        <f>SUM(C263:N263)</f>
        <v/>
      </c>
      <c r="P263" s="74" t="n"/>
      <c r="Q263" s="82" t="n">
        <v>261</v>
      </c>
      <c r="R263" s="38" t="n"/>
      <c r="S263" s="61" t="n">
        <v>0</v>
      </c>
      <c r="T263" s="68" t="n">
        <v>0</v>
      </c>
      <c r="U263" s="68" t="n">
        <v>0</v>
      </c>
      <c r="V263" s="68" t="n">
        <v>0</v>
      </c>
      <c r="W263" s="68" t="n">
        <v>0</v>
      </c>
      <c r="X263" s="68" t="n">
        <v>0</v>
      </c>
      <c r="Y263" s="68" t="n">
        <v>0</v>
      </c>
      <c r="Z263" s="68" t="n">
        <v>0</v>
      </c>
      <c r="AA263" s="68" t="n">
        <v>0</v>
      </c>
      <c r="AB263" s="68" t="n">
        <v>0</v>
      </c>
      <c r="AC263" s="68" t="n">
        <v>0</v>
      </c>
      <c r="AD263" s="68" t="n">
        <v>0</v>
      </c>
      <c r="AE263" s="68" t="n">
        <v>0</v>
      </c>
      <c r="AF263" s="79" t="n">
        <v>0</v>
      </c>
      <c r="AG263" s="74" t="n">
        <v>0</v>
      </c>
      <c r="AH263" s="82" t="n">
        <v>261</v>
      </c>
    </row>
    <row r="264" ht="18" customHeight="1">
      <c r="C264" s="68">
        <f>_xlfn.XLOOKUP($A264,'01'!$G$3:$G$100,'01'!$R$3:$R$100,"-")</f>
        <v/>
      </c>
      <c r="D264" s="68">
        <f>_xlfn.XLOOKUP($A264,'02'!$G$3:$G$100,'02'!$R$3:$R$100,"-")</f>
        <v/>
      </c>
      <c r="E264" s="68">
        <f>_xlfn.XLOOKUP($A264,'03'!$G$3:$G$100,'03'!$R$3:$R$100,"-")</f>
        <v/>
      </c>
      <c r="F264" s="68">
        <f>_xlfn.XLOOKUP($A264,'04'!$G$3:$G$100,'04'!$R$3:$R$100,"-")</f>
        <v/>
      </c>
      <c r="G264" s="68">
        <f>_xlfn.XLOOKUP($A264,'05'!$G$3:$G$100,'05'!$R$3:$R$100,"-")</f>
        <v/>
      </c>
      <c r="H264" s="68">
        <f>_xlfn.XLOOKUP($A264,'06'!$G$3:$G$100,'06'!$R$3:$R$100,"-")</f>
        <v/>
      </c>
      <c r="I264" s="68">
        <f>_xlfn.XLOOKUP($A264,'07'!$G$3:$G$100,'07'!$R$3:$R$100,"-")</f>
        <v/>
      </c>
      <c r="J264" s="68">
        <f>_xlfn.XLOOKUP($A264,'08'!$G$3:$G$100,'08'!$R$3:$R$100,"-")</f>
        <v/>
      </c>
      <c r="K264" s="68">
        <f>_xlfn.XLOOKUP($A264,'09'!$G$3:$G$100,'09'!$R$3:$R$100,"-")</f>
        <v/>
      </c>
      <c r="L264" s="68">
        <f>_xlfn.XLOOKUP($A264,'10'!$G$3:$G$100,'10'!$R$3:$R$100,"-")</f>
        <v/>
      </c>
      <c r="M264" s="68">
        <f>_xlfn.XLOOKUP($A264,'11'!$G$3:$G$100,'11'!$R$3:$R$100,"-")</f>
        <v/>
      </c>
      <c r="N264" s="68">
        <f>_xlfn.XLOOKUP($A264,'12'!$G$3:$G$100,'12'!$R$3:$R$100,"-")</f>
        <v/>
      </c>
      <c r="O264" s="79">
        <f>SUM(C264:N264)</f>
        <v/>
      </c>
      <c r="P264" s="74" t="n"/>
      <c r="Q264" s="82" t="n">
        <v>262</v>
      </c>
      <c r="R264" s="38" t="n"/>
      <c r="S264" s="61" t="n">
        <v>0</v>
      </c>
      <c r="T264" s="68" t="n">
        <v>0</v>
      </c>
      <c r="U264" s="68" t="n">
        <v>0</v>
      </c>
      <c r="V264" s="68" t="n">
        <v>0</v>
      </c>
      <c r="W264" s="68" t="n">
        <v>0</v>
      </c>
      <c r="X264" s="68" t="n">
        <v>0</v>
      </c>
      <c r="Y264" s="68" t="n">
        <v>0</v>
      </c>
      <c r="Z264" s="68" t="n">
        <v>0</v>
      </c>
      <c r="AA264" s="68" t="n">
        <v>0</v>
      </c>
      <c r="AB264" s="68" t="n">
        <v>0</v>
      </c>
      <c r="AC264" s="68" t="n">
        <v>0</v>
      </c>
      <c r="AD264" s="68" t="n">
        <v>0</v>
      </c>
      <c r="AE264" s="68" t="n">
        <v>0</v>
      </c>
      <c r="AF264" s="79" t="n">
        <v>0</v>
      </c>
      <c r="AG264" s="74" t="n">
        <v>0</v>
      </c>
      <c r="AH264" s="82" t="n">
        <v>262</v>
      </c>
    </row>
    <row r="265" ht="18" customHeight="1">
      <c r="C265" s="68">
        <f>_xlfn.XLOOKUP($A265,'01'!$G$3:$G$100,'01'!$R$3:$R$100,"-")</f>
        <v/>
      </c>
      <c r="D265" s="68">
        <f>_xlfn.XLOOKUP($A265,'02'!$G$3:$G$100,'02'!$R$3:$R$100,"-")</f>
        <v/>
      </c>
      <c r="E265" s="68">
        <f>_xlfn.XLOOKUP($A265,'03'!$G$3:$G$100,'03'!$R$3:$R$100,"-")</f>
        <v/>
      </c>
      <c r="F265" s="68">
        <f>_xlfn.XLOOKUP($A265,'04'!$G$3:$G$100,'04'!$R$3:$R$100,"-")</f>
        <v/>
      </c>
      <c r="G265" s="68">
        <f>_xlfn.XLOOKUP($A265,'05'!$G$3:$G$100,'05'!$R$3:$R$100,"-")</f>
        <v/>
      </c>
      <c r="H265" s="68">
        <f>_xlfn.XLOOKUP($A265,'06'!$G$3:$G$100,'06'!$R$3:$R$100,"-")</f>
        <v/>
      </c>
      <c r="I265" s="68">
        <f>_xlfn.XLOOKUP($A265,'07'!$G$3:$G$100,'07'!$R$3:$R$100,"-")</f>
        <v/>
      </c>
      <c r="J265" s="68">
        <f>_xlfn.XLOOKUP($A265,'08'!$G$3:$G$100,'08'!$R$3:$R$100,"-")</f>
        <v/>
      </c>
      <c r="K265" s="68">
        <f>_xlfn.XLOOKUP($A265,'09'!$G$3:$G$100,'09'!$R$3:$R$100,"-")</f>
        <v/>
      </c>
      <c r="L265" s="68">
        <f>_xlfn.XLOOKUP($A265,'10'!$G$3:$G$100,'10'!$R$3:$R$100,"-")</f>
        <v/>
      </c>
      <c r="M265" s="68">
        <f>_xlfn.XLOOKUP($A265,'11'!$G$3:$G$100,'11'!$R$3:$R$100,"-")</f>
        <v/>
      </c>
      <c r="N265" s="68">
        <f>_xlfn.XLOOKUP($A265,'12'!$G$3:$G$100,'12'!$R$3:$R$100,"-")</f>
        <v/>
      </c>
      <c r="O265" s="79">
        <f>SUM(C265:N265)</f>
        <v/>
      </c>
      <c r="P265" s="74" t="n"/>
      <c r="Q265" s="82" t="n">
        <v>263</v>
      </c>
      <c r="R265" s="38" t="n"/>
      <c r="S265" s="61" t="n">
        <v>0</v>
      </c>
      <c r="T265" s="68" t="n">
        <v>0</v>
      </c>
      <c r="U265" s="68" t="n">
        <v>0</v>
      </c>
      <c r="V265" s="68" t="n">
        <v>0</v>
      </c>
      <c r="W265" s="68" t="n">
        <v>0</v>
      </c>
      <c r="X265" s="68" t="n">
        <v>0</v>
      </c>
      <c r="Y265" s="68" t="n">
        <v>0</v>
      </c>
      <c r="Z265" s="68" t="n">
        <v>0</v>
      </c>
      <c r="AA265" s="68" t="n">
        <v>0</v>
      </c>
      <c r="AB265" s="68" t="n">
        <v>0</v>
      </c>
      <c r="AC265" s="68" t="n">
        <v>0</v>
      </c>
      <c r="AD265" s="68" t="n">
        <v>0</v>
      </c>
      <c r="AE265" s="68" t="n">
        <v>0</v>
      </c>
      <c r="AF265" s="79" t="n">
        <v>0</v>
      </c>
      <c r="AG265" s="74" t="n">
        <v>0</v>
      </c>
      <c r="AH265" s="82" t="n">
        <v>263</v>
      </c>
    </row>
    <row r="266" ht="18" customHeight="1">
      <c r="C266" s="68">
        <f>_xlfn.XLOOKUP($A266,'01'!$G$3:$G$100,'01'!$R$3:$R$100,"-")</f>
        <v/>
      </c>
      <c r="D266" s="68">
        <f>_xlfn.XLOOKUP($A266,'02'!$G$3:$G$100,'02'!$R$3:$R$100,"-")</f>
        <v/>
      </c>
      <c r="E266" s="68">
        <f>_xlfn.XLOOKUP($A266,'03'!$G$3:$G$100,'03'!$R$3:$R$100,"-")</f>
        <v/>
      </c>
      <c r="F266" s="68">
        <f>_xlfn.XLOOKUP($A266,'04'!$G$3:$G$100,'04'!$R$3:$R$100,"-")</f>
        <v/>
      </c>
      <c r="G266" s="68">
        <f>_xlfn.XLOOKUP($A266,'05'!$G$3:$G$100,'05'!$R$3:$R$100,"-")</f>
        <v/>
      </c>
      <c r="H266" s="68">
        <f>_xlfn.XLOOKUP($A266,'06'!$G$3:$G$100,'06'!$R$3:$R$100,"-")</f>
        <v/>
      </c>
      <c r="I266" s="68">
        <f>_xlfn.XLOOKUP($A266,'07'!$G$3:$G$100,'07'!$R$3:$R$100,"-")</f>
        <v/>
      </c>
      <c r="J266" s="68">
        <f>_xlfn.XLOOKUP($A266,'08'!$G$3:$G$100,'08'!$R$3:$R$100,"-")</f>
        <v/>
      </c>
      <c r="K266" s="68">
        <f>_xlfn.XLOOKUP($A266,'09'!$G$3:$G$100,'09'!$R$3:$R$100,"-")</f>
        <v/>
      </c>
      <c r="L266" s="68">
        <f>_xlfn.XLOOKUP($A266,'10'!$G$3:$G$100,'10'!$R$3:$R$100,"-")</f>
        <v/>
      </c>
      <c r="M266" s="68">
        <f>_xlfn.XLOOKUP($A266,'11'!$G$3:$G$100,'11'!$R$3:$R$100,"-")</f>
        <v/>
      </c>
      <c r="N266" s="68">
        <f>_xlfn.XLOOKUP($A266,'12'!$G$3:$G$100,'12'!$R$3:$R$100,"-")</f>
        <v/>
      </c>
      <c r="O266" s="79">
        <f>SUM(C266:N266)</f>
        <v/>
      </c>
      <c r="P266" s="74" t="n"/>
      <c r="Q266" s="82" t="n">
        <v>264</v>
      </c>
      <c r="R266" s="38" t="n"/>
      <c r="S266" s="61" t="n">
        <v>0</v>
      </c>
      <c r="T266" s="68" t="n">
        <v>0</v>
      </c>
      <c r="U266" s="68" t="n">
        <v>0</v>
      </c>
      <c r="V266" s="68" t="n">
        <v>0</v>
      </c>
      <c r="W266" s="68" t="n">
        <v>0</v>
      </c>
      <c r="X266" s="68" t="n">
        <v>0</v>
      </c>
      <c r="Y266" s="68" t="n">
        <v>0</v>
      </c>
      <c r="Z266" s="68" t="n">
        <v>0</v>
      </c>
      <c r="AA266" s="68" t="n">
        <v>0</v>
      </c>
      <c r="AB266" s="68" t="n">
        <v>0</v>
      </c>
      <c r="AC266" s="68" t="n">
        <v>0</v>
      </c>
      <c r="AD266" s="68" t="n">
        <v>0</v>
      </c>
      <c r="AE266" s="68" t="n">
        <v>0</v>
      </c>
      <c r="AF266" s="79" t="n">
        <v>0</v>
      </c>
      <c r="AG266" s="74" t="n">
        <v>0</v>
      </c>
      <c r="AH266" s="82" t="n">
        <v>264</v>
      </c>
    </row>
    <row r="267" ht="18" customHeight="1">
      <c r="C267" s="68">
        <f>_xlfn.XLOOKUP($A267,'01'!$G$3:$G$100,'01'!$R$3:$R$100,"-")</f>
        <v/>
      </c>
      <c r="D267" s="68">
        <f>_xlfn.XLOOKUP($A267,'02'!$G$3:$G$100,'02'!$R$3:$R$100,"-")</f>
        <v/>
      </c>
      <c r="E267" s="68">
        <f>_xlfn.XLOOKUP($A267,'03'!$G$3:$G$100,'03'!$R$3:$R$100,"-")</f>
        <v/>
      </c>
      <c r="F267" s="68">
        <f>_xlfn.XLOOKUP($A267,'04'!$G$3:$G$100,'04'!$R$3:$R$100,"-")</f>
        <v/>
      </c>
      <c r="G267" s="68">
        <f>_xlfn.XLOOKUP($A267,'05'!$G$3:$G$100,'05'!$R$3:$R$100,"-")</f>
        <v/>
      </c>
      <c r="H267" s="68">
        <f>_xlfn.XLOOKUP($A267,'06'!$G$3:$G$100,'06'!$R$3:$R$100,"-")</f>
        <v/>
      </c>
      <c r="I267" s="68">
        <f>_xlfn.XLOOKUP($A267,'07'!$G$3:$G$100,'07'!$R$3:$R$100,"-")</f>
        <v/>
      </c>
      <c r="J267" s="68">
        <f>_xlfn.XLOOKUP($A267,'08'!$G$3:$G$100,'08'!$R$3:$R$100,"-")</f>
        <v/>
      </c>
      <c r="K267" s="68">
        <f>_xlfn.XLOOKUP($A267,'09'!$G$3:$G$100,'09'!$R$3:$R$100,"-")</f>
        <v/>
      </c>
      <c r="L267" s="68">
        <f>_xlfn.XLOOKUP($A267,'10'!$G$3:$G$100,'10'!$R$3:$R$100,"-")</f>
        <v/>
      </c>
      <c r="M267" s="68">
        <f>_xlfn.XLOOKUP($A267,'11'!$G$3:$G$100,'11'!$R$3:$R$100,"-")</f>
        <v/>
      </c>
      <c r="N267" s="68">
        <f>_xlfn.XLOOKUP($A267,'12'!$G$3:$G$100,'12'!$R$3:$R$100,"-")</f>
        <v/>
      </c>
      <c r="O267" s="79">
        <f>SUM(C267:N267)</f>
        <v/>
      </c>
      <c r="P267" s="74" t="n"/>
      <c r="Q267" s="83" t="n">
        <v>265</v>
      </c>
      <c r="R267" s="38" t="n"/>
      <c r="S267" s="61" t="n">
        <v>0</v>
      </c>
      <c r="T267" s="68" t="n">
        <v>0</v>
      </c>
      <c r="U267" s="68" t="n">
        <v>0</v>
      </c>
      <c r="V267" s="68" t="n">
        <v>0</v>
      </c>
      <c r="W267" s="68" t="n">
        <v>0</v>
      </c>
      <c r="X267" s="68" t="n">
        <v>0</v>
      </c>
      <c r="Y267" s="68" t="n">
        <v>0</v>
      </c>
      <c r="Z267" s="68" t="n">
        <v>0</v>
      </c>
      <c r="AA267" s="68" t="n">
        <v>0</v>
      </c>
      <c r="AB267" s="68" t="n">
        <v>0</v>
      </c>
      <c r="AC267" s="68" t="n">
        <v>0</v>
      </c>
      <c r="AD267" s="68" t="n">
        <v>0</v>
      </c>
      <c r="AE267" s="68" t="n">
        <v>0</v>
      </c>
      <c r="AF267" s="79" t="n">
        <v>0</v>
      </c>
      <c r="AG267" s="74" t="n">
        <v>0</v>
      </c>
      <c r="AH267" s="83" t="n">
        <v>265</v>
      </c>
    </row>
    <row r="268" ht="18" customHeight="1">
      <c r="C268" s="68">
        <f>_xlfn.XLOOKUP($A268,'01'!$G$3:$G$100,'01'!$R$3:$R$100,"-")</f>
        <v/>
      </c>
      <c r="D268" s="68">
        <f>_xlfn.XLOOKUP($A268,'02'!$G$3:$G$100,'02'!$R$3:$R$100,"-")</f>
        <v/>
      </c>
      <c r="E268" s="68">
        <f>_xlfn.XLOOKUP($A268,'03'!$G$3:$G$100,'03'!$R$3:$R$100,"-")</f>
        <v/>
      </c>
      <c r="F268" s="68">
        <f>_xlfn.XLOOKUP($A268,'04'!$G$3:$G$100,'04'!$R$3:$R$100,"-")</f>
        <v/>
      </c>
      <c r="G268" s="68">
        <f>_xlfn.XLOOKUP($A268,'05'!$G$3:$G$100,'05'!$R$3:$R$100,"-")</f>
        <v/>
      </c>
      <c r="H268" s="68">
        <f>_xlfn.XLOOKUP($A268,'06'!$G$3:$G$100,'06'!$R$3:$R$100,"-")</f>
        <v/>
      </c>
      <c r="I268" s="68">
        <f>_xlfn.XLOOKUP($A268,'07'!$G$3:$G$100,'07'!$R$3:$R$100,"-")</f>
        <v/>
      </c>
      <c r="J268" s="68">
        <f>_xlfn.XLOOKUP($A268,'08'!$G$3:$G$100,'08'!$R$3:$R$100,"-")</f>
        <v/>
      </c>
      <c r="K268" s="68">
        <f>_xlfn.XLOOKUP($A268,'09'!$G$3:$G$100,'09'!$R$3:$R$100,"-")</f>
        <v/>
      </c>
      <c r="L268" s="68">
        <f>_xlfn.XLOOKUP($A268,'10'!$G$3:$G$100,'10'!$R$3:$R$100,"-")</f>
        <v/>
      </c>
      <c r="M268" s="68">
        <f>_xlfn.XLOOKUP($A268,'11'!$G$3:$G$100,'11'!$R$3:$R$100,"-")</f>
        <v/>
      </c>
      <c r="N268" s="68">
        <f>_xlfn.XLOOKUP($A268,'12'!$G$3:$G$100,'12'!$R$3:$R$100,"-")</f>
        <v/>
      </c>
      <c r="O268" s="79">
        <f>SUM(C268:N268)</f>
        <v/>
      </c>
      <c r="P268" s="74" t="n"/>
      <c r="Q268" s="82" t="n">
        <v>266</v>
      </c>
      <c r="R268" s="38" t="n"/>
      <c r="S268" s="61" t="n">
        <v>0</v>
      </c>
      <c r="T268" s="68" t="n">
        <v>0</v>
      </c>
      <c r="U268" s="68" t="n">
        <v>0</v>
      </c>
      <c r="V268" s="68" t="n">
        <v>0</v>
      </c>
      <c r="W268" s="68" t="n">
        <v>0</v>
      </c>
      <c r="X268" s="68" t="n">
        <v>0</v>
      </c>
      <c r="Y268" s="68" t="n">
        <v>0</v>
      </c>
      <c r="Z268" s="68" t="n">
        <v>0</v>
      </c>
      <c r="AA268" s="68" t="n">
        <v>0</v>
      </c>
      <c r="AB268" s="68" t="n">
        <v>0</v>
      </c>
      <c r="AC268" s="68" t="n">
        <v>0</v>
      </c>
      <c r="AD268" s="68" t="n">
        <v>0</v>
      </c>
      <c r="AE268" s="68" t="n">
        <v>0</v>
      </c>
      <c r="AF268" s="79" t="n">
        <v>0</v>
      </c>
      <c r="AG268" s="74" t="n">
        <v>0</v>
      </c>
      <c r="AH268" s="82" t="n">
        <v>266</v>
      </c>
    </row>
    <row r="269" ht="18" customHeight="1">
      <c r="C269" s="68">
        <f>_xlfn.XLOOKUP($A269,'01'!$G$3:$G$100,'01'!$R$3:$R$100,"-")</f>
        <v/>
      </c>
      <c r="D269" s="68">
        <f>_xlfn.XLOOKUP($A269,'02'!$G$3:$G$100,'02'!$R$3:$R$100,"-")</f>
        <v/>
      </c>
      <c r="E269" s="68">
        <f>_xlfn.XLOOKUP($A269,'03'!$G$3:$G$100,'03'!$R$3:$R$100,"-")</f>
        <v/>
      </c>
      <c r="F269" s="68">
        <f>_xlfn.XLOOKUP($A269,'04'!$G$3:$G$100,'04'!$R$3:$R$100,"-")</f>
        <v/>
      </c>
      <c r="G269" s="68">
        <f>_xlfn.XLOOKUP($A269,'05'!$G$3:$G$100,'05'!$R$3:$R$100,"-")</f>
        <v/>
      </c>
      <c r="H269" s="68">
        <f>_xlfn.XLOOKUP($A269,'06'!$G$3:$G$100,'06'!$R$3:$R$100,"-")</f>
        <v/>
      </c>
      <c r="I269" s="68">
        <f>_xlfn.XLOOKUP($A269,'07'!$G$3:$G$100,'07'!$R$3:$R$100,"-")</f>
        <v/>
      </c>
      <c r="J269" s="68">
        <f>_xlfn.XLOOKUP($A269,'08'!$G$3:$G$100,'08'!$R$3:$R$100,"-")</f>
        <v/>
      </c>
      <c r="K269" s="68">
        <f>_xlfn.XLOOKUP($A269,'09'!$G$3:$G$100,'09'!$R$3:$R$100,"-")</f>
        <v/>
      </c>
      <c r="L269" s="68">
        <f>_xlfn.XLOOKUP($A269,'10'!$G$3:$G$100,'10'!$R$3:$R$100,"-")</f>
        <v/>
      </c>
      <c r="M269" s="68">
        <f>_xlfn.XLOOKUP($A269,'11'!$G$3:$G$100,'11'!$R$3:$R$100,"-")</f>
        <v/>
      </c>
      <c r="N269" s="68">
        <f>_xlfn.XLOOKUP($A269,'12'!$G$3:$G$100,'12'!$R$3:$R$100,"-")</f>
        <v/>
      </c>
      <c r="O269" s="79">
        <f>SUM(C269:N269)</f>
        <v/>
      </c>
      <c r="P269" s="74" t="n"/>
      <c r="Q269" s="82" t="n">
        <v>267</v>
      </c>
      <c r="R269" s="38" t="n"/>
      <c r="S269" s="61" t="n">
        <v>0</v>
      </c>
      <c r="T269" s="68" t="n">
        <v>0</v>
      </c>
      <c r="U269" s="68" t="n">
        <v>0</v>
      </c>
      <c r="V269" s="68" t="n">
        <v>0</v>
      </c>
      <c r="W269" s="68" t="n">
        <v>0</v>
      </c>
      <c r="X269" s="68" t="n">
        <v>0</v>
      </c>
      <c r="Y269" s="68" t="n">
        <v>0</v>
      </c>
      <c r="Z269" s="68" t="n">
        <v>0</v>
      </c>
      <c r="AA269" s="68" t="n">
        <v>0</v>
      </c>
      <c r="AB269" s="68" t="n">
        <v>0</v>
      </c>
      <c r="AC269" s="68" t="n">
        <v>0</v>
      </c>
      <c r="AD269" s="68" t="n">
        <v>0</v>
      </c>
      <c r="AE269" s="68" t="n">
        <v>0</v>
      </c>
      <c r="AF269" s="79" t="n">
        <v>0</v>
      </c>
      <c r="AG269" s="74" t="n">
        <v>0</v>
      </c>
      <c r="AH269" s="82" t="n">
        <v>267</v>
      </c>
    </row>
    <row r="270" ht="18" customHeight="1">
      <c r="C270" s="68">
        <f>_xlfn.XLOOKUP($A270,'01'!$G$3:$G$100,'01'!$R$3:$R$100,"-")</f>
        <v/>
      </c>
      <c r="D270" s="68">
        <f>_xlfn.XLOOKUP($A270,'02'!$G$3:$G$100,'02'!$R$3:$R$100,"-")</f>
        <v/>
      </c>
      <c r="E270" s="68">
        <f>_xlfn.XLOOKUP($A270,'03'!$G$3:$G$100,'03'!$R$3:$R$100,"-")</f>
        <v/>
      </c>
      <c r="F270" s="68">
        <f>_xlfn.XLOOKUP($A270,'04'!$G$3:$G$100,'04'!$R$3:$R$100,"-")</f>
        <v/>
      </c>
      <c r="G270" s="68">
        <f>_xlfn.XLOOKUP($A270,'05'!$G$3:$G$100,'05'!$R$3:$R$100,"-")</f>
        <v/>
      </c>
      <c r="H270" s="68">
        <f>_xlfn.XLOOKUP($A270,'06'!$G$3:$G$100,'06'!$R$3:$R$100,"-")</f>
        <v/>
      </c>
      <c r="I270" s="68">
        <f>_xlfn.XLOOKUP($A270,'07'!$G$3:$G$100,'07'!$R$3:$R$100,"-")</f>
        <v/>
      </c>
      <c r="J270" s="68">
        <f>_xlfn.XLOOKUP($A270,'08'!$G$3:$G$100,'08'!$R$3:$R$100,"-")</f>
        <v/>
      </c>
      <c r="K270" s="68">
        <f>_xlfn.XLOOKUP($A270,'09'!$G$3:$G$100,'09'!$R$3:$R$100,"-")</f>
        <v/>
      </c>
      <c r="L270" s="68">
        <f>_xlfn.XLOOKUP($A270,'10'!$G$3:$G$100,'10'!$R$3:$R$100,"-")</f>
        <v/>
      </c>
      <c r="M270" s="68">
        <f>_xlfn.XLOOKUP($A270,'11'!$G$3:$G$100,'11'!$R$3:$R$100,"-")</f>
        <v/>
      </c>
      <c r="N270" s="68">
        <f>_xlfn.XLOOKUP($A270,'12'!$G$3:$G$100,'12'!$R$3:$R$100,"-")</f>
        <v/>
      </c>
      <c r="O270" s="79">
        <f>SUM(C270:N270)</f>
        <v/>
      </c>
      <c r="P270" s="74" t="n"/>
      <c r="Q270" s="82" t="n">
        <v>268</v>
      </c>
      <c r="R270" s="38" t="n"/>
      <c r="S270" s="61" t="n">
        <v>0</v>
      </c>
      <c r="T270" s="68" t="n">
        <v>0</v>
      </c>
      <c r="U270" s="68" t="n">
        <v>0</v>
      </c>
      <c r="V270" s="68" t="n">
        <v>0</v>
      </c>
      <c r="W270" s="68" t="n">
        <v>0</v>
      </c>
      <c r="X270" s="68" t="n">
        <v>0</v>
      </c>
      <c r="Y270" s="68" t="n">
        <v>0</v>
      </c>
      <c r="Z270" s="68" t="n">
        <v>0</v>
      </c>
      <c r="AA270" s="68" t="n">
        <v>0</v>
      </c>
      <c r="AB270" s="68" t="n">
        <v>0</v>
      </c>
      <c r="AC270" s="68" t="n">
        <v>0</v>
      </c>
      <c r="AD270" s="68" t="n">
        <v>0</v>
      </c>
      <c r="AE270" s="68" t="n">
        <v>0</v>
      </c>
      <c r="AF270" s="79" t="n">
        <v>0</v>
      </c>
      <c r="AG270" s="74" t="n">
        <v>0</v>
      </c>
      <c r="AH270" s="82" t="n">
        <v>268</v>
      </c>
    </row>
    <row r="271" ht="18" customHeight="1">
      <c r="C271" s="68">
        <f>_xlfn.XLOOKUP($A271,'01'!$G$3:$G$100,'01'!$R$3:$R$100,"-")</f>
        <v/>
      </c>
      <c r="D271" s="68">
        <f>_xlfn.XLOOKUP($A271,'02'!$G$3:$G$100,'02'!$R$3:$R$100,"-")</f>
        <v/>
      </c>
      <c r="E271" s="68">
        <f>_xlfn.XLOOKUP($A271,'03'!$G$3:$G$100,'03'!$R$3:$R$100,"-")</f>
        <v/>
      </c>
      <c r="F271" s="68">
        <f>_xlfn.XLOOKUP($A271,'04'!$G$3:$G$100,'04'!$R$3:$R$100,"-")</f>
        <v/>
      </c>
      <c r="G271" s="68">
        <f>_xlfn.XLOOKUP($A271,'05'!$G$3:$G$100,'05'!$R$3:$R$100,"-")</f>
        <v/>
      </c>
      <c r="H271" s="68">
        <f>_xlfn.XLOOKUP($A271,'06'!$G$3:$G$100,'06'!$R$3:$R$100,"-")</f>
        <v/>
      </c>
      <c r="I271" s="68">
        <f>_xlfn.XLOOKUP($A271,'07'!$G$3:$G$100,'07'!$R$3:$R$100,"-")</f>
        <v/>
      </c>
      <c r="J271" s="68">
        <f>_xlfn.XLOOKUP($A271,'08'!$G$3:$G$100,'08'!$R$3:$R$100,"-")</f>
        <v/>
      </c>
      <c r="K271" s="68">
        <f>_xlfn.XLOOKUP($A271,'09'!$G$3:$G$100,'09'!$R$3:$R$100,"-")</f>
        <v/>
      </c>
      <c r="L271" s="68">
        <f>_xlfn.XLOOKUP($A271,'10'!$G$3:$G$100,'10'!$R$3:$R$100,"-")</f>
        <v/>
      </c>
      <c r="M271" s="68">
        <f>_xlfn.XLOOKUP($A271,'11'!$G$3:$G$100,'11'!$R$3:$R$100,"-")</f>
        <v/>
      </c>
      <c r="N271" s="68">
        <f>_xlfn.XLOOKUP($A271,'12'!$G$3:$G$100,'12'!$R$3:$R$100,"-")</f>
        <v/>
      </c>
      <c r="O271" s="79">
        <f>SUM(C271:N271)</f>
        <v/>
      </c>
      <c r="P271" s="74" t="n"/>
      <c r="Q271" s="82" t="n">
        <v>269</v>
      </c>
      <c r="R271" s="38" t="n"/>
      <c r="S271" s="61" t="n">
        <v>0</v>
      </c>
      <c r="T271" s="68" t="n">
        <v>0</v>
      </c>
      <c r="U271" s="68" t="n">
        <v>0</v>
      </c>
      <c r="V271" s="68" t="n">
        <v>0</v>
      </c>
      <c r="W271" s="68" t="n">
        <v>0</v>
      </c>
      <c r="X271" s="68" t="n">
        <v>0</v>
      </c>
      <c r="Y271" s="68" t="n">
        <v>0</v>
      </c>
      <c r="Z271" s="68" t="n">
        <v>0</v>
      </c>
      <c r="AA271" s="68" t="n">
        <v>0</v>
      </c>
      <c r="AB271" s="68" t="n">
        <v>0</v>
      </c>
      <c r="AC271" s="68" t="n">
        <v>0</v>
      </c>
      <c r="AD271" s="68" t="n">
        <v>0</v>
      </c>
      <c r="AE271" s="68" t="n">
        <v>0</v>
      </c>
      <c r="AF271" s="79" t="n">
        <v>0</v>
      </c>
      <c r="AG271" s="74" t="n">
        <v>0</v>
      </c>
      <c r="AH271" s="82" t="n">
        <v>269</v>
      </c>
    </row>
    <row r="272" ht="18" customHeight="1">
      <c r="C272" s="68">
        <f>_xlfn.XLOOKUP($A272,'01'!$G$3:$G$100,'01'!$R$3:$R$100,"-")</f>
        <v/>
      </c>
      <c r="D272" s="68">
        <f>_xlfn.XLOOKUP($A272,'02'!$G$3:$G$100,'02'!$R$3:$R$100,"-")</f>
        <v/>
      </c>
      <c r="E272" s="68">
        <f>_xlfn.XLOOKUP($A272,'03'!$G$3:$G$100,'03'!$R$3:$R$100,"-")</f>
        <v/>
      </c>
      <c r="F272" s="68">
        <f>_xlfn.XLOOKUP($A272,'04'!$G$3:$G$100,'04'!$R$3:$R$100,"-")</f>
        <v/>
      </c>
      <c r="G272" s="68">
        <f>_xlfn.XLOOKUP($A272,'05'!$G$3:$G$100,'05'!$R$3:$R$100,"-")</f>
        <v/>
      </c>
      <c r="H272" s="68">
        <f>_xlfn.XLOOKUP($A272,'06'!$G$3:$G$100,'06'!$R$3:$R$100,"-")</f>
        <v/>
      </c>
      <c r="I272" s="68">
        <f>_xlfn.XLOOKUP($A272,'07'!$G$3:$G$100,'07'!$R$3:$R$100,"-")</f>
        <v/>
      </c>
      <c r="J272" s="68">
        <f>_xlfn.XLOOKUP($A272,'08'!$G$3:$G$100,'08'!$R$3:$R$100,"-")</f>
        <v/>
      </c>
      <c r="K272" s="68">
        <f>_xlfn.XLOOKUP($A272,'09'!$G$3:$G$100,'09'!$R$3:$R$100,"-")</f>
        <v/>
      </c>
      <c r="L272" s="68">
        <f>_xlfn.XLOOKUP($A272,'10'!$G$3:$G$100,'10'!$R$3:$R$100,"-")</f>
        <v/>
      </c>
      <c r="M272" s="68">
        <f>_xlfn.XLOOKUP($A272,'11'!$G$3:$G$100,'11'!$R$3:$R$100,"-")</f>
        <v/>
      </c>
      <c r="N272" s="68">
        <f>_xlfn.XLOOKUP($A272,'12'!$G$3:$G$100,'12'!$R$3:$R$100,"-")</f>
        <v/>
      </c>
      <c r="O272" s="79">
        <f>SUM(C272:N272)</f>
        <v/>
      </c>
      <c r="P272" s="74" t="n"/>
      <c r="Q272" s="82" t="n">
        <v>270</v>
      </c>
      <c r="R272" s="38" t="n"/>
      <c r="S272" s="61" t="n">
        <v>0</v>
      </c>
      <c r="T272" s="68" t="n">
        <v>0</v>
      </c>
      <c r="U272" s="68" t="n">
        <v>0</v>
      </c>
      <c r="V272" s="68" t="n">
        <v>0</v>
      </c>
      <c r="W272" s="68" t="n">
        <v>0</v>
      </c>
      <c r="X272" s="68" t="n">
        <v>0</v>
      </c>
      <c r="Y272" s="68" t="n">
        <v>0</v>
      </c>
      <c r="Z272" s="68" t="n">
        <v>0</v>
      </c>
      <c r="AA272" s="68" t="n">
        <v>0</v>
      </c>
      <c r="AB272" s="68" t="n">
        <v>0</v>
      </c>
      <c r="AC272" s="68" t="n">
        <v>0</v>
      </c>
      <c r="AD272" s="68" t="n">
        <v>0</v>
      </c>
      <c r="AE272" s="68" t="n">
        <v>0</v>
      </c>
      <c r="AF272" s="79" t="n">
        <v>0</v>
      </c>
      <c r="AG272" s="74" t="n">
        <v>0</v>
      </c>
      <c r="AH272" s="82" t="n">
        <v>270</v>
      </c>
    </row>
    <row r="273" ht="18" customHeight="1">
      <c r="C273" s="68">
        <f>_xlfn.XLOOKUP($A273,'01'!$G$3:$G$100,'01'!$R$3:$R$100,"-")</f>
        <v/>
      </c>
      <c r="D273" s="68">
        <f>_xlfn.XLOOKUP($A273,'02'!$G$3:$G$100,'02'!$R$3:$R$100,"-")</f>
        <v/>
      </c>
      <c r="E273" s="68">
        <f>_xlfn.XLOOKUP($A273,'03'!$G$3:$G$100,'03'!$R$3:$R$100,"-")</f>
        <v/>
      </c>
      <c r="F273" s="68">
        <f>_xlfn.XLOOKUP($A273,'04'!$G$3:$G$100,'04'!$R$3:$R$100,"-")</f>
        <v/>
      </c>
      <c r="G273" s="68">
        <f>_xlfn.XLOOKUP($A273,'05'!$G$3:$G$100,'05'!$R$3:$R$100,"-")</f>
        <v/>
      </c>
      <c r="H273" s="68">
        <f>_xlfn.XLOOKUP($A273,'06'!$G$3:$G$100,'06'!$R$3:$R$100,"-")</f>
        <v/>
      </c>
      <c r="I273" s="68">
        <f>_xlfn.XLOOKUP($A273,'07'!$G$3:$G$100,'07'!$R$3:$R$100,"-")</f>
        <v/>
      </c>
      <c r="J273" s="68">
        <f>_xlfn.XLOOKUP($A273,'08'!$G$3:$G$100,'08'!$R$3:$R$100,"-")</f>
        <v/>
      </c>
      <c r="K273" s="68">
        <f>_xlfn.XLOOKUP($A273,'09'!$G$3:$G$100,'09'!$R$3:$R$100,"-")</f>
        <v/>
      </c>
      <c r="L273" s="68">
        <f>_xlfn.XLOOKUP($A273,'10'!$G$3:$G$100,'10'!$R$3:$R$100,"-")</f>
        <v/>
      </c>
      <c r="M273" s="68">
        <f>_xlfn.XLOOKUP($A273,'11'!$G$3:$G$100,'11'!$R$3:$R$100,"-")</f>
        <v/>
      </c>
      <c r="N273" s="68">
        <f>_xlfn.XLOOKUP($A273,'12'!$G$3:$G$100,'12'!$R$3:$R$100,"-")</f>
        <v/>
      </c>
      <c r="O273" s="79">
        <f>SUM(C273:N273)</f>
        <v/>
      </c>
      <c r="P273" s="74" t="n"/>
      <c r="Q273" s="82" t="n">
        <v>271</v>
      </c>
      <c r="R273" s="38" t="n"/>
      <c r="S273" s="61" t="n">
        <v>0</v>
      </c>
      <c r="T273" s="68" t="n">
        <v>0</v>
      </c>
      <c r="U273" s="68" t="n">
        <v>0</v>
      </c>
      <c r="V273" s="68" t="n">
        <v>0</v>
      </c>
      <c r="W273" s="68" t="n">
        <v>0</v>
      </c>
      <c r="X273" s="68" t="n">
        <v>0</v>
      </c>
      <c r="Y273" s="68" t="n">
        <v>0</v>
      </c>
      <c r="Z273" s="68" t="n">
        <v>0</v>
      </c>
      <c r="AA273" s="68" t="n">
        <v>0</v>
      </c>
      <c r="AB273" s="68" t="n">
        <v>0</v>
      </c>
      <c r="AC273" s="68" t="n">
        <v>0</v>
      </c>
      <c r="AD273" s="68" t="n">
        <v>0</v>
      </c>
      <c r="AE273" s="68" t="n">
        <v>0</v>
      </c>
      <c r="AF273" s="79" t="n">
        <v>0</v>
      </c>
      <c r="AG273" s="74" t="n">
        <v>0</v>
      </c>
      <c r="AH273" s="82" t="n">
        <v>271</v>
      </c>
    </row>
    <row r="274" ht="18" customHeight="1">
      <c r="C274" s="68">
        <f>_xlfn.XLOOKUP($A274,'01'!$G$3:$G$100,'01'!$R$3:$R$100,"-")</f>
        <v/>
      </c>
      <c r="D274" s="68">
        <f>_xlfn.XLOOKUP($A274,'02'!$G$3:$G$100,'02'!$R$3:$R$100,"-")</f>
        <v/>
      </c>
      <c r="E274" s="68">
        <f>_xlfn.XLOOKUP($A274,'03'!$G$3:$G$100,'03'!$R$3:$R$100,"-")</f>
        <v/>
      </c>
      <c r="F274" s="68">
        <f>_xlfn.XLOOKUP($A274,'04'!$G$3:$G$100,'04'!$R$3:$R$100,"-")</f>
        <v/>
      </c>
      <c r="G274" s="68">
        <f>_xlfn.XLOOKUP($A274,'05'!$G$3:$G$100,'05'!$R$3:$R$100,"-")</f>
        <v/>
      </c>
      <c r="H274" s="68">
        <f>_xlfn.XLOOKUP($A274,'06'!$G$3:$G$100,'06'!$R$3:$R$100,"-")</f>
        <v/>
      </c>
      <c r="I274" s="68">
        <f>_xlfn.XLOOKUP($A274,'07'!$G$3:$G$100,'07'!$R$3:$R$100,"-")</f>
        <v/>
      </c>
      <c r="J274" s="68">
        <f>_xlfn.XLOOKUP($A274,'08'!$G$3:$G$100,'08'!$R$3:$R$100,"-")</f>
        <v/>
      </c>
      <c r="K274" s="68">
        <f>_xlfn.XLOOKUP($A274,'09'!$G$3:$G$100,'09'!$R$3:$R$100,"-")</f>
        <v/>
      </c>
      <c r="L274" s="68">
        <f>_xlfn.XLOOKUP($A274,'10'!$G$3:$G$100,'10'!$R$3:$R$100,"-")</f>
        <v/>
      </c>
      <c r="M274" s="68">
        <f>_xlfn.XLOOKUP($A274,'11'!$G$3:$G$100,'11'!$R$3:$R$100,"-")</f>
        <v/>
      </c>
      <c r="N274" s="68">
        <f>_xlfn.XLOOKUP($A274,'12'!$G$3:$G$100,'12'!$R$3:$R$100,"-")</f>
        <v/>
      </c>
      <c r="O274" s="79">
        <f>SUM(C274:N274)</f>
        <v/>
      </c>
      <c r="P274" s="74" t="n"/>
      <c r="Q274" s="82" t="n">
        <v>272</v>
      </c>
      <c r="R274" s="38" t="n"/>
      <c r="S274" s="61" t="n">
        <v>0</v>
      </c>
      <c r="T274" s="68" t="n">
        <v>0</v>
      </c>
      <c r="U274" s="68" t="n">
        <v>0</v>
      </c>
      <c r="V274" s="68" t="n">
        <v>0</v>
      </c>
      <c r="W274" s="68" t="n">
        <v>0</v>
      </c>
      <c r="X274" s="68" t="n">
        <v>0</v>
      </c>
      <c r="Y274" s="68" t="n">
        <v>0</v>
      </c>
      <c r="Z274" s="68" t="n">
        <v>0</v>
      </c>
      <c r="AA274" s="68" t="n">
        <v>0</v>
      </c>
      <c r="AB274" s="68" t="n">
        <v>0</v>
      </c>
      <c r="AC274" s="68" t="n">
        <v>0</v>
      </c>
      <c r="AD274" s="68" t="n">
        <v>0</v>
      </c>
      <c r="AE274" s="68" t="n">
        <v>0</v>
      </c>
      <c r="AF274" s="79" t="n">
        <v>0</v>
      </c>
      <c r="AG274" s="74" t="n">
        <v>0</v>
      </c>
      <c r="AH274" s="82" t="n">
        <v>272</v>
      </c>
    </row>
    <row r="275" ht="18" customHeight="1">
      <c r="C275" s="68">
        <f>_xlfn.XLOOKUP($A275,'01'!$G$3:$G$100,'01'!$R$3:$R$100,"-")</f>
        <v/>
      </c>
      <c r="D275" s="68">
        <f>_xlfn.XLOOKUP($A275,'02'!$G$3:$G$100,'02'!$R$3:$R$100,"-")</f>
        <v/>
      </c>
      <c r="E275" s="68">
        <f>_xlfn.XLOOKUP($A275,'03'!$G$3:$G$100,'03'!$R$3:$R$100,"-")</f>
        <v/>
      </c>
      <c r="F275" s="68">
        <f>_xlfn.XLOOKUP($A275,'04'!$G$3:$G$100,'04'!$R$3:$R$100,"-")</f>
        <v/>
      </c>
      <c r="G275" s="68">
        <f>_xlfn.XLOOKUP($A275,'05'!$G$3:$G$100,'05'!$R$3:$R$100,"-")</f>
        <v/>
      </c>
      <c r="H275" s="68">
        <f>_xlfn.XLOOKUP($A275,'06'!$G$3:$G$100,'06'!$R$3:$R$100,"-")</f>
        <v/>
      </c>
      <c r="I275" s="68">
        <f>_xlfn.XLOOKUP($A275,'07'!$G$3:$G$100,'07'!$R$3:$R$100,"-")</f>
        <v/>
      </c>
      <c r="J275" s="68">
        <f>_xlfn.XLOOKUP($A275,'08'!$G$3:$G$100,'08'!$R$3:$R$100,"-")</f>
        <v/>
      </c>
      <c r="K275" s="68">
        <f>_xlfn.XLOOKUP($A275,'09'!$G$3:$G$100,'09'!$R$3:$R$100,"-")</f>
        <v/>
      </c>
      <c r="L275" s="68">
        <f>_xlfn.XLOOKUP($A275,'10'!$G$3:$G$100,'10'!$R$3:$R$100,"-")</f>
        <v/>
      </c>
      <c r="M275" s="68">
        <f>_xlfn.XLOOKUP($A275,'11'!$G$3:$G$100,'11'!$R$3:$R$100,"-")</f>
        <v/>
      </c>
      <c r="N275" s="68">
        <f>_xlfn.XLOOKUP($A275,'12'!$G$3:$G$100,'12'!$R$3:$R$100,"-")</f>
        <v/>
      </c>
      <c r="O275" s="79">
        <f>SUM(C275:N275)</f>
        <v/>
      </c>
      <c r="P275" s="74" t="n"/>
      <c r="Q275" s="82" t="n">
        <v>273</v>
      </c>
      <c r="R275" s="38" t="n"/>
      <c r="S275" s="61" t="n">
        <v>0</v>
      </c>
      <c r="T275" s="68" t="n">
        <v>0</v>
      </c>
      <c r="U275" s="68" t="n">
        <v>0</v>
      </c>
      <c r="V275" s="68" t="n">
        <v>0</v>
      </c>
      <c r="W275" s="68" t="n">
        <v>0</v>
      </c>
      <c r="X275" s="68" t="n">
        <v>0</v>
      </c>
      <c r="Y275" s="68" t="n">
        <v>0</v>
      </c>
      <c r="Z275" s="68" t="n">
        <v>0</v>
      </c>
      <c r="AA275" s="68" t="n">
        <v>0</v>
      </c>
      <c r="AB275" s="68" t="n">
        <v>0</v>
      </c>
      <c r="AC275" s="68" t="n">
        <v>0</v>
      </c>
      <c r="AD275" s="68" t="n">
        <v>0</v>
      </c>
      <c r="AE275" s="68" t="n">
        <v>0</v>
      </c>
      <c r="AF275" s="79" t="n">
        <v>0</v>
      </c>
      <c r="AG275" s="74" t="n">
        <v>0</v>
      </c>
      <c r="AH275" s="82" t="n">
        <v>273</v>
      </c>
    </row>
    <row r="276" ht="18" customHeight="1">
      <c r="C276" s="68">
        <f>_xlfn.XLOOKUP($A276,'01'!$G$3:$G$100,'01'!$R$3:$R$100,"-")</f>
        <v/>
      </c>
      <c r="D276" s="68">
        <f>_xlfn.XLOOKUP($A276,'02'!$G$3:$G$100,'02'!$R$3:$R$100,"-")</f>
        <v/>
      </c>
      <c r="E276" s="68">
        <f>_xlfn.XLOOKUP($A276,'03'!$G$3:$G$100,'03'!$R$3:$R$100,"-")</f>
        <v/>
      </c>
      <c r="F276" s="68">
        <f>_xlfn.XLOOKUP($A276,'04'!$G$3:$G$100,'04'!$R$3:$R$100,"-")</f>
        <v/>
      </c>
      <c r="G276" s="68">
        <f>_xlfn.XLOOKUP($A276,'05'!$G$3:$G$100,'05'!$R$3:$R$100,"-")</f>
        <v/>
      </c>
      <c r="H276" s="68">
        <f>_xlfn.XLOOKUP($A276,'06'!$G$3:$G$100,'06'!$R$3:$R$100,"-")</f>
        <v/>
      </c>
      <c r="I276" s="68">
        <f>_xlfn.XLOOKUP($A276,'07'!$G$3:$G$100,'07'!$R$3:$R$100,"-")</f>
        <v/>
      </c>
      <c r="J276" s="68">
        <f>_xlfn.XLOOKUP($A276,'08'!$G$3:$G$100,'08'!$R$3:$R$100,"-")</f>
        <v/>
      </c>
      <c r="K276" s="68">
        <f>_xlfn.XLOOKUP($A276,'09'!$G$3:$G$100,'09'!$R$3:$R$100,"-")</f>
        <v/>
      </c>
      <c r="L276" s="68">
        <f>_xlfn.XLOOKUP($A276,'10'!$G$3:$G$100,'10'!$R$3:$R$100,"-")</f>
        <v/>
      </c>
      <c r="M276" s="68">
        <f>_xlfn.XLOOKUP($A276,'11'!$G$3:$G$100,'11'!$R$3:$R$100,"-")</f>
        <v/>
      </c>
      <c r="N276" s="68">
        <f>_xlfn.XLOOKUP($A276,'12'!$G$3:$G$100,'12'!$R$3:$R$100,"-")</f>
        <v/>
      </c>
      <c r="O276" s="79">
        <f>SUM(C276:N276)</f>
        <v/>
      </c>
      <c r="P276" s="74" t="n"/>
      <c r="Q276" s="82" t="n">
        <v>274</v>
      </c>
      <c r="R276" s="38" t="n"/>
      <c r="S276" s="61" t="n">
        <v>0</v>
      </c>
      <c r="T276" s="68" t="n">
        <v>0</v>
      </c>
      <c r="U276" s="68" t="n">
        <v>0</v>
      </c>
      <c r="V276" s="68" t="n">
        <v>0</v>
      </c>
      <c r="W276" s="68" t="n">
        <v>0</v>
      </c>
      <c r="X276" s="68" t="n">
        <v>0</v>
      </c>
      <c r="Y276" s="68" t="n">
        <v>0</v>
      </c>
      <c r="Z276" s="68" t="n">
        <v>0</v>
      </c>
      <c r="AA276" s="68" t="n">
        <v>0</v>
      </c>
      <c r="AB276" s="68" t="n">
        <v>0</v>
      </c>
      <c r="AC276" s="68" t="n">
        <v>0</v>
      </c>
      <c r="AD276" s="68" t="n">
        <v>0</v>
      </c>
      <c r="AE276" s="68" t="n">
        <v>0</v>
      </c>
      <c r="AF276" s="79" t="n">
        <v>0</v>
      </c>
      <c r="AG276" s="74" t="n">
        <v>0</v>
      </c>
      <c r="AH276" s="82" t="n">
        <v>274</v>
      </c>
    </row>
    <row r="277" ht="18" customHeight="1">
      <c r="C277" s="68">
        <f>_xlfn.XLOOKUP($A277,'01'!$G$3:$G$100,'01'!$R$3:$R$100,"-")</f>
        <v/>
      </c>
      <c r="D277" s="68">
        <f>_xlfn.XLOOKUP($A277,'02'!$G$3:$G$100,'02'!$R$3:$R$100,"-")</f>
        <v/>
      </c>
      <c r="E277" s="68">
        <f>_xlfn.XLOOKUP($A277,'03'!$G$3:$G$100,'03'!$R$3:$R$100,"-")</f>
        <v/>
      </c>
      <c r="F277" s="68">
        <f>_xlfn.XLOOKUP($A277,'04'!$G$3:$G$100,'04'!$R$3:$R$100,"-")</f>
        <v/>
      </c>
      <c r="G277" s="68">
        <f>_xlfn.XLOOKUP($A277,'05'!$G$3:$G$100,'05'!$R$3:$R$100,"-")</f>
        <v/>
      </c>
      <c r="H277" s="68">
        <f>_xlfn.XLOOKUP($A277,'06'!$G$3:$G$100,'06'!$R$3:$R$100,"-")</f>
        <v/>
      </c>
      <c r="I277" s="68">
        <f>_xlfn.XLOOKUP($A277,'07'!$G$3:$G$100,'07'!$R$3:$R$100,"-")</f>
        <v/>
      </c>
      <c r="J277" s="68">
        <f>_xlfn.XLOOKUP($A277,'08'!$G$3:$G$100,'08'!$R$3:$R$100,"-")</f>
        <v/>
      </c>
      <c r="K277" s="68">
        <f>_xlfn.XLOOKUP($A277,'09'!$G$3:$G$100,'09'!$R$3:$R$100,"-")</f>
        <v/>
      </c>
      <c r="L277" s="68">
        <f>_xlfn.XLOOKUP($A277,'10'!$G$3:$G$100,'10'!$R$3:$R$100,"-")</f>
        <v/>
      </c>
      <c r="M277" s="68">
        <f>_xlfn.XLOOKUP($A277,'11'!$G$3:$G$100,'11'!$R$3:$R$100,"-")</f>
        <v/>
      </c>
      <c r="N277" s="68">
        <f>_xlfn.XLOOKUP($A277,'12'!$G$3:$G$100,'12'!$R$3:$R$100,"-")</f>
        <v/>
      </c>
      <c r="O277" s="79">
        <f>SUM(C277:N277)</f>
        <v/>
      </c>
      <c r="P277" s="74" t="n"/>
      <c r="Q277" s="83" t="n">
        <v>275</v>
      </c>
      <c r="R277" s="38" t="n"/>
      <c r="S277" s="61" t="n">
        <v>0</v>
      </c>
      <c r="T277" s="68" t="n">
        <v>0</v>
      </c>
      <c r="U277" s="68" t="n">
        <v>0</v>
      </c>
      <c r="V277" s="68" t="n">
        <v>0</v>
      </c>
      <c r="W277" s="68" t="n">
        <v>0</v>
      </c>
      <c r="X277" s="68" t="n">
        <v>0</v>
      </c>
      <c r="Y277" s="68" t="n">
        <v>0</v>
      </c>
      <c r="Z277" s="68" t="n">
        <v>0</v>
      </c>
      <c r="AA277" s="68" t="n">
        <v>0</v>
      </c>
      <c r="AB277" s="68" t="n">
        <v>0</v>
      </c>
      <c r="AC277" s="68" t="n">
        <v>0</v>
      </c>
      <c r="AD277" s="68" t="n">
        <v>0</v>
      </c>
      <c r="AE277" s="68" t="n">
        <v>0</v>
      </c>
      <c r="AF277" s="79" t="n">
        <v>0</v>
      </c>
      <c r="AG277" s="74" t="n">
        <v>0</v>
      </c>
      <c r="AH277" s="83" t="n">
        <v>275</v>
      </c>
    </row>
    <row r="278" ht="18" customHeight="1">
      <c r="C278" s="68">
        <f>_xlfn.XLOOKUP($A278,'01'!$G$3:$G$100,'01'!$R$3:$R$100,"-")</f>
        <v/>
      </c>
      <c r="D278" s="68">
        <f>_xlfn.XLOOKUP($A278,'02'!$G$3:$G$100,'02'!$R$3:$R$100,"-")</f>
        <v/>
      </c>
      <c r="E278" s="68">
        <f>_xlfn.XLOOKUP($A278,'03'!$G$3:$G$100,'03'!$R$3:$R$100,"-")</f>
        <v/>
      </c>
      <c r="F278" s="68">
        <f>_xlfn.XLOOKUP($A278,'04'!$G$3:$G$100,'04'!$R$3:$R$100,"-")</f>
        <v/>
      </c>
      <c r="G278" s="68">
        <f>_xlfn.XLOOKUP($A278,'05'!$G$3:$G$100,'05'!$R$3:$R$100,"-")</f>
        <v/>
      </c>
      <c r="H278" s="68">
        <f>_xlfn.XLOOKUP($A278,'06'!$G$3:$G$100,'06'!$R$3:$R$100,"-")</f>
        <v/>
      </c>
      <c r="I278" s="68">
        <f>_xlfn.XLOOKUP($A278,'07'!$G$3:$G$100,'07'!$R$3:$R$100,"-")</f>
        <v/>
      </c>
      <c r="J278" s="68">
        <f>_xlfn.XLOOKUP($A278,'08'!$G$3:$G$100,'08'!$R$3:$R$100,"-")</f>
        <v/>
      </c>
      <c r="K278" s="68">
        <f>_xlfn.XLOOKUP($A278,'09'!$G$3:$G$100,'09'!$R$3:$R$100,"-")</f>
        <v/>
      </c>
      <c r="L278" s="68">
        <f>_xlfn.XLOOKUP($A278,'10'!$G$3:$G$100,'10'!$R$3:$R$100,"-")</f>
        <v/>
      </c>
      <c r="M278" s="68">
        <f>_xlfn.XLOOKUP($A278,'11'!$G$3:$G$100,'11'!$R$3:$R$100,"-")</f>
        <v/>
      </c>
      <c r="N278" s="68">
        <f>_xlfn.XLOOKUP($A278,'12'!$G$3:$G$100,'12'!$R$3:$R$100,"-")</f>
        <v/>
      </c>
      <c r="O278" s="79">
        <f>SUM(C278:N278)</f>
        <v/>
      </c>
      <c r="P278" s="74" t="n"/>
      <c r="Q278" s="82" t="n">
        <v>276</v>
      </c>
      <c r="R278" s="38" t="n"/>
      <c r="S278" s="61" t="n">
        <v>0</v>
      </c>
      <c r="T278" s="68" t="n">
        <v>0</v>
      </c>
      <c r="U278" s="68" t="n">
        <v>0</v>
      </c>
      <c r="V278" s="68" t="n">
        <v>0</v>
      </c>
      <c r="W278" s="68" t="n">
        <v>0</v>
      </c>
      <c r="X278" s="68" t="n">
        <v>0</v>
      </c>
      <c r="Y278" s="68" t="n">
        <v>0</v>
      </c>
      <c r="Z278" s="68" t="n">
        <v>0</v>
      </c>
      <c r="AA278" s="68" t="n">
        <v>0</v>
      </c>
      <c r="AB278" s="68" t="n">
        <v>0</v>
      </c>
      <c r="AC278" s="68" t="n">
        <v>0</v>
      </c>
      <c r="AD278" s="68" t="n">
        <v>0</v>
      </c>
      <c r="AE278" s="68" t="n">
        <v>0</v>
      </c>
      <c r="AF278" s="79" t="n">
        <v>0</v>
      </c>
      <c r="AG278" s="74" t="n">
        <v>0</v>
      </c>
      <c r="AH278" s="82" t="n">
        <v>276</v>
      </c>
    </row>
    <row r="279" ht="18" customHeight="1">
      <c r="C279" s="68">
        <f>_xlfn.XLOOKUP($A279,'01'!$G$3:$G$100,'01'!$R$3:$R$100,"-")</f>
        <v/>
      </c>
      <c r="D279" s="68">
        <f>_xlfn.XLOOKUP($A279,'02'!$G$3:$G$100,'02'!$R$3:$R$100,"-")</f>
        <v/>
      </c>
      <c r="E279" s="68">
        <f>_xlfn.XLOOKUP($A279,'03'!$G$3:$G$100,'03'!$R$3:$R$100,"-")</f>
        <v/>
      </c>
      <c r="F279" s="68">
        <f>_xlfn.XLOOKUP($A279,'04'!$G$3:$G$100,'04'!$R$3:$R$100,"-")</f>
        <v/>
      </c>
      <c r="G279" s="68">
        <f>_xlfn.XLOOKUP($A279,'05'!$G$3:$G$100,'05'!$R$3:$R$100,"-")</f>
        <v/>
      </c>
      <c r="H279" s="68">
        <f>_xlfn.XLOOKUP($A279,'06'!$G$3:$G$100,'06'!$R$3:$R$100,"-")</f>
        <v/>
      </c>
      <c r="I279" s="68">
        <f>_xlfn.XLOOKUP($A279,'07'!$G$3:$G$100,'07'!$R$3:$R$100,"-")</f>
        <v/>
      </c>
      <c r="J279" s="68">
        <f>_xlfn.XLOOKUP($A279,'08'!$G$3:$G$100,'08'!$R$3:$R$100,"-")</f>
        <v/>
      </c>
      <c r="K279" s="68">
        <f>_xlfn.XLOOKUP($A279,'09'!$G$3:$G$100,'09'!$R$3:$R$100,"-")</f>
        <v/>
      </c>
      <c r="L279" s="68">
        <f>_xlfn.XLOOKUP($A279,'10'!$G$3:$G$100,'10'!$R$3:$R$100,"-")</f>
        <v/>
      </c>
      <c r="M279" s="68">
        <f>_xlfn.XLOOKUP($A279,'11'!$G$3:$G$100,'11'!$R$3:$R$100,"-")</f>
        <v/>
      </c>
      <c r="N279" s="68">
        <f>_xlfn.XLOOKUP($A279,'12'!$G$3:$G$100,'12'!$R$3:$R$100,"-")</f>
        <v/>
      </c>
      <c r="O279" s="79">
        <f>SUM(C279:N279)</f>
        <v/>
      </c>
      <c r="P279" s="74" t="n"/>
      <c r="Q279" s="82" t="n">
        <v>277</v>
      </c>
      <c r="R279" s="38" t="n"/>
      <c r="S279" s="61" t="n">
        <v>0</v>
      </c>
      <c r="T279" s="68" t="n">
        <v>0</v>
      </c>
      <c r="U279" s="68" t="n">
        <v>0</v>
      </c>
      <c r="V279" s="68" t="n">
        <v>0</v>
      </c>
      <c r="W279" s="68" t="n">
        <v>0</v>
      </c>
      <c r="X279" s="68" t="n">
        <v>0</v>
      </c>
      <c r="Y279" s="68" t="n">
        <v>0</v>
      </c>
      <c r="Z279" s="68" t="n">
        <v>0</v>
      </c>
      <c r="AA279" s="68" t="n">
        <v>0</v>
      </c>
      <c r="AB279" s="68" t="n">
        <v>0</v>
      </c>
      <c r="AC279" s="68" t="n">
        <v>0</v>
      </c>
      <c r="AD279" s="68" t="n">
        <v>0</v>
      </c>
      <c r="AE279" s="68" t="n">
        <v>0</v>
      </c>
      <c r="AF279" s="79" t="n">
        <v>0</v>
      </c>
      <c r="AG279" s="74" t="n">
        <v>0</v>
      </c>
      <c r="AH279" s="82" t="n">
        <v>277</v>
      </c>
    </row>
    <row r="280" ht="18" customHeight="1">
      <c r="C280" s="68">
        <f>_xlfn.XLOOKUP($A280,'01'!$G$3:$G$100,'01'!$R$3:$R$100,"-")</f>
        <v/>
      </c>
      <c r="D280" s="68">
        <f>_xlfn.XLOOKUP($A280,'02'!$G$3:$G$100,'02'!$R$3:$R$100,"-")</f>
        <v/>
      </c>
      <c r="E280" s="68">
        <f>_xlfn.XLOOKUP($A280,'03'!$G$3:$G$100,'03'!$R$3:$R$100,"-")</f>
        <v/>
      </c>
      <c r="F280" s="68">
        <f>_xlfn.XLOOKUP($A280,'04'!$G$3:$G$100,'04'!$R$3:$R$100,"-")</f>
        <v/>
      </c>
      <c r="G280" s="68">
        <f>_xlfn.XLOOKUP($A280,'05'!$G$3:$G$100,'05'!$R$3:$R$100,"-")</f>
        <v/>
      </c>
      <c r="H280" s="68">
        <f>_xlfn.XLOOKUP($A280,'06'!$G$3:$G$100,'06'!$R$3:$R$100,"-")</f>
        <v/>
      </c>
      <c r="I280" s="68">
        <f>_xlfn.XLOOKUP($A280,'07'!$G$3:$G$100,'07'!$R$3:$R$100,"-")</f>
        <v/>
      </c>
      <c r="J280" s="68">
        <f>_xlfn.XLOOKUP($A280,'08'!$G$3:$G$100,'08'!$R$3:$R$100,"-")</f>
        <v/>
      </c>
      <c r="K280" s="68">
        <f>_xlfn.XLOOKUP($A280,'09'!$G$3:$G$100,'09'!$R$3:$R$100,"-")</f>
        <v/>
      </c>
      <c r="L280" s="68">
        <f>_xlfn.XLOOKUP($A280,'10'!$G$3:$G$100,'10'!$R$3:$R$100,"-")</f>
        <v/>
      </c>
      <c r="M280" s="68">
        <f>_xlfn.XLOOKUP($A280,'11'!$G$3:$G$100,'11'!$R$3:$R$100,"-")</f>
        <v/>
      </c>
      <c r="N280" s="68">
        <f>_xlfn.XLOOKUP($A280,'12'!$G$3:$G$100,'12'!$R$3:$R$100,"-")</f>
        <v/>
      </c>
      <c r="O280" s="79">
        <f>SUM(C280:N280)</f>
        <v/>
      </c>
      <c r="P280" s="74" t="n"/>
      <c r="Q280" s="82" t="n">
        <v>278</v>
      </c>
      <c r="R280" s="38" t="n"/>
      <c r="S280" s="61" t="n">
        <v>0</v>
      </c>
      <c r="T280" s="68" t="n">
        <v>0</v>
      </c>
      <c r="U280" s="68" t="n">
        <v>0</v>
      </c>
      <c r="V280" s="68" t="n">
        <v>0</v>
      </c>
      <c r="W280" s="68" t="n">
        <v>0</v>
      </c>
      <c r="X280" s="68" t="n">
        <v>0</v>
      </c>
      <c r="Y280" s="68" t="n">
        <v>0</v>
      </c>
      <c r="Z280" s="68" t="n">
        <v>0</v>
      </c>
      <c r="AA280" s="68" t="n">
        <v>0</v>
      </c>
      <c r="AB280" s="68" t="n">
        <v>0</v>
      </c>
      <c r="AC280" s="68" t="n">
        <v>0</v>
      </c>
      <c r="AD280" s="68" t="n">
        <v>0</v>
      </c>
      <c r="AE280" s="68" t="n">
        <v>0</v>
      </c>
      <c r="AF280" s="79" t="n">
        <v>0</v>
      </c>
      <c r="AG280" s="74" t="n">
        <v>0</v>
      </c>
      <c r="AH280" s="82" t="n">
        <v>278</v>
      </c>
    </row>
    <row r="281" ht="18" customHeight="1">
      <c r="C281" s="68">
        <f>_xlfn.XLOOKUP($A281,'01'!$G$3:$G$100,'01'!$R$3:$R$100,"-")</f>
        <v/>
      </c>
      <c r="D281" s="68">
        <f>_xlfn.XLOOKUP($A281,'02'!$G$3:$G$100,'02'!$R$3:$R$100,"-")</f>
        <v/>
      </c>
      <c r="E281" s="68">
        <f>_xlfn.XLOOKUP($A281,'03'!$G$3:$G$100,'03'!$R$3:$R$100,"-")</f>
        <v/>
      </c>
      <c r="F281" s="68">
        <f>_xlfn.XLOOKUP($A281,'04'!$G$3:$G$100,'04'!$R$3:$R$100,"-")</f>
        <v/>
      </c>
      <c r="G281" s="68">
        <f>_xlfn.XLOOKUP($A281,'05'!$G$3:$G$100,'05'!$R$3:$R$100,"-")</f>
        <v/>
      </c>
      <c r="H281" s="68">
        <f>_xlfn.XLOOKUP($A281,'06'!$G$3:$G$100,'06'!$R$3:$R$100,"-")</f>
        <v/>
      </c>
      <c r="I281" s="68">
        <f>_xlfn.XLOOKUP($A281,'07'!$G$3:$G$100,'07'!$R$3:$R$100,"-")</f>
        <v/>
      </c>
      <c r="J281" s="68">
        <f>_xlfn.XLOOKUP($A281,'08'!$G$3:$G$100,'08'!$R$3:$R$100,"-")</f>
        <v/>
      </c>
      <c r="K281" s="68">
        <f>_xlfn.XLOOKUP($A281,'09'!$G$3:$G$100,'09'!$R$3:$R$100,"-")</f>
        <v/>
      </c>
      <c r="L281" s="68">
        <f>_xlfn.XLOOKUP($A281,'10'!$G$3:$G$100,'10'!$R$3:$R$100,"-")</f>
        <v/>
      </c>
      <c r="M281" s="68">
        <f>_xlfn.XLOOKUP($A281,'11'!$G$3:$G$100,'11'!$R$3:$R$100,"-")</f>
        <v/>
      </c>
      <c r="N281" s="68">
        <f>_xlfn.XLOOKUP($A281,'12'!$G$3:$G$100,'12'!$R$3:$R$100,"-")</f>
        <v/>
      </c>
      <c r="O281" s="79">
        <f>SUM(C281:N281)</f>
        <v/>
      </c>
      <c r="P281" s="74" t="n"/>
      <c r="Q281" s="82" t="n">
        <v>279</v>
      </c>
      <c r="R281" s="38" t="n"/>
      <c r="S281" s="61" t="n">
        <v>0</v>
      </c>
      <c r="T281" s="68" t="n">
        <v>0</v>
      </c>
      <c r="U281" s="68" t="n">
        <v>0</v>
      </c>
      <c r="V281" s="68" t="n">
        <v>0</v>
      </c>
      <c r="W281" s="68" t="n">
        <v>0</v>
      </c>
      <c r="X281" s="68" t="n">
        <v>0</v>
      </c>
      <c r="Y281" s="68" t="n">
        <v>0</v>
      </c>
      <c r="Z281" s="68" t="n">
        <v>0</v>
      </c>
      <c r="AA281" s="68" t="n">
        <v>0</v>
      </c>
      <c r="AB281" s="68" t="n">
        <v>0</v>
      </c>
      <c r="AC281" s="68" t="n">
        <v>0</v>
      </c>
      <c r="AD281" s="68" t="n">
        <v>0</v>
      </c>
      <c r="AE281" s="68" t="n">
        <v>0</v>
      </c>
      <c r="AF281" s="79" t="n">
        <v>0</v>
      </c>
      <c r="AG281" s="74" t="n">
        <v>0</v>
      </c>
      <c r="AH281" s="82" t="n">
        <v>279</v>
      </c>
    </row>
    <row r="282" ht="18" customHeight="1">
      <c r="C282" s="68">
        <f>_xlfn.XLOOKUP($A282,'01'!$G$3:$G$100,'01'!$R$3:$R$100,"-")</f>
        <v/>
      </c>
      <c r="D282" s="68">
        <f>_xlfn.XLOOKUP($A282,'02'!$G$3:$G$100,'02'!$R$3:$R$100,"-")</f>
        <v/>
      </c>
      <c r="E282" s="68">
        <f>_xlfn.XLOOKUP($A282,'03'!$G$3:$G$100,'03'!$R$3:$R$100,"-")</f>
        <v/>
      </c>
      <c r="F282" s="68">
        <f>_xlfn.XLOOKUP($A282,'04'!$G$3:$G$100,'04'!$R$3:$R$100,"-")</f>
        <v/>
      </c>
      <c r="G282" s="68">
        <f>_xlfn.XLOOKUP($A282,'05'!$G$3:$G$100,'05'!$R$3:$R$100,"-")</f>
        <v/>
      </c>
      <c r="H282" s="68">
        <f>_xlfn.XLOOKUP($A282,'06'!$G$3:$G$100,'06'!$R$3:$R$100,"-")</f>
        <v/>
      </c>
      <c r="I282" s="68">
        <f>_xlfn.XLOOKUP($A282,'07'!$G$3:$G$100,'07'!$R$3:$R$100,"-")</f>
        <v/>
      </c>
      <c r="J282" s="68">
        <f>_xlfn.XLOOKUP($A282,'08'!$G$3:$G$100,'08'!$R$3:$R$100,"-")</f>
        <v/>
      </c>
      <c r="K282" s="68">
        <f>_xlfn.XLOOKUP($A282,'09'!$G$3:$G$100,'09'!$R$3:$R$100,"-")</f>
        <v/>
      </c>
      <c r="L282" s="68">
        <f>_xlfn.XLOOKUP($A282,'10'!$G$3:$G$100,'10'!$R$3:$R$100,"-")</f>
        <v/>
      </c>
      <c r="M282" s="68">
        <f>_xlfn.XLOOKUP($A282,'11'!$G$3:$G$100,'11'!$R$3:$R$100,"-")</f>
        <v/>
      </c>
      <c r="N282" s="68">
        <f>_xlfn.XLOOKUP($A282,'12'!$G$3:$G$100,'12'!$R$3:$R$100,"-")</f>
        <v/>
      </c>
      <c r="O282" s="79">
        <f>SUM(C282:N282)</f>
        <v/>
      </c>
      <c r="P282" s="74" t="n"/>
      <c r="Q282" s="82" t="n">
        <v>280</v>
      </c>
      <c r="R282" s="38" t="n"/>
      <c r="S282" s="61" t="n">
        <v>0</v>
      </c>
      <c r="T282" s="68" t="n">
        <v>0</v>
      </c>
      <c r="U282" s="68" t="n">
        <v>0</v>
      </c>
      <c r="V282" s="68" t="n">
        <v>0</v>
      </c>
      <c r="W282" s="68" t="n">
        <v>0</v>
      </c>
      <c r="X282" s="68" t="n">
        <v>0</v>
      </c>
      <c r="Y282" s="68" t="n">
        <v>0</v>
      </c>
      <c r="Z282" s="68" t="n">
        <v>0</v>
      </c>
      <c r="AA282" s="68" t="n">
        <v>0</v>
      </c>
      <c r="AB282" s="68" t="n">
        <v>0</v>
      </c>
      <c r="AC282" s="68" t="n">
        <v>0</v>
      </c>
      <c r="AD282" s="68" t="n">
        <v>0</v>
      </c>
      <c r="AE282" s="68" t="n">
        <v>0</v>
      </c>
      <c r="AF282" s="79" t="n">
        <v>0</v>
      </c>
      <c r="AG282" s="74" t="n">
        <v>0</v>
      </c>
      <c r="AH282" s="82" t="n">
        <v>280</v>
      </c>
    </row>
    <row r="283" ht="18" customHeight="1">
      <c r="C283" s="68">
        <f>_xlfn.XLOOKUP($A283,'01'!$G$3:$G$100,'01'!$R$3:$R$100,"-")</f>
        <v/>
      </c>
      <c r="D283" s="68">
        <f>_xlfn.XLOOKUP($A283,'02'!$G$3:$G$100,'02'!$R$3:$R$100,"-")</f>
        <v/>
      </c>
      <c r="E283" s="68">
        <f>_xlfn.XLOOKUP($A283,'03'!$G$3:$G$100,'03'!$R$3:$R$100,"-")</f>
        <v/>
      </c>
      <c r="F283" s="68">
        <f>_xlfn.XLOOKUP($A283,'04'!$G$3:$G$100,'04'!$R$3:$R$100,"-")</f>
        <v/>
      </c>
      <c r="G283" s="68">
        <f>_xlfn.XLOOKUP($A283,'05'!$G$3:$G$100,'05'!$R$3:$R$100,"-")</f>
        <v/>
      </c>
      <c r="H283" s="68">
        <f>_xlfn.XLOOKUP($A283,'06'!$G$3:$G$100,'06'!$R$3:$R$100,"-")</f>
        <v/>
      </c>
      <c r="I283" s="68">
        <f>_xlfn.XLOOKUP($A283,'07'!$G$3:$G$100,'07'!$R$3:$R$100,"-")</f>
        <v/>
      </c>
      <c r="J283" s="68">
        <f>_xlfn.XLOOKUP($A283,'08'!$G$3:$G$100,'08'!$R$3:$R$100,"-")</f>
        <v/>
      </c>
      <c r="K283" s="68">
        <f>_xlfn.XLOOKUP($A283,'09'!$G$3:$G$100,'09'!$R$3:$R$100,"-")</f>
        <v/>
      </c>
      <c r="L283" s="68">
        <f>_xlfn.XLOOKUP($A283,'10'!$G$3:$G$100,'10'!$R$3:$R$100,"-")</f>
        <v/>
      </c>
      <c r="M283" s="68">
        <f>_xlfn.XLOOKUP($A283,'11'!$G$3:$G$100,'11'!$R$3:$R$100,"-")</f>
        <v/>
      </c>
      <c r="N283" s="68">
        <f>_xlfn.XLOOKUP($A283,'12'!$G$3:$G$100,'12'!$R$3:$R$100,"-")</f>
        <v/>
      </c>
      <c r="O283" s="79">
        <f>SUM(C283:N283)</f>
        <v/>
      </c>
      <c r="P283" s="74" t="n"/>
      <c r="Q283" s="82" t="n">
        <v>281</v>
      </c>
      <c r="R283" s="38" t="n"/>
      <c r="S283" s="61" t="n">
        <v>0</v>
      </c>
      <c r="T283" s="68" t="n">
        <v>0</v>
      </c>
      <c r="U283" s="68" t="n">
        <v>0</v>
      </c>
      <c r="V283" s="68" t="n">
        <v>0</v>
      </c>
      <c r="W283" s="68" t="n">
        <v>0</v>
      </c>
      <c r="X283" s="68" t="n">
        <v>0</v>
      </c>
      <c r="Y283" s="68" t="n">
        <v>0</v>
      </c>
      <c r="Z283" s="68" t="n">
        <v>0</v>
      </c>
      <c r="AA283" s="68" t="n">
        <v>0</v>
      </c>
      <c r="AB283" s="68" t="n">
        <v>0</v>
      </c>
      <c r="AC283" s="68" t="n">
        <v>0</v>
      </c>
      <c r="AD283" s="68" t="n">
        <v>0</v>
      </c>
      <c r="AE283" s="68" t="n">
        <v>0</v>
      </c>
      <c r="AF283" s="79" t="n">
        <v>0</v>
      </c>
      <c r="AG283" s="74" t="n">
        <v>0</v>
      </c>
      <c r="AH283" s="82" t="n">
        <v>281</v>
      </c>
    </row>
    <row r="284" ht="18" customHeight="1">
      <c r="C284" s="68">
        <f>_xlfn.XLOOKUP($A284,'01'!$G$3:$G$100,'01'!$R$3:$R$100,"-")</f>
        <v/>
      </c>
      <c r="D284" s="68">
        <f>_xlfn.XLOOKUP($A284,'02'!$G$3:$G$100,'02'!$R$3:$R$100,"-")</f>
        <v/>
      </c>
      <c r="E284" s="68">
        <f>_xlfn.XLOOKUP($A284,'03'!$G$3:$G$100,'03'!$R$3:$R$100,"-")</f>
        <v/>
      </c>
      <c r="F284" s="68">
        <f>_xlfn.XLOOKUP($A284,'04'!$G$3:$G$100,'04'!$R$3:$R$100,"-")</f>
        <v/>
      </c>
      <c r="G284" s="68">
        <f>_xlfn.XLOOKUP($A284,'05'!$G$3:$G$100,'05'!$R$3:$R$100,"-")</f>
        <v/>
      </c>
      <c r="H284" s="68">
        <f>_xlfn.XLOOKUP($A284,'06'!$G$3:$G$100,'06'!$R$3:$R$100,"-")</f>
        <v/>
      </c>
      <c r="I284" s="68">
        <f>_xlfn.XLOOKUP($A284,'07'!$G$3:$G$100,'07'!$R$3:$R$100,"-")</f>
        <v/>
      </c>
      <c r="J284" s="68">
        <f>_xlfn.XLOOKUP($A284,'08'!$G$3:$G$100,'08'!$R$3:$R$100,"-")</f>
        <v/>
      </c>
      <c r="K284" s="68">
        <f>_xlfn.XLOOKUP($A284,'09'!$G$3:$G$100,'09'!$R$3:$R$100,"-")</f>
        <v/>
      </c>
      <c r="L284" s="68">
        <f>_xlfn.XLOOKUP($A284,'10'!$G$3:$G$100,'10'!$R$3:$R$100,"-")</f>
        <v/>
      </c>
      <c r="M284" s="68">
        <f>_xlfn.XLOOKUP($A284,'11'!$G$3:$G$100,'11'!$R$3:$R$100,"-")</f>
        <v/>
      </c>
      <c r="N284" s="68">
        <f>_xlfn.XLOOKUP($A284,'12'!$G$3:$G$100,'12'!$R$3:$R$100,"-")</f>
        <v/>
      </c>
      <c r="O284" s="79">
        <f>SUM(C284:N284)</f>
        <v/>
      </c>
      <c r="P284" s="74" t="n"/>
      <c r="Q284" s="82" t="n">
        <v>282</v>
      </c>
      <c r="R284" s="38" t="n"/>
      <c r="S284" s="61" t="n">
        <v>0</v>
      </c>
      <c r="T284" s="68" t="n">
        <v>0</v>
      </c>
      <c r="U284" s="68" t="n">
        <v>0</v>
      </c>
      <c r="V284" s="68" t="n">
        <v>0</v>
      </c>
      <c r="W284" s="68" t="n">
        <v>0</v>
      </c>
      <c r="X284" s="68" t="n">
        <v>0</v>
      </c>
      <c r="Y284" s="68" t="n">
        <v>0</v>
      </c>
      <c r="Z284" s="68" t="n">
        <v>0</v>
      </c>
      <c r="AA284" s="68" t="n">
        <v>0</v>
      </c>
      <c r="AB284" s="68" t="n">
        <v>0</v>
      </c>
      <c r="AC284" s="68" t="n">
        <v>0</v>
      </c>
      <c r="AD284" s="68" t="n">
        <v>0</v>
      </c>
      <c r="AE284" s="68" t="n">
        <v>0</v>
      </c>
      <c r="AF284" s="79" t="n">
        <v>0</v>
      </c>
      <c r="AG284" s="74" t="n">
        <v>0</v>
      </c>
      <c r="AH284" s="82" t="n">
        <v>282</v>
      </c>
    </row>
    <row r="285" ht="18" customHeight="1">
      <c r="C285" s="68">
        <f>_xlfn.XLOOKUP($A285,'01'!$G$3:$G$100,'01'!$R$3:$R$100,"-")</f>
        <v/>
      </c>
      <c r="D285" s="68">
        <f>_xlfn.XLOOKUP($A285,'02'!$G$3:$G$100,'02'!$R$3:$R$100,"-")</f>
        <v/>
      </c>
      <c r="E285" s="68">
        <f>_xlfn.XLOOKUP($A285,'03'!$G$3:$G$100,'03'!$R$3:$R$100,"-")</f>
        <v/>
      </c>
      <c r="F285" s="68">
        <f>_xlfn.XLOOKUP($A285,'04'!$G$3:$G$100,'04'!$R$3:$R$100,"-")</f>
        <v/>
      </c>
      <c r="G285" s="68">
        <f>_xlfn.XLOOKUP($A285,'05'!$G$3:$G$100,'05'!$R$3:$R$100,"-")</f>
        <v/>
      </c>
      <c r="H285" s="68">
        <f>_xlfn.XLOOKUP($A285,'06'!$G$3:$G$100,'06'!$R$3:$R$100,"-")</f>
        <v/>
      </c>
      <c r="I285" s="68">
        <f>_xlfn.XLOOKUP($A285,'07'!$G$3:$G$100,'07'!$R$3:$R$100,"-")</f>
        <v/>
      </c>
      <c r="J285" s="68">
        <f>_xlfn.XLOOKUP($A285,'08'!$G$3:$G$100,'08'!$R$3:$R$100,"-")</f>
        <v/>
      </c>
      <c r="K285" s="68">
        <f>_xlfn.XLOOKUP($A285,'09'!$G$3:$G$100,'09'!$R$3:$R$100,"-")</f>
        <v/>
      </c>
      <c r="L285" s="68">
        <f>_xlfn.XLOOKUP($A285,'10'!$G$3:$G$100,'10'!$R$3:$R$100,"-")</f>
        <v/>
      </c>
      <c r="M285" s="68">
        <f>_xlfn.XLOOKUP($A285,'11'!$G$3:$G$100,'11'!$R$3:$R$100,"-")</f>
        <v/>
      </c>
      <c r="N285" s="68">
        <f>_xlfn.XLOOKUP($A285,'12'!$G$3:$G$100,'12'!$R$3:$R$100,"-")</f>
        <v/>
      </c>
      <c r="O285" s="79">
        <f>SUM(C285:N285)</f>
        <v/>
      </c>
      <c r="P285" s="74" t="n"/>
      <c r="Q285" s="82" t="n">
        <v>283</v>
      </c>
      <c r="R285" s="38" t="n"/>
      <c r="S285" s="61" t="n">
        <v>0</v>
      </c>
      <c r="T285" s="68" t="n">
        <v>0</v>
      </c>
      <c r="U285" s="68" t="n">
        <v>0</v>
      </c>
      <c r="V285" s="68" t="n">
        <v>0</v>
      </c>
      <c r="W285" s="68" t="n">
        <v>0</v>
      </c>
      <c r="X285" s="68" t="n">
        <v>0</v>
      </c>
      <c r="Y285" s="68" t="n">
        <v>0</v>
      </c>
      <c r="Z285" s="68" t="n">
        <v>0</v>
      </c>
      <c r="AA285" s="68" t="n">
        <v>0</v>
      </c>
      <c r="AB285" s="68" t="n">
        <v>0</v>
      </c>
      <c r="AC285" s="68" t="n">
        <v>0</v>
      </c>
      <c r="AD285" s="68" t="n">
        <v>0</v>
      </c>
      <c r="AE285" s="68" t="n">
        <v>0</v>
      </c>
      <c r="AF285" s="79" t="n">
        <v>0</v>
      </c>
      <c r="AG285" s="74" t="n">
        <v>0</v>
      </c>
      <c r="AH285" s="82" t="n">
        <v>283</v>
      </c>
    </row>
    <row r="286" ht="18" customHeight="1">
      <c r="C286" s="68">
        <f>_xlfn.XLOOKUP($A286,'01'!$G$3:$G$100,'01'!$R$3:$R$100,"-")</f>
        <v/>
      </c>
      <c r="D286" s="68">
        <f>_xlfn.XLOOKUP($A286,'02'!$G$3:$G$100,'02'!$R$3:$R$100,"-")</f>
        <v/>
      </c>
      <c r="E286" s="68">
        <f>_xlfn.XLOOKUP($A286,'03'!$G$3:$G$100,'03'!$R$3:$R$100,"-")</f>
        <v/>
      </c>
      <c r="F286" s="68">
        <f>_xlfn.XLOOKUP($A286,'04'!$G$3:$G$100,'04'!$R$3:$R$100,"-")</f>
        <v/>
      </c>
      <c r="G286" s="68">
        <f>_xlfn.XLOOKUP($A286,'05'!$G$3:$G$100,'05'!$R$3:$R$100,"-")</f>
        <v/>
      </c>
      <c r="H286" s="68">
        <f>_xlfn.XLOOKUP($A286,'06'!$G$3:$G$100,'06'!$R$3:$R$100,"-")</f>
        <v/>
      </c>
      <c r="I286" s="68">
        <f>_xlfn.XLOOKUP($A286,'07'!$G$3:$G$100,'07'!$R$3:$R$100,"-")</f>
        <v/>
      </c>
      <c r="J286" s="68">
        <f>_xlfn.XLOOKUP($A286,'08'!$G$3:$G$100,'08'!$R$3:$R$100,"-")</f>
        <v/>
      </c>
      <c r="K286" s="68">
        <f>_xlfn.XLOOKUP($A286,'09'!$G$3:$G$100,'09'!$R$3:$R$100,"-")</f>
        <v/>
      </c>
      <c r="L286" s="68">
        <f>_xlfn.XLOOKUP($A286,'10'!$G$3:$G$100,'10'!$R$3:$R$100,"-")</f>
        <v/>
      </c>
      <c r="M286" s="68">
        <f>_xlfn.XLOOKUP($A286,'11'!$G$3:$G$100,'11'!$R$3:$R$100,"-")</f>
        <v/>
      </c>
      <c r="N286" s="68">
        <f>_xlfn.XLOOKUP($A286,'12'!$G$3:$G$100,'12'!$R$3:$R$100,"-")</f>
        <v/>
      </c>
      <c r="O286" s="79">
        <f>SUM(C286:N286)</f>
        <v/>
      </c>
      <c r="P286" s="74" t="n"/>
      <c r="Q286" s="82" t="n">
        <v>284</v>
      </c>
      <c r="R286" s="38" t="n"/>
      <c r="S286" s="61" t="n">
        <v>0</v>
      </c>
      <c r="T286" s="68" t="n">
        <v>0</v>
      </c>
      <c r="U286" s="68" t="n">
        <v>0</v>
      </c>
      <c r="V286" s="68" t="n">
        <v>0</v>
      </c>
      <c r="W286" s="68" t="n">
        <v>0</v>
      </c>
      <c r="X286" s="68" t="n">
        <v>0</v>
      </c>
      <c r="Y286" s="68" t="n">
        <v>0</v>
      </c>
      <c r="Z286" s="68" t="n">
        <v>0</v>
      </c>
      <c r="AA286" s="68" t="n">
        <v>0</v>
      </c>
      <c r="AB286" s="68" t="n">
        <v>0</v>
      </c>
      <c r="AC286" s="68" t="n">
        <v>0</v>
      </c>
      <c r="AD286" s="68" t="n">
        <v>0</v>
      </c>
      <c r="AE286" s="68" t="n">
        <v>0</v>
      </c>
      <c r="AF286" s="79" t="n">
        <v>0</v>
      </c>
      <c r="AG286" s="74" t="n">
        <v>0</v>
      </c>
      <c r="AH286" s="82" t="n">
        <v>284</v>
      </c>
    </row>
    <row r="287" ht="18" customHeight="1">
      <c r="C287" s="68">
        <f>_xlfn.XLOOKUP($A287,'01'!$G$3:$G$100,'01'!$R$3:$R$100,"-")</f>
        <v/>
      </c>
      <c r="D287" s="68">
        <f>_xlfn.XLOOKUP($A287,'02'!$G$3:$G$100,'02'!$R$3:$R$100,"-")</f>
        <v/>
      </c>
      <c r="E287" s="68">
        <f>_xlfn.XLOOKUP($A287,'03'!$G$3:$G$100,'03'!$R$3:$R$100,"-")</f>
        <v/>
      </c>
      <c r="F287" s="68">
        <f>_xlfn.XLOOKUP($A287,'04'!$G$3:$G$100,'04'!$R$3:$R$100,"-")</f>
        <v/>
      </c>
      <c r="G287" s="68">
        <f>_xlfn.XLOOKUP($A287,'05'!$G$3:$G$100,'05'!$R$3:$R$100,"-")</f>
        <v/>
      </c>
      <c r="H287" s="68">
        <f>_xlfn.XLOOKUP($A287,'06'!$G$3:$G$100,'06'!$R$3:$R$100,"-")</f>
        <v/>
      </c>
      <c r="I287" s="68">
        <f>_xlfn.XLOOKUP($A287,'07'!$G$3:$G$100,'07'!$R$3:$R$100,"-")</f>
        <v/>
      </c>
      <c r="J287" s="68">
        <f>_xlfn.XLOOKUP($A287,'08'!$G$3:$G$100,'08'!$R$3:$R$100,"-")</f>
        <v/>
      </c>
      <c r="K287" s="68">
        <f>_xlfn.XLOOKUP($A287,'09'!$G$3:$G$100,'09'!$R$3:$R$100,"-")</f>
        <v/>
      </c>
      <c r="L287" s="68">
        <f>_xlfn.XLOOKUP($A287,'10'!$G$3:$G$100,'10'!$R$3:$R$100,"-")</f>
        <v/>
      </c>
      <c r="M287" s="68">
        <f>_xlfn.XLOOKUP($A287,'11'!$G$3:$G$100,'11'!$R$3:$R$100,"-")</f>
        <v/>
      </c>
      <c r="N287" s="68">
        <f>_xlfn.XLOOKUP($A287,'12'!$G$3:$G$100,'12'!$R$3:$R$100,"-")</f>
        <v/>
      </c>
      <c r="O287" s="79">
        <f>SUM(C287:N287)</f>
        <v/>
      </c>
      <c r="P287" s="74" t="n"/>
      <c r="Q287" s="83" t="n">
        <v>285</v>
      </c>
      <c r="R287" s="38" t="n"/>
      <c r="S287" s="61" t="n">
        <v>0</v>
      </c>
      <c r="T287" s="68" t="n">
        <v>0</v>
      </c>
      <c r="U287" s="68" t="n">
        <v>0</v>
      </c>
      <c r="V287" s="68" t="n">
        <v>0</v>
      </c>
      <c r="W287" s="68" t="n">
        <v>0</v>
      </c>
      <c r="X287" s="68" t="n">
        <v>0</v>
      </c>
      <c r="Y287" s="68" t="n">
        <v>0</v>
      </c>
      <c r="Z287" s="68" t="n">
        <v>0</v>
      </c>
      <c r="AA287" s="68" t="n">
        <v>0</v>
      </c>
      <c r="AB287" s="68" t="n">
        <v>0</v>
      </c>
      <c r="AC287" s="68" t="n">
        <v>0</v>
      </c>
      <c r="AD287" s="68" t="n">
        <v>0</v>
      </c>
      <c r="AE287" s="68" t="n">
        <v>0</v>
      </c>
      <c r="AF287" s="79" t="n">
        <v>0</v>
      </c>
      <c r="AG287" s="74" t="n">
        <v>0</v>
      </c>
      <c r="AH287" s="83" t="n">
        <v>285</v>
      </c>
    </row>
    <row r="288" ht="18" customHeight="1">
      <c r="C288" s="68">
        <f>_xlfn.XLOOKUP($A288,'01'!$G$3:$G$100,'01'!$R$3:$R$100,"-")</f>
        <v/>
      </c>
      <c r="D288" s="68">
        <f>_xlfn.XLOOKUP($A288,'02'!$G$3:$G$100,'02'!$R$3:$R$100,"-")</f>
        <v/>
      </c>
      <c r="E288" s="68">
        <f>_xlfn.XLOOKUP($A288,'03'!$G$3:$G$100,'03'!$R$3:$R$100,"-")</f>
        <v/>
      </c>
      <c r="F288" s="68">
        <f>_xlfn.XLOOKUP($A288,'04'!$G$3:$G$100,'04'!$R$3:$R$100,"-")</f>
        <v/>
      </c>
      <c r="G288" s="68">
        <f>_xlfn.XLOOKUP($A288,'05'!$G$3:$G$100,'05'!$R$3:$R$100,"-")</f>
        <v/>
      </c>
      <c r="H288" s="68">
        <f>_xlfn.XLOOKUP($A288,'06'!$G$3:$G$100,'06'!$R$3:$R$100,"-")</f>
        <v/>
      </c>
      <c r="I288" s="68">
        <f>_xlfn.XLOOKUP($A288,'07'!$G$3:$G$100,'07'!$R$3:$R$100,"-")</f>
        <v/>
      </c>
      <c r="J288" s="68">
        <f>_xlfn.XLOOKUP($A288,'08'!$G$3:$G$100,'08'!$R$3:$R$100,"-")</f>
        <v/>
      </c>
      <c r="K288" s="68">
        <f>_xlfn.XLOOKUP($A288,'09'!$G$3:$G$100,'09'!$R$3:$R$100,"-")</f>
        <v/>
      </c>
      <c r="L288" s="68">
        <f>_xlfn.XLOOKUP($A288,'10'!$G$3:$G$100,'10'!$R$3:$R$100,"-")</f>
        <v/>
      </c>
      <c r="M288" s="68">
        <f>_xlfn.XLOOKUP($A288,'11'!$G$3:$G$100,'11'!$R$3:$R$100,"-")</f>
        <v/>
      </c>
      <c r="N288" s="68">
        <f>_xlfn.XLOOKUP($A288,'12'!$G$3:$G$100,'12'!$R$3:$R$100,"-")</f>
        <v/>
      </c>
      <c r="O288" s="79">
        <f>SUM(C288:N288)</f>
        <v/>
      </c>
      <c r="P288" s="74" t="n"/>
      <c r="Q288" s="82" t="n">
        <v>286</v>
      </c>
      <c r="R288" s="38" t="n"/>
      <c r="S288" s="61" t="n">
        <v>0</v>
      </c>
      <c r="T288" s="68" t="n">
        <v>0</v>
      </c>
      <c r="U288" s="68" t="n">
        <v>0</v>
      </c>
      <c r="V288" s="68" t="n">
        <v>0</v>
      </c>
      <c r="W288" s="68" t="n">
        <v>0</v>
      </c>
      <c r="X288" s="68" t="n">
        <v>0</v>
      </c>
      <c r="Y288" s="68" t="n">
        <v>0</v>
      </c>
      <c r="Z288" s="68" t="n">
        <v>0</v>
      </c>
      <c r="AA288" s="68" t="n">
        <v>0</v>
      </c>
      <c r="AB288" s="68" t="n">
        <v>0</v>
      </c>
      <c r="AC288" s="68" t="n">
        <v>0</v>
      </c>
      <c r="AD288" s="68" t="n">
        <v>0</v>
      </c>
      <c r="AE288" s="68" t="n">
        <v>0</v>
      </c>
      <c r="AF288" s="79" t="n">
        <v>0</v>
      </c>
      <c r="AG288" s="74" t="n">
        <v>0</v>
      </c>
      <c r="AH288" s="82" t="n">
        <v>286</v>
      </c>
    </row>
    <row r="289" ht="18" customHeight="1">
      <c r="C289" s="68">
        <f>_xlfn.XLOOKUP($A289,'01'!$G$3:$G$100,'01'!$R$3:$R$100,"-")</f>
        <v/>
      </c>
      <c r="D289" s="68">
        <f>_xlfn.XLOOKUP($A289,'02'!$G$3:$G$100,'02'!$R$3:$R$100,"-")</f>
        <v/>
      </c>
      <c r="E289" s="68">
        <f>_xlfn.XLOOKUP($A289,'03'!$G$3:$G$100,'03'!$R$3:$R$100,"-")</f>
        <v/>
      </c>
      <c r="F289" s="68">
        <f>_xlfn.XLOOKUP($A289,'04'!$G$3:$G$100,'04'!$R$3:$R$100,"-")</f>
        <v/>
      </c>
      <c r="G289" s="68">
        <f>_xlfn.XLOOKUP($A289,'05'!$G$3:$G$100,'05'!$R$3:$R$100,"-")</f>
        <v/>
      </c>
      <c r="H289" s="68">
        <f>_xlfn.XLOOKUP($A289,'06'!$G$3:$G$100,'06'!$R$3:$R$100,"-")</f>
        <v/>
      </c>
      <c r="I289" s="68">
        <f>_xlfn.XLOOKUP($A289,'07'!$G$3:$G$100,'07'!$R$3:$R$100,"-")</f>
        <v/>
      </c>
      <c r="J289" s="68">
        <f>_xlfn.XLOOKUP($A289,'08'!$G$3:$G$100,'08'!$R$3:$R$100,"-")</f>
        <v/>
      </c>
      <c r="K289" s="68">
        <f>_xlfn.XLOOKUP($A289,'09'!$G$3:$G$100,'09'!$R$3:$R$100,"-")</f>
        <v/>
      </c>
      <c r="L289" s="68">
        <f>_xlfn.XLOOKUP($A289,'10'!$G$3:$G$100,'10'!$R$3:$R$100,"-")</f>
        <v/>
      </c>
      <c r="M289" s="68">
        <f>_xlfn.XLOOKUP($A289,'11'!$G$3:$G$100,'11'!$R$3:$R$100,"-")</f>
        <v/>
      </c>
      <c r="N289" s="68">
        <f>_xlfn.XLOOKUP($A289,'12'!$G$3:$G$100,'12'!$R$3:$R$100,"-")</f>
        <v/>
      </c>
      <c r="O289" s="79">
        <f>SUM(C289:N289)</f>
        <v/>
      </c>
      <c r="P289" s="74" t="n"/>
      <c r="Q289" s="82" t="n">
        <v>287</v>
      </c>
      <c r="R289" s="38" t="n"/>
      <c r="S289" s="61" t="n">
        <v>0</v>
      </c>
      <c r="T289" s="68" t="n">
        <v>0</v>
      </c>
      <c r="U289" s="68" t="n">
        <v>0</v>
      </c>
      <c r="V289" s="68" t="n">
        <v>0</v>
      </c>
      <c r="W289" s="68" t="n">
        <v>0</v>
      </c>
      <c r="X289" s="68" t="n">
        <v>0</v>
      </c>
      <c r="Y289" s="68" t="n">
        <v>0</v>
      </c>
      <c r="Z289" s="68" t="n">
        <v>0</v>
      </c>
      <c r="AA289" s="68" t="n">
        <v>0</v>
      </c>
      <c r="AB289" s="68" t="n">
        <v>0</v>
      </c>
      <c r="AC289" s="68" t="n">
        <v>0</v>
      </c>
      <c r="AD289" s="68" t="n">
        <v>0</v>
      </c>
      <c r="AE289" s="68" t="n">
        <v>0</v>
      </c>
      <c r="AF289" s="79" t="n">
        <v>0</v>
      </c>
      <c r="AG289" s="74" t="n">
        <v>0</v>
      </c>
      <c r="AH289" s="82" t="n">
        <v>287</v>
      </c>
    </row>
    <row r="290" ht="18" customHeight="1">
      <c r="C290" s="68">
        <f>_xlfn.XLOOKUP($A290,'01'!$G$3:$G$100,'01'!$R$3:$R$100,"-")</f>
        <v/>
      </c>
      <c r="D290" s="68">
        <f>_xlfn.XLOOKUP($A290,'02'!$G$3:$G$100,'02'!$R$3:$R$100,"-")</f>
        <v/>
      </c>
      <c r="E290" s="68">
        <f>_xlfn.XLOOKUP($A290,'03'!$G$3:$G$100,'03'!$R$3:$R$100,"-")</f>
        <v/>
      </c>
      <c r="F290" s="68">
        <f>_xlfn.XLOOKUP($A290,'04'!$G$3:$G$100,'04'!$R$3:$R$100,"-")</f>
        <v/>
      </c>
      <c r="G290" s="68">
        <f>_xlfn.XLOOKUP($A290,'05'!$G$3:$G$100,'05'!$R$3:$R$100,"-")</f>
        <v/>
      </c>
      <c r="H290" s="68">
        <f>_xlfn.XLOOKUP($A290,'06'!$G$3:$G$100,'06'!$R$3:$R$100,"-")</f>
        <v/>
      </c>
      <c r="I290" s="68">
        <f>_xlfn.XLOOKUP($A290,'07'!$G$3:$G$100,'07'!$R$3:$R$100,"-")</f>
        <v/>
      </c>
      <c r="J290" s="68">
        <f>_xlfn.XLOOKUP($A290,'08'!$G$3:$G$100,'08'!$R$3:$R$100,"-")</f>
        <v/>
      </c>
      <c r="K290" s="68">
        <f>_xlfn.XLOOKUP($A290,'09'!$G$3:$G$100,'09'!$R$3:$R$100,"-")</f>
        <v/>
      </c>
      <c r="L290" s="68">
        <f>_xlfn.XLOOKUP($A290,'10'!$G$3:$G$100,'10'!$R$3:$R$100,"-")</f>
        <v/>
      </c>
      <c r="M290" s="68">
        <f>_xlfn.XLOOKUP($A290,'11'!$G$3:$G$100,'11'!$R$3:$R$100,"-")</f>
        <v/>
      </c>
      <c r="N290" s="68">
        <f>_xlfn.XLOOKUP($A290,'12'!$G$3:$G$100,'12'!$R$3:$R$100,"-")</f>
        <v/>
      </c>
      <c r="O290" s="79">
        <f>SUM(C290:N290)</f>
        <v/>
      </c>
      <c r="P290" s="74" t="n"/>
      <c r="Q290" s="82" t="n">
        <v>288</v>
      </c>
      <c r="R290" s="38" t="n"/>
      <c r="S290" s="61" t="n">
        <v>0</v>
      </c>
      <c r="T290" s="68" t="n">
        <v>0</v>
      </c>
      <c r="U290" s="68" t="n">
        <v>0</v>
      </c>
      <c r="V290" s="68" t="n">
        <v>0</v>
      </c>
      <c r="W290" s="68" t="n">
        <v>0</v>
      </c>
      <c r="X290" s="68" t="n">
        <v>0</v>
      </c>
      <c r="Y290" s="68" t="n">
        <v>0</v>
      </c>
      <c r="Z290" s="68" t="n">
        <v>0</v>
      </c>
      <c r="AA290" s="68" t="n">
        <v>0</v>
      </c>
      <c r="AB290" s="68" t="n">
        <v>0</v>
      </c>
      <c r="AC290" s="68" t="n">
        <v>0</v>
      </c>
      <c r="AD290" s="68" t="n">
        <v>0</v>
      </c>
      <c r="AE290" s="68" t="n">
        <v>0</v>
      </c>
      <c r="AF290" s="79" t="n">
        <v>0</v>
      </c>
      <c r="AG290" s="74" t="n">
        <v>0</v>
      </c>
      <c r="AH290" s="82" t="n">
        <v>288</v>
      </c>
    </row>
    <row r="291" ht="18" customHeight="1">
      <c r="C291" s="68">
        <f>_xlfn.XLOOKUP($A291,'01'!$G$3:$G$100,'01'!$R$3:$R$100,"-")</f>
        <v/>
      </c>
      <c r="D291" s="68">
        <f>_xlfn.XLOOKUP($A291,'02'!$G$3:$G$100,'02'!$R$3:$R$100,"-")</f>
        <v/>
      </c>
      <c r="E291" s="68">
        <f>_xlfn.XLOOKUP($A291,'03'!$G$3:$G$100,'03'!$R$3:$R$100,"-")</f>
        <v/>
      </c>
      <c r="F291" s="68">
        <f>_xlfn.XLOOKUP($A291,'04'!$G$3:$G$100,'04'!$R$3:$R$100,"-")</f>
        <v/>
      </c>
      <c r="G291" s="68">
        <f>_xlfn.XLOOKUP($A291,'05'!$G$3:$G$100,'05'!$R$3:$R$100,"-")</f>
        <v/>
      </c>
      <c r="H291" s="68">
        <f>_xlfn.XLOOKUP($A291,'06'!$G$3:$G$100,'06'!$R$3:$R$100,"-")</f>
        <v/>
      </c>
      <c r="I291" s="68">
        <f>_xlfn.XLOOKUP($A291,'07'!$G$3:$G$100,'07'!$R$3:$R$100,"-")</f>
        <v/>
      </c>
      <c r="J291" s="68">
        <f>_xlfn.XLOOKUP($A291,'08'!$G$3:$G$100,'08'!$R$3:$R$100,"-")</f>
        <v/>
      </c>
      <c r="K291" s="68">
        <f>_xlfn.XLOOKUP($A291,'09'!$G$3:$G$100,'09'!$R$3:$R$100,"-")</f>
        <v/>
      </c>
      <c r="L291" s="68">
        <f>_xlfn.XLOOKUP($A291,'10'!$G$3:$G$100,'10'!$R$3:$R$100,"-")</f>
        <v/>
      </c>
      <c r="M291" s="68">
        <f>_xlfn.XLOOKUP($A291,'11'!$G$3:$G$100,'11'!$R$3:$R$100,"-")</f>
        <v/>
      </c>
      <c r="N291" s="68">
        <f>_xlfn.XLOOKUP($A291,'12'!$G$3:$G$100,'12'!$R$3:$R$100,"-")</f>
        <v/>
      </c>
      <c r="O291" s="79">
        <f>SUM(C291:N291)</f>
        <v/>
      </c>
      <c r="P291" s="74" t="n"/>
      <c r="Q291" s="82" t="n">
        <v>289</v>
      </c>
      <c r="R291" s="38" t="n"/>
      <c r="S291" s="61" t="n">
        <v>0</v>
      </c>
      <c r="T291" s="68" t="n">
        <v>0</v>
      </c>
      <c r="U291" s="68" t="n">
        <v>0</v>
      </c>
      <c r="V291" s="68" t="n">
        <v>0</v>
      </c>
      <c r="W291" s="68" t="n">
        <v>0</v>
      </c>
      <c r="X291" s="68" t="n">
        <v>0</v>
      </c>
      <c r="Y291" s="68" t="n">
        <v>0</v>
      </c>
      <c r="Z291" s="68" t="n">
        <v>0</v>
      </c>
      <c r="AA291" s="68" t="n">
        <v>0</v>
      </c>
      <c r="AB291" s="68" t="n">
        <v>0</v>
      </c>
      <c r="AC291" s="68" t="n">
        <v>0</v>
      </c>
      <c r="AD291" s="68" t="n">
        <v>0</v>
      </c>
      <c r="AE291" s="68" t="n">
        <v>0</v>
      </c>
      <c r="AF291" s="79" t="n">
        <v>0</v>
      </c>
      <c r="AG291" s="74" t="n">
        <v>0</v>
      </c>
      <c r="AH291" s="82" t="n">
        <v>289</v>
      </c>
    </row>
    <row r="292" ht="18" customHeight="1">
      <c r="C292" s="68">
        <f>_xlfn.XLOOKUP($A292,'01'!$G$3:$G$100,'01'!$R$3:$R$100,"-")</f>
        <v/>
      </c>
      <c r="D292" s="68">
        <f>_xlfn.XLOOKUP($A292,'02'!$G$3:$G$100,'02'!$R$3:$R$100,"-")</f>
        <v/>
      </c>
      <c r="E292" s="68">
        <f>_xlfn.XLOOKUP($A292,'03'!$G$3:$G$100,'03'!$R$3:$R$100,"-")</f>
        <v/>
      </c>
      <c r="F292" s="68">
        <f>_xlfn.XLOOKUP($A292,'04'!$G$3:$G$100,'04'!$R$3:$R$100,"-")</f>
        <v/>
      </c>
      <c r="G292" s="68">
        <f>_xlfn.XLOOKUP($A292,'05'!$G$3:$G$100,'05'!$R$3:$R$100,"-")</f>
        <v/>
      </c>
      <c r="H292" s="68">
        <f>_xlfn.XLOOKUP($A292,'06'!$G$3:$G$100,'06'!$R$3:$R$100,"-")</f>
        <v/>
      </c>
      <c r="I292" s="68">
        <f>_xlfn.XLOOKUP($A292,'07'!$G$3:$G$100,'07'!$R$3:$R$100,"-")</f>
        <v/>
      </c>
      <c r="J292" s="68">
        <f>_xlfn.XLOOKUP($A292,'08'!$G$3:$G$100,'08'!$R$3:$R$100,"-")</f>
        <v/>
      </c>
      <c r="K292" s="68">
        <f>_xlfn.XLOOKUP($A292,'09'!$G$3:$G$100,'09'!$R$3:$R$100,"-")</f>
        <v/>
      </c>
      <c r="L292" s="68">
        <f>_xlfn.XLOOKUP($A292,'10'!$G$3:$G$100,'10'!$R$3:$R$100,"-")</f>
        <v/>
      </c>
      <c r="M292" s="68">
        <f>_xlfn.XLOOKUP($A292,'11'!$G$3:$G$100,'11'!$R$3:$R$100,"-")</f>
        <v/>
      </c>
      <c r="N292" s="68">
        <f>_xlfn.XLOOKUP($A292,'12'!$G$3:$G$100,'12'!$R$3:$R$100,"-")</f>
        <v/>
      </c>
      <c r="O292" s="79">
        <f>SUM(C292:N292)</f>
        <v/>
      </c>
      <c r="P292" s="74" t="n"/>
      <c r="Q292" s="82" t="n">
        <v>290</v>
      </c>
      <c r="R292" s="38" t="n"/>
      <c r="S292" s="61" t="n">
        <v>0</v>
      </c>
      <c r="T292" s="68" t="n">
        <v>0</v>
      </c>
      <c r="U292" s="68" t="n">
        <v>0</v>
      </c>
      <c r="V292" s="68" t="n">
        <v>0</v>
      </c>
      <c r="W292" s="68" t="n">
        <v>0</v>
      </c>
      <c r="X292" s="68" t="n">
        <v>0</v>
      </c>
      <c r="Y292" s="68" t="n">
        <v>0</v>
      </c>
      <c r="Z292" s="68" t="n">
        <v>0</v>
      </c>
      <c r="AA292" s="68" t="n">
        <v>0</v>
      </c>
      <c r="AB292" s="68" t="n">
        <v>0</v>
      </c>
      <c r="AC292" s="68" t="n">
        <v>0</v>
      </c>
      <c r="AD292" s="68" t="n">
        <v>0</v>
      </c>
      <c r="AE292" s="68" t="n">
        <v>0</v>
      </c>
      <c r="AF292" s="79" t="n">
        <v>0</v>
      </c>
      <c r="AG292" s="74" t="n">
        <v>0</v>
      </c>
      <c r="AH292" s="82" t="n">
        <v>290</v>
      </c>
    </row>
    <row r="293" ht="18" customHeight="1">
      <c r="C293" s="68">
        <f>_xlfn.XLOOKUP($A293,'01'!$G$3:$G$100,'01'!$R$3:$R$100,"-")</f>
        <v/>
      </c>
      <c r="D293" s="68">
        <f>_xlfn.XLOOKUP($A293,'02'!$G$3:$G$100,'02'!$R$3:$R$100,"-")</f>
        <v/>
      </c>
      <c r="E293" s="68">
        <f>_xlfn.XLOOKUP($A293,'03'!$G$3:$G$100,'03'!$R$3:$R$100,"-")</f>
        <v/>
      </c>
      <c r="F293" s="68">
        <f>_xlfn.XLOOKUP($A293,'04'!$G$3:$G$100,'04'!$R$3:$R$100,"-")</f>
        <v/>
      </c>
      <c r="G293" s="68">
        <f>_xlfn.XLOOKUP($A293,'05'!$G$3:$G$100,'05'!$R$3:$R$100,"-")</f>
        <v/>
      </c>
      <c r="H293" s="68">
        <f>_xlfn.XLOOKUP($A293,'06'!$G$3:$G$100,'06'!$R$3:$R$100,"-")</f>
        <v/>
      </c>
      <c r="I293" s="68">
        <f>_xlfn.XLOOKUP($A293,'07'!$G$3:$G$100,'07'!$R$3:$R$100,"-")</f>
        <v/>
      </c>
      <c r="J293" s="68">
        <f>_xlfn.XLOOKUP($A293,'08'!$G$3:$G$100,'08'!$R$3:$R$100,"-")</f>
        <v/>
      </c>
      <c r="K293" s="68">
        <f>_xlfn.XLOOKUP($A293,'09'!$G$3:$G$100,'09'!$R$3:$R$100,"-")</f>
        <v/>
      </c>
      <c r="L293" s="68">
        <f>_xlfn.XLOOKUP($A293,'10'!$G$3:$G$100,'10'!$R$3:$R$100,"-")</f>
        <v/>
      </c>
      <c r="M293" s="68">
        <f>_xlfn.XLOOKUP($A293,'11'!$G$3:$G$100,'11'!$R$3:$R$100,"-")</f>
        <v/>
      </c>
      <c r="N293" s="68">
        <f>_xlfn.XLOOKUP($A293,'12'!$G$3:$G$100,'12'!$R$3:$R$100,"-")</f>
        <v/>
      </c>
      <c r="O293" s="79">
        <f>SUM(C293:N293)</f>
        <v/>
      </c>
      <c r="P293" s="74" t="n"/>
      <c r="Q293" s="82" t="n">
        <v>291</v>
      </c>
      <c r="R293" s="38" t="n"/>
      <c r="S293" s="61" t="n">
        <v>0</v>
      </c>
      <c r="T293" s="68" t="n">
        <v>0</v>
      </c>
      <c r="U293" s="68" t="n">
        <v>0</v>
      </c>
      <c r="V293" s="68" t="n">
        <v>0</v>
      </c>
      <c r="W293" s="68" t="n">
        <v>0</v>
      </c>
      <c r="X293" s="68" t="n">
        <v>0</v>
      </c>
      <c r="Y293" s="68" t="n">
        <v>0</v>
      </c>
      <c r="Z293" s="68" t="n">
        <v>0</v>
      </c>
      <c r="AA293" s="68" t="n">
        <v>0</v>
      </c>
      <c r="AB293" s="68" t="n">
        <v>0</v>
      </c>
      <c r="AC293" s="68" t="n">
        <v>0</v>
      </c>
      <c r="AD293" s="68" t="n">
        <v>0</v>
      </c>
      <c r="AE293" s="68" t="n">
        <v>0</v>
      </c>
      <c r="AF293" s="79" t="n">
        <v>0</v>
      </c>
      <c r="AG293" s="74" t="n">
        <v>0</v>
      </c>
      <c r="AH293" s="82" t="n">
        <v>291</v>
      </c>
    </row>
    <row r="294" ht="18" customHeight="1">
      <c r="C294" s="68">
        <f>_xlfn.XLOOKUP($A294,'01'!$G$3:$G$100,'01'!$R$3:$R$100,"-")</f>
        <v/>
      </c>
      <c r="D294" s="68">
        <f>_xlfn.XLOOKUP($A294,'02'!$G$3:$G$100,'02'!$R$3:$R$100,"-")</f>
        <v/>
      </c>
      <c r="E294" s="68">
        <f>_xlfn.XLOOKUP($A294,'03'!$G$3:$G$100,'03'!$R$3:$R$100,"-")</f>
        <v/>
      </c>
      <c r="F294" s="68">
        <f>_xlfn.XLOOKUP($A294,'04'!$G$3:$G$100,'04'!$R$3:$R$100,"-")</f>
        <v/>
      </c>
      <c r="G294" s="68">
        <f>_xlfn.XLOOKUP($A294,'05'!$G$3:$G$100,'05'!$R$3:$R$100,"-")</f>
        <v/>
      </c>
      <c r="H294" s="68">
        <f>_xlfn.XLOOKUP($A294,'06'!$G$3:$G$100,'06'!$R$3:$R$100,"-")</f>
        <v/>
      </c>
      <c r="I294" s="68">
        <f>_xlfn.XLOOKUP($A294,'07'!$G$3:$G$100,'07'!$R$3:$R$100,"-")</f>
        <v/>
      </c>
      <c r="J294" s="68">
        <f>_xlfn.XLOOKUP($A294,'08'!$G$3:$G$100,'08'!$R$3:$R$100,"-")</f>
        <v/>
      </c>
      <c r="K294" s="68">
        <f>_xlfn.XLOOKUP($A294,'09'!$G$3:$G$100,'09'!$R$3:$R$100,"-")</f>
        <v/>
      </c>
      <c r="L294" s="68">
        <f>_xlfn.XLOOKUP($A294,'10'!$G$3:$G$100,'10'!$R$3:$R$100,"-")</f>
        <v/>
      </c>
      <c r="M294" s="68">
        <f>_xlfn.XLOOKUP($A294,'11'!$G$3:$G$100,'11'!$R$3:$R$100,"-")</f>
        <v/>
      </c>
      <c r="N294" s="68">
        <f>_xlfn.XLOOKUP($A294,'12'!$G$3:$G$100,'12'!$R$3:$R$100,"-")</f>
        <v/>
      </c>
      <c r="O294" s="79">
        <f>SUM(C294:N294)</f>
        <v/>
      </c>
      <c r="P294" s="74" t="n"/>
      <c r="Q294" s="82" t="n">
        <v>292</v>
      </c>
      <c r="R294" s="38" t="n"/>
      <c r="S294" s="61" t="n">
        <v>0</v>
      </c>
      <c r="T294" s="68" t="n">
        <v>0</v>
      </c>
      <c r="U294" s="68" t="n">
        <v>0</v>
      </c>
      <c r="V294" s="68" t="n">
        <v>0</v>
      </c>
      <c r="W294" s="68" t="n">
        <v>0</v>
      </c>
      <c r="X294" s="68" t="n">
        <v>0</v>
      </c>
      <c r="Y294" s="68" t="n">
        <v>0</v>
      </c>
      <c r="Z294" s="68" t="n">
        <v>0</v>
      </c>
      <c r="AA294" s="68" t="n">
        <v>0</v>
      </c>
      <c r="AB294" s="68" t="n">
        <v>0</v>
      </c>
      <c r="AC294" s="68" t="n">
        <v>0</v>
      </c>
      <c r="AD294" s="68" t="n">
        <v>0</v>
      </c>
      <c r="AE294" s="68" t="n">
        <v>0</v>
      </c>
      <c r="AF294" s="79" t="n">
        <v>0</v>
      </c>
      <c r="AG294" s="74" t="n">
        <v>0</v>
      </c>
      <c r="AH294" s="82" t="n">
        <v>292</v>
      </c>
    </row>
    <row r="295" ht="18" customHeight="1">
      <c r="C295" s="68">
        <f>_xlfn.XLOOKUP($A295,'01'!$G$3:$G$100,'01'!$R$3:$R$100,"-")</f>
        <v/>
      </c>
      <c r="D295" s="68">
        <f>_xlfn.XLOOKUP($A295,'02'!$G$3:$G$100,'02'!$R$3:$R$100,"-")</f>
        <v/>
      </c>
      <c r="E295" s="68">
        <f>_xlfn.XLOOKUP($A295,'03'!$G$3:$G$100,'03'!$R$3:$R$100,"-")</f>
        <v/>
      </c>
      <c r="F295" s="68">
        <f>_xlfn.XLOOKUP($A295,'04'!$G$3:$G$100,'04'!$R$3:$R$100,"-")</f>
        <v/>
      </c>
      <c r="G295" s="68">
        <f>_xlfn.XLOOKUP($A295,'05'!$G$3:$G$100,'05'!$R$3:$R$100,"-")</f>
        <v/>
      </c>
      <c r="H295" s="68">
        <f>_xlfn.XLOOKUP($A295,'06'!$G$3:$G$100,'06'!$R$3:$R$100,"-")</f>
        <v/>
      </c>
      <c r="I295" s="68">
        <f>_xlfn.XLOOKUP($A295,'07'!$G$3:$G$100,'07'!$R$3:$R$100,"-")</f>
        <v/>
      </c>
      <c r="J295" s="68">
        <f>_xlfn.XLOOKUP($A295,'08'!$G$3:$G$100,'08'!$R$3:$R$100,"-")</f>
        <v/>
      </c>
      <c r="K295" s="68">
        <f>_xlfn.XLOOKUP($A295,'09'!$G$3:$G$100,'09'!$R$3:$R$100,"-")</f>
        <v/>
      </c>
      <c r="L295" s="68">
        <f>_xlfn.XLOOKUP($A295,'10'!$G$3:$G$100,'10'!$R$3:$R$100,"-")</f>
        <v/>
      </c>
      <c r="M295" s="68">
        <f>_xlfn.XLOOKUP($A295,'11'!$G$3:$G$100,'11'!$R$3:$R$100,"-")</f>
        <v/>
      </c>
      <c r="N295" s="68">
        <f>_xlfn.XLOOKUP($A295,'12'!$G$3:$G$100,'12'!$R$3:$R$100,"-")</f>
        <v/>
      </c>
      <c r="O295" s="79">
        <f>SUM(C295:N295)</f>
        <v/>
      </c>
      <c r="P295" s="74" t="n"/>
      <c r="Q295" s="82" t="n">
        <v>293</v>
      </c>
      <c r="R295" s="38" t="n"/>
      <c r="S295" s="61" t="n">
        <v>0</v>
      </c>
      <c r="T295" s="68" t="n">
        <v>0</v>
      </c>
      <c r="U295" s="68" t="n">
        <v>0</v>
      </c>
      <c r="V295" s="68" t="n">
        <v>0</v>
      </c>
      <c r="W295" s="68" t="n">
        <v>0</v>
      </c>
      <c r="X295" s="68" t="n">
        <v>0</v>
      </c>
      <c r="Y295" s="68" t="n">
        <v>0</v>
      </c>
      <c r="Z295" s="68" t="n">
        <v>0</v>
      </c>
      <c r="AA295" s="68" t="n">
        <v>0</v>
      </c>
      <c r="AB295" s="68" t="n">
        <v>0</v>
      </c>
      <c r="AC295" s="68" t="n">
        <v>0</v>
      </c>
      <c r="AD295" s="68" t="n">
        <v>0</v>
      </c>
      <c r="AE295" s="68" t="n">
        <v>0</v>
      </c>
      <c r="AF295" s="79" t="n">
        <v>0</v>
      </c>
      <c r="AG295" s="74" t="n">
        <v>0</v>
      </c>
      <c r="AH295" s="82" t="n">
        <v>293</v>
      </c>
    </row>
    <row r="296" ht="18" customHeight="1">
      <c r="C296" s="68">
        <f>_xlfn.XLOOKUP($A296,'01'!$G$3:$G$100,'01'!$R$3:$R$100,"-")</f>
        <v/>
      </c>
      <c r="D296" s="68">
        <f>_xlfn.XLOOKUP($A296,'02'!$G$3:$G$100,'02'!$R$3:$R$100,"-")</f>
        <v/>
      </c>
      <c r="E296" s="68">
        <f>_xlfn.XLOOKUP($A296,'03'!$G$3:$G$100,'03'!$R$3:$R$100,"-")</f>
        <v/>
      </c>
      <c r="F296" s="68">
        <f>_xlfn.XLOOKUP($A296,'04'!$G$3:$G$100,'04'!$R$3:$R$100,"-")</f>
        <v/>
      </c>
      <c r="G296" s="68">
        <f>_xlfn.XLOOKUP($A296,'05'!$G$3:$G$100,'05'!$R$3:$R$100,"-")</f>
        <v/>
      </c>
      <c r="H296" s="68">
        <f>_xlfn.XLOOKUP($A296,'06'!$G$3:$G$100,'06'!$R$3:$R$100,"-")</f>
        <v/>
      </c>
      <c r="I296" s="68">
        <f>_xlfn.XLOOKUP($A296,'07'!$G$3:$G$100,'07'!$R$3:$R$100,"-")</f>
        <v/>
      </c>
      <c r="J296" s="68">
        <f>_xlfn.XLOOKUP($A296,'08'!$G$3:$G$100,'08'!$R$3:$R$100,"-")</f>
        <v/>
      </c>
      <c r="K296" s="68">
        <f>_xlfn.XLOOKUP($A296,'09'!$G$3:$G$100,'09'!$R$3:$R$100,"-")</f>
        <v/>
      </c>
      <c r="L296" s="68">
        <f>_xlfn.XLOOKUP($A296,'10'!$G$3:$G$100,'10'!$R$3:$R$100,"-")</f>
        <v/>
      </c>
      <c r="M296" s="68">
        <f>_xlfn.XLOOKUP($A296,'11'!$G$3:$G$100,'11'!$R$3:$R$100,"-")</f>
        <v/>
      </c>
      <c r="N296" s="68">
        <f>_xlfn.XLOOKUP($A296,'12'!$G$3:$G$100,'12'!$R$3:$R$100,"-")</f>
        <v/>
      </c>
      <c r="O296" s="79">
        <f>SUM(C296:N296)</f>
        <v/>
      </c>
      <c r="P296" s="74" t="n"/>
      <c r="Q296" s="82" t="n">
        <v>294</v>
      </c>
      <c r="R296" s="38" t="n"/>
      <c r="S296" s="61" t="n">
        <v>0</v>
      </c>
      <c r="T296" s="68" t="n">
        <v>0</v>
      </c>
      <c r="U296" s="68" t="n">
        <v>0</v>
      </c>
      <c r="V296" s="68" t="n">
        <v>0</v>
      </c>
      <c r="W296" s="68" t="n">
        <v>0</v>
      </c>
      <c r="X296" s="68" t="n">
        <v>0</v>
      </c>
      <c r="Y296" s="68" t="n">
        <v>0</v>
      </c>
      <c r="Z296" s="68" t="n">
        <v>0</v>
      </c>
      <c r="AA296" s="68" t="n">
        <v>0</v>
      </c>
      <c r="AB296" s="68" t="n">
        <v>0</v>
      </c>
      <c r="AC296" s="68" t="n">
        <v>0</v>
      </c>
      <c r="AD296" s="68" t="n">
        <v>0</v>
      </c>
      <c r="AE296" s="68" t="n">
        <v>0</v>
      </c>
      <c r="AF296" s="79" t="n">
        <v>0</v>
      </c>
      <c r="AG296" s="74" t="n">
        <v>0</v>
      </c>
      <c r="AH296" s="82" t="n">
        <v>294</v>
      </c>
    </row>
    <row r="297" ht="18" customHeight="1">
      <c r="C297" s="68">
        <f>_xlfn.XLOOKUP($A297,'01'!$G$3:$G$100,'01'!$R$3:$R$100,"-")</f>
        <v/>
      </c>
      <c r="D297" s="68">
        <f>_xlfn.XLOOKUP($A297,'02'!$G$3:$G$100,'02'!$R$3:$R$100,"-")</f>
        <v/>
      </c>
      <c r="E297" s="68">
        <f>_xlfn.XLOOKUP($A297,'03'!$G$3:$G$100,'03'!$R$3:$R$100,"-")</f>
        <v/>
      </c>
      <c r="F297" s="68">
        <f>_xlfn.XLOOKUP($A297,'04'!$G$3:$G$100,'04'!$R$3:$R$100,"-")</f>
        <v/>
      </c>
      <c r="G297" s="68">
        <f>_xlfn.XLOOKUP($A297,'05'!$G$3:$G$100,'05'!$R$3:$R$100,"-")</f>
        <v/>
      </c>
      <c r="H297" s="68">
        <f>_xlfn.XLOOKUP($A297,'06'!$G$3:$G$100,'06'!$R$3:$R$100,"-")</f>
        <v/>
      </c>
      <c r="I297" s="68">
        <f>_xlfn.XLOOKUP($A297,'07'!$G$3:$G$100,'07'!$R$3:$R$100,"-")</f>
        <v/>
      </c>
      <c r="J297" s="68">
        <f>_xlfn.XLOOKUP($A297,'08'!$G$3:$G$100,'08'!$R$3:$R$100,"-")</f>
        <v/>
      </c>
      <c r="K297" s="68">
        <f>_xlfn.XLOOKUP($A297,'09'!$G$3:$G$100,'09'!$R$3:$R$100,"-")</f>
        <v/>
      </c>
      <c r="L297" s="68">
        <f>_xlfn.XLOOKUP($A297,'10'!$G$3:$G$100,'10'!$R$3:$R$100,"-")</f>
        <v/>
      </c>
      <c r="M297" s="68">
        <f>_xlfn.XLOOKUP($A297,'11'!$G$3:$G$100,'11'!$R$3:$R$100,"-")</f>
        <v/>
      </c>
      <c r="N297" s="68">
        <f>_xlfn.XLOOKUP($A297,'12'!$G$3:$G$100,'12'!$R$3:$R$100,"-")</f>
        <v/>
      </c>
      <c r="O297" s="79">
        <f>SUM(C297:N297)</f>
        <v/>
      </c>
      <c r="P297" s="74" t="n"/>
      <c r="Q297" s="83" t="n">
        <v>295</v>
      </c>
      <c r="R297" s="38" t="n"/>
      <c r="S297" s="61" t="n">
        <v>0</v>
      </c>
      <c r="T297" s="68" t="n">
        <v>0</v>
      </c>
      <c r="U297" s="68" t="n">
        <v>0</v>
      </c>
      <c r="V297" s="68" t="n">
        <v>0</v>
      </c>
      <c r="W297" s="68" t="n">
        <v>0</v>
      </c>
      <c r="X297" s="68" t="n">
        <v>0</v>
      </c>
      <c r="Y297" s="68" t="n">
        <v>0</v>
      </c>
      <c r="Z297" s="68" t="n">
        <v>0</v>
      </c>
      <c r="AA297" s="68" t="n">
        <v>0</v>
      </c>
      <c r="AB297" s="68" t="n">
        <v>0</v>
      </c>
      <c r="AC297" s="68" t="n">
        <v>0</v>
      </c>
      <c r="AD297" s="68" t="n">
        <v>0</v>
      </c>
      <c r="AE297" s="68" t="n">
        <v>0</v>
      </c>
      <c r="AF297" s="79" t="n">
        <v>0</v>
      </c>
      <c r="AG297" s="74" t="n">
        <v>0</v>
      </c>
      <c r="AH297" s="83" t="n">
        <v>295</v>
      </c>
    </row>
    <row r="298" ht="18" customHeight="1">
      <c r="C298" s="68">
        <f>_xlfn.XLOOKUP($A298,'01'!$G$3:$G$100,'01'!$R$3:$R$100,"-")</f>
        <v/>
      </c>
      <c r="D298" s="68">
        <f>_xlfn.XLOOKUP($A298,'02'!$G$3:$G$100,'02'!$R$3:$R$100,"-")</f>
        <v/>
      </c>
      <c r="E298" s="68">
        <f>_xlfn.XLOOKUP($A298,'03'!$G$3:$G$100,'03'!$R$3:$R$100,"-")</f>
        <v/>
      </c>
      <c r="F298" s="68">
        <f>_xlfn.XLOOKUP($A298,'04'!$G$3:$G$100,'04'!$R$3:$R$100,"-")</f>
        <v/>
      </c>
      <c r="G298" s="68">
        <f>_xlfn.XLOOKUP($A298,'05'!$G$3:$G$100,'05'!$R$3:$R$100,"-")</f>
        <v/>
      </c>
      <c r="H298" s="68">
        <f>_xlfn.XLOOKUP($A298,'06'!$G$3:$G$100,'06'!$R$3:$R$100,"-")</f>
        <v/>
      </c>
      <c r="I298" s="68">
        <f>_xlfn.XLOOKUP($A298,'07'!$G$3:$G$100,'07'!$R$3:$R$100,"-")</f>
        <v/>
      </c>
      <c r="J298" s="68">
        <f>_xlfn.XLOOKUP($A298,'08'!$G$3:$G$100,'08'!$R$3:$R$100,"-")</f>
        <v/>
      </c>
      <c r="K298" s="68">
        <f>_xlfn.XLOOKUP($A298,'09'!$G$3:$G$100,'09'!$R$3:$R$100,"-")</f>
        <v/>
      </c>
      <c r="L298" s="68">
        <f>_xlfn.XLOOKUP($A298,'10'!$G$3:$G$100,'10'!$R$3:$R$100,"-")</f>
        <v/>
      </c>
      <c r="M298" s="68">
        <f>_xlfn.XLOOKUP($A298,'11'!$G$3:$G$100,'11'!$R$3:$R$100,"-")</f>
        <v/>
      </c>
      <c r="N298" s="68">
        <f>_xlfn.XLOOKUP($A298,'12'!$G$3:$G$100,'12'!$R$3:$R$100,"-")</f>
        <v/>
      </c>
      <c r="O298" s="79">
        <f>SUM(C298:N298)</f>
        <v/>
      </c>
      <c r="P298" s="74" t="n"/>
      <c r="Q298" s="82" t="n">
        <v>296</v>
      </c>
      <c r="R298" s="38" t="n"/>
      <c r="S298" s="61" t="n">
        <v>0</v>
      </c>
      <c r="T298" s="68" t="n">
        <v>0</v>
      </c>
      <c r="U298" s="68" t="n">
        <v>0</v>
      </c>
      <c r="V298" s="68" t="n">
        <v>0</v>
      </c>
      <c r="W298" s="68" t="n">
        <v>0</v>
      </c>
      <c r="X298" s="68" t="n">
        <v>0</v>
      </c>
      <c r="Y298" s="68" t="n">
        <v>0</v>
      </c>
      <c r="Z298" s="68" t="n">
        <v>0</v>
      </c>
      <c r="AA298" s="68" t="n">
        <v>0</v>
      </c>
      <c r="AB298" s="68" t="n">
        <v>0</v>
      </c>
      <c r="AC298" s="68" t="n">
        <v>0</v>
      </c>
      <c r="AD298" s="68" t="n">
        <v>0</v>
      </c>
      <c r="AE298" s="68" t="n">
        <v>0</v>
      </c>
      <c r="AF298" s="79" t="n">
        <v>0</v>
      </c>
      <c r="AG298" s="74" t="n">
        <v>0</v>
      </c>
      <c r="AH298" s="82" t="n">
        <v>296</v>
      </c>
    </row>
    <row r="299" ht="18" customHeight="1">
      <c r="C299" s="68">
        <f>_xlfn.XLOOKUP($A299,'01'!$G$3:$G$100,'01'!$R$3:$R$100,"-")</f>
        <v/>
      </c>
      <c r="D299" s="68">
        <f>_xlfn.XLOOKUP($A299,'02'!$G$3:$G$100,'02'!$R$3:$R$100,"-")</f>
        <v/>
      </c>
      <c r="E299" s="68">
        <f>_xlfn.XLOOKUP($A299,'03'!$G$3:$G$100,'03'!$R$3:$R$100,"-")</f>
        <v/>
      </c>
      <c r="F299" s="68">
        <f>_xlfn.XLOOKUP($A299,'04'!$G$3:$G$100,'04'!$R$3:$R$100,"-")</f>
        <v/>
      </c>
      <c r="G299" s="68">
        <f>_xlfn.XLOOKUP($A299,'05'!$G$3:$G$100,'05'!$R$3:$R$100,"-")</f>
        <v/>
      </c>
      <c r="H299" s="68">
        <f>_xlfn.XLOOKUP($A299,'06'!$G$3:$G$100,'06'!$R$3:$R$100,"-")</f>
        <v/>
      </c>
      <c r="I299" s="68">
        <f>_xlfn.XLOOKUP($A299,'07'!$G$3:$G$100,'07'!$R$3:$R$100,"-")</f>
        <v/>
      </c>
      <c r="J299" s="68">
        <f>_xlfn.XLOOKUP($A299,'08'!$G$3:$G$100,'08'!$R$3:$R$100,"-")</f>
        <v/>
      </c>
      <c r="K299" s="68">
        <f>_xlfn.XLOOKUP($A299,'09'!$G$3:$G$100,'09'!$R$3:$R$100,"-")</f>
        <v/>
      </c>
      <c r="L299" s="68">
        <f>_xlfn.XLOOKUP($A299,'10'!$G$3:$G$100,'10'!$R$3:$R$100,"-")</f>
        <v/>
      </c>
      <c r="M299" s="68">
        <f>_xlfn.XLOOKUP($A299,'11'!$G$3:$G$100,'11'!$R$3:$R$100,"-")</f>
        <v/>
      </c>
      <c r="N299" s="68">
        <f>_xlfn.XLOOKUP($A299,'12'!$G$3:$G$100,'12'!$R$3:$R$100,"-")</f>
        <v/>
      </c>
      <c r="O299" s="79">
        <f>SUM(C299:N299)</f>
        <v/>
      </c>
      <c r="P299" s="74" t="n"/>
      <c r="Q299" s="82" t="n">
        <v>297</v>
      </c>
      <c r="R299" s="38" t="n"/>
      <c r="S299" s="61" t="n">
        <v>0</v>
      </c>
      <c r="T299" s="68" t="n">
        <v>0</v>
      </c>
      <c r="U299" s="68" t="n">
        <v>0</v>
      </c>
      <c r="V299" s="68" t="n">
        <v>0</v>
      </c>
      <c r="W299" s="68" t="n">
        <v>0</v>
      </c>
      <c r="X299" s="68" t="n">
        <v>0</v>
      </c>
      <c r="Y299" s="68" t="n">
        <v>0</v>
      </c>
      <c r="Z299" s="68" t="n">
        <v>0</v>
      </c>
      <c r="AA299" s="68" t="n">
        <v>0</v>
      </c>
      <c r="AB299" s="68" t="n">
        <v>0</v>
      </c>
      <c r="AC299" s="68" t="n">
        <v>0</v>
      </c>
      <c r="AD299" s="68" t="n">
        <v>0</v>
      </c>
      <c r="AE299" s="68" t="n">
        <v>0</v>
      </c>
      <c r="AF299" s="79" t="n">
        <v>0</v>
      </c>
      <c r="AG299" s="74" t="n">
        <v>0</v>
      </c>
      <c r="AH299" s="82" t="n">
        <v>297</v>
      </c>
    </row>
    <row r="300" ht="18" customHeight="1">
      <c r="C300" s="68">
        <f>_xlfn.XLOOKUP($A300,'01'!$G$3:$G$100,'01'!$R$3:$R$100,"-")</f>
        <v/>
      </c>
      <c r="D300" s="68">
        <f>_xlfn.XLOOKUP($A300,'02'!$G$3:$G$100,'02'!$R$3:$R$100,"-")</f>
        <v/>
      </c>
      <c r="E300" s="68">
        <f>_xlfn.XLOOKUP($A300,'03'!$G$3:$G$100,'03'!$R$3:$R$100,"-")</f>
        <v/>
      </c>
      <c r="F300" s="68">
        <f>_xlfn.XLOOKUP($A300,'04'!$G$3:$G$100,'04'!$R$3:$R$100,"-")</f>
        <v/>
      </c>
      <c r="G300" s="68">
        <f>_xlfn.XLOOKUP($A300,'05'!$G$3:$G$100,'05'!$R$3:$R$100,"-")</f>
        <v/>
      </c>
      <c r="H300" s="68">
        <f>_xlfn.XLOOKUP($A300,'06'!$G$3:$G$100,'06'!$R$3:$R$100,"-")</f>
        <v/>
      </c>
      <c r="I300" s="68">
        <f>_xlfn.XLOOKUP($A300,'07'!$G$3:$G$100,'07'!$R$3:$R$100,"-")</f>
        <v/>
      </c>
      <c r="J300" s="68">
        <f>_xlfn.XLOOKUP($A300,'08'!$G$3:$G$100,'08'!$R$3:$R$100,"-")</f>
        <v/>
      </c>
      <c r="K300" s="68">
        <f>_xlfn.XLOOKUP($A300,'09'!$G$3:$G$100,'09'!$R$3:$R$100,"-")</f>
        <v/>
      </c>
      <c r="L300" s="68">
        <f>_xlfn.XLOOKUP($A300,'10'!$G$3:$G$100,'10'!$R$3:$R$100,"-")</f>
        <v/>
      </c>
      <c r="M300" s="68">
        <f>_xlfn.XLOOKUP($A300,'11'!$G$3:$G$100,'11'!$R$3:$R$100,"-")</f>
        <v/>
      </c>
      <c r="N300" s="68">
        <f>_xlfn.XLOOKUP($A300,'12'!$G$3:$G$100,'12'!$R$3:$R$100,"-")</f>
        <v/>
      </c>
      <c r="O300" s="79">
        <f>SUM(C300:N300)</f>
        <v/>
      </c>
      <c r="P300" s="74" t="n"/>
      <c r="Q300" s="82" t="n">
        <v>298</v>
      </c>
      <c r="R300" s="38" t="n"/>
      <c r="S300" s="61" t="n">
        <v>0</v>
      </c>
      <c r="T300" s="68" t="n">
        <v>0</v>
      </c>
      <c r="U300" s="68" t="n">
        <v>0</v>
      </c>
      <c r="V300" s="68" t="n">
        <v>0</v>
      </c>
      <c r="W300" s="68" t="n">
        <v>0</v>
      </c>
      <c r="X300" s="68" t="n">
        <v>0</v>
      </c>
      <c r="Y300" s="68" t="n">
        <v>0</v>
      </c>
      <c r="Z300" s="68" t="n">
        <v>0</v>
      </c>
      <c r="AA300" s="68" t="n">
        <v>0</v>
      </c>
      <c r="AB300" s="68" t="n">
        <v>0</v>
      </c>
      <c r="AC300" s="68" t="n">
        <v>0</v>
      </c>
      <c r="AD300" s="68" t="n">
        <v>0</v>
      </c>
      <c r="AE300" s="68" t="n">
        <v>0</v>
      </c>
      <c r="AF300" s="79" t="n">
        <v>0</v>
      </c>
      <c r="AG300" s="74" t="n">
        <v>0</v>
      </c>
      <c r="AH300" s="82" t="n">
        <v>298</v>
      </c>
    </row>
    <row r="301" ht="18" customHeight="1">
      <c r="C301" s="68">
        <f>_xlfn.XLOOKUP($A301,'01'!$G$3:$G$100,'01'!$R$3:$R$100,"-")</f>
        <v/>
      </c>
      <c r="D301" s="68">
        <f>_xlfn.XLOOKUP($A301,'02'!$G$3:$G$100,'02'!$R$3:$R$100,"-")</f>
        <v/>
      </c>
      <c r="E301" s="68">
        <f>_xlfn.XLOOKUP($A301,'03'!$G$3:$G$100,'03'!$R$3:$R$100,"-")</f>
        <v/>
      </c>
      <c r="F301" s="68">
        <f>_xlfn.XLOOKUP($A301,'04'!$G$3:$G$100,'04'!$R$3:$R$100,"-")</f>
        <v/>
      </c>
      <c r="G301" s="68">
        <f>_xlfn.XLOOKUP($A301,'05'!$G$3:$G$100,'05'!$R$3:$R$100,"-")</f>
        <v/>
      </c>
      <c r="H301" s="68">
        <f>_xlfn.XLOOKUP($A301,'06'!$G$3:$G$100,'06'!$R$3:$R$100,"-")</f>
        <v/>
      </c>
      <c r="I301" s="68">
        <f>_xlfn.XLOOKUP($A301,'07'!$G$3:$G$100,'07'!$R$3:$R$100,"-")</f>
        <v/>
      </c>
      <c r="J301" s="68">
        <f>_xlfn.XLOOKUP($A301,'08'!$G$3:$G$100,'08'!$R$3:$R$100,"-")</f>
        <v/>
      </c>
      <c r="K301" s="68">
        <f>_xlfn.XLOOKUP($A301,'09'!$G$3:$G$100,'09'!$R$3:$R$100,"-")</f>
        <v/>
      </c>
      <c r="L301" s="68">
        <f>_xlfn.XLOOKUP($A301,'10'!$G$3:$G$100,'10'!$R$3:$R$100,"-")</f>
        <v/>
      </c>
      <c r="M301" s="68">
        <f>_xlfn.XLOOKUP($A301,'11'!$G$3:$G$100,'11'!$R$3:$R$100,"-")</f>
        <v/>
      </c>
      <c r="N301" s="68">
        <f>_xlfn.XLOOKUP($A301,'12'!$G$3:$G$100,'12'!$R$3:$R$100,"-")</f>
        <v/>
      </c>
      <c r="O301" s="79">
        <f>SUM(C301:N301)</f>
        <v/>
      </c>
      <c r="P301" s="74" t="n"/>
      <c r="Q301" s="82" t="n">
        <v>299</v>
      </c>
      <c r="R301" s="38" t="n"/>
      <c r="S301" s="61" t="n">
        <v>0</v>
      </c>
      <c r="T301" s="68" t="n">
        <v>0</v>
      </c>
      <c r="U301" s="68" t="n">
        <v>0</v>
      </c>
      <c r="V301" s="68" t="n">
        <v>0</v>
      </c>
      <c r="W301" s="68" t="n">
        <v>0</v>
      </c>
      <c r="X301" s="68" t="n">
        <v>0</v>
      </c>
      <c r="Y301" s="68" t="n">
        <v>0</v>
      </c>
      <c r="Z301" s="68" t="n">
        <v>0</v>
      </c>
      <c r="AA301" s="68" t="n">
        <v>0</v>
      </c>
      <c r="AB301" s="68" t="n">
        <v>0</v>
      </c>
      <c r="AC301" s="68" t="n">
        <v>0</v>
      </c>
      <c r="AD301" s="68" t="n">
        <v>0</v>
      </c>
      <c r="AE301" s="68" t="n">
        <v>0</v>
      </c>
      <c r="AF301" s="79" t="n">
        <v>0</v>
      </c>
      <c r="AG301" s="74" t="n">
        <v>0</v>
      </c>
      <c r="AH301" s="82" t="n">
        <v>299</v>
      </c>
    </row>
    <row r="302" ht="18" customHeight="1">
      <c r="C302" s="68">
        <f>_xlfn.XLOOKUP($A302,'01'!$G$3:$G$100,'01'!$R$3:$R$100,"-")</f>
        <v/>
      </c>
      <c r="D302" s="68">
        <f>_xlfn.XLOOKUP($A302,'02'!$G$3:$G$100,'02'!$R$3:$R$100,"-")</f>
        <v/>
      </c>
      <c r="E302" s="68">
        <f>_xlfn.XLOOKUP($A302,'03'!$G$3:$G$100,'03'!$R$3:$R$100,"-")</f>
        <v/>
      </c>
      <c r="F302" s="68">
        <f>_xlfn.XLOOKUP($A302,'04'!$G$3:$G$100,'04'!$R$3:$R$100,"-")</f>
        <v/>
      </c>
      <c r="G302" s="68">
        <f>_xlfn.XLOOKUP($A302,'05'!$G$3:$G$100,'05'!$R$3:$R$100,"-")</f>
        <v/>
      </c>
      <c r="H302" s="68">
        <f>_xlfn.XLOOKUP($A302,'06'!$G$3:$G$100,'06'!$R$3:$R$100,"-")</f>
        <v/>
      </c>
      <c r="I302" s="68">
        <f>_xlfn.XLOOKUP($A302,'07'!$G$3:$G$100,'07'!$R$3:$R$100,"-")</f>
        <v/>
      </c>
      <c r="J302" s="68">
        <f>_xlfn.XLOOKUP($A302,'08'!$G$3:$G$100,'08'!$R$3:$R$100,"-")</f>
        <v/>
      </c>
      <c r="K302" s="68">
        <f>_xlfn.XLOOKUP($A302,'09'!$G$3:$G$100,'09'!$R$3:$R$100,"-")</f>
        <v/>
      </c>
      <c r="L302" s="68">
        <f>_xlfn.XLOOKUP($A302,'10'!$G$3:$G$100,'10'!$R$3:$R$100,"-")</f>
        <v/>
      </c>
      <c r="M302" s="68">
        <f>_xlfn.XLOOKUP($A302,'11'!$G$3:$G$100,'11'!$R$3:$R$100,"-")</f>
        <v/>
      </c>
      <c r="N302" s="68">
        <f>_xlfn.XLOOKUP($A302,'12'!$G$3:$G$100,'12'!$R$3:$R$100,"-")</f>
        <v/>
      </c>
      <c r="O302" s="79">
        <f>SUM(C302:N302)</f>
        <v/>
      </c>
      <c r="P302" s="74" t="n"/>
      <c r="Q302" s="82" t="n">
        <v>300</v>
      </c>
      <c r="R302" s="38" t="n"/>
      <c r="S302" s="61" t="n">
        <v>0</v>
      </c>
      <c r="T302" s="68" t="n">
        <v>0</v>
      </c>
      <c r="U302" s="68" t="n">
        <v>0</v>
      </c>
      <c r="V302" s="68" t="n">
        <v>0</v>
      </c>
      <c r="W302" s="68" t="n">
        <v>0</v>
      </c>
      <c r="X302" s="68" t="n">
        <v>0</v>
      </c>
      <c r="Y302" s="68" t="n">
        <v>0</v>
      </c>
      <c r="Z302" s="68" t="n">
        <v>0</v>
      </c>
      <c r="AA302" s="68" t="n">
        <v>0</v>
      </c>
      <c r="AB302" s="68" t="n">
        <v>0</v>
      </c>
      <c r="AC302" s="68" t="n">
        <v>0</v>
      </c>
      <c r="AD302" s="68" t="n">
        <v>0</v>
      </c>
      <c r="AE302" s="68" t="n">
        <v>0</v>
      </c>
      <c r="AF302" s="79" t="n">
        <v>0</v>
      </c>
      <c r="AG302" s="74" t="n">
        <v>0</v>
      </c>
      <c r="AH302" s="82" t="n">
        <v>300</v>
      </c>
    </row>
    <row r="303" ht="18" customHeight="1">
      <c r="C303" s="68">
        <f>_xlfn.XLOOKUP($A303,'01'!$G$3:$G$100,'01'!$R$3:$R$100,"-")</f>
        <v/>
      </c>
      <c r="D303" s="68">
        <f>_xlfn.XLOOKUP($A303,'02'!$G$3:$G$100,'02'!$R$3:$R$100,"-")</f>
        <v/>
      </c>
      <c r="E303" s="68">
        <f>_xlfn.XLOOKUP($A303,'03'!$G$3:$G$100,'03'!$R$3:$R$100,"-")</f>
        <v/>
      </c>
      <c r="F303" s="68">
        <f>_xlfn.XLOOKUP($A303,'04'!$G$3:$G$100,'04'!$R$3:$R$100,"-")</f>
        <v/>
      </c>
      <c r="G303" s="68">
        <f>_xlfn.XLOOKUP($A303,'05'!$G$3:$G$100,'05'!$R$3:$R$100,"-")</f>
        <v/>
      </c>
      <c r="H303" s="68">
        <f>_xlfn.XLOOKUP($A303,'06'!$G$3:$G$100,'06'!$R$3:$R$100,"-")</f>
        <v/>
      </c>
      <c r="I303" s="68">
        <f>_xlfn.XLOOKUP($A303,'07'!$G$3:$G$100,'07'!$R$3:$R$100,"-")</f>
        <v/>
      </c>
      <c r="J303" s="68">
        <f>_xlfn.XLOOKUP($A303,'08'!$G$3:$G$100,'08'!$R$3:$R$100,"-")</f>
        <v/>
      </c>
      <c r="K303" s="68">
        <f>_xlfn.XLOOKUP($A303,'09'!$G$3:$G$100,'09'!$R$3:$R$100,"-")</f>
        <v/>
      </c>
      <c r="L303" s="68">
        <f>_xlfn.XLOOKUP($A303,'10'!$G$3:$G$100,'10'!$R$3:$R$100,"-")</f>
        <v/>
      </c>
      <c r="M303" s="68">
        <f>_xlfn.XLOOKUP($A303,'11'!$G$3:$G$100,'11'!$R$3:$R$100,"-")</f>
        <v/>
      </c>
      <c r="N303" s="68">
        <f>_xlfn.XLOOKUP($A303,'12'!$G$3:$G$100,'12'!$R$3:$R$100,"-")</f>
        <v/>
      </c>
      <c r="O303" s="79">
        <f>SUM(C303:N303)</f>
        <v/>
      </c>
      <c r="P303" s="74" t="n"/>
      <c r="Q303" s="82" t="n">
        <v>301</v>
      </c>
      <c r="R303" s="38" t="n"/>
      <c r="S303" s="61" t="n">
        <v>0</v>
      </c>
      <c r="T303" s="68" t="n">
        <v>0</v>
      </c>
      <c r="U303" s="68" t="n">
        <v>0</v>
      </c>
      <c r="V303" s="68" t="n">
        <v>0</v>
      </c>
      <c r="W303" s="68" t="n">
        <v>0</v>
      </c>
      <c r="X303" s="68" t="n">
        <v>0</v>
      </c>
      <c r="Y303" s="68" t="n">
        <v>0</v>
      </c>
      <c r="Z303" s="68" t="n">
        <v>0</v>
      </c>
      <c r="AA303" s="68" t="n">
        <v>0</v>
      </c>
      <c r="AB303" s="68" t="n">
        <v>0</v>
      </c>
      <c r="AC303" s="68" t="n">
        <v>0</v>
      </c>
      <c r="AD303" s="68" t="n">
        <v>0</v>
      </c>
      <c r="AE303" s="68" t="n">
        <v>0</v>
      </c>
      <c r="AF303" s="79" t="n">
        <v>0</v>
      </c>
      <c r="AG303" s="74" t="n">
        <v>0</v>
      </c>
      <c r="AH303" s="82" t="n">
        <v>301</v>
      </c>
    </row>
    <row r="304" ht="18" customHeight="1">
      <c r="C304" s="68">
        <f>_xlfn.XLOOKUP($A304,'01'!$G$3:$G$100,'01'!$R$3:$R$100,"-")</f>
        <v/>
      </c>
      <c r="D304" s="68">
        <f>_xlfn.XLOOKUP($A304,'02'!$G$3:$G$100,'02'!$R$3:$R$100,"-")</f>
        <v/>
      </c>
      <c r="E304" s="68">
        <f>_xlfn.XLOOKUP($A304,'03'!$G$3:$G$100,'03'!$R$3:$R$100,"-")</f>
        <v/>
      </c>
      <c r="F304" s="68">
        <f>_xlfn.XLOOKUP($A304,'04'!$G$3:$G$100,'04'!$R$3:$R$100,"-")</f>
        <v/>
      </c>
      <c r="G304" s="68">
        <f>_xlfn.XLOOKUP($A304,'05'!$G$3:$G$100,'05'!$R$3:$R$100,"-")</f>
        <v/>
      </c>
      <c r="H304" s="68">
        <f>_xlfn.XLOOKUP($A304,'06'!$G$3:$G$100,'06'!$R$3:$R$100,"-")</f>
        <v/>
      </c>
      <c r="I304" s="68">
        <f>_xlfn.XLOOKUP($A304,'07'!$G$3:$G$100,'07'!$R$3:$R$100,"-")</f>
        <v/>
      </c>
      <c r="J304" s="68">
        <f>_xlfn.XLOOKUP($A304,'08'!$G$3:$G$100,'08'!$R$3:$R$100,"-")</f>
        <v/>
      </c>
      <c r="K304" s="68">
        <f>_xlfn.XLOOKUP($A304,'09'!$G$3:$G$100,'09'!$R$3:$R$100,"-")</f>
        <v/>
      </c>
      <c r="L304" s="68">
        <f>_xlfn.XLOOKUP($A304,'10'!$G$3:$G$100,'10'!$R$3:$R$100,"-")</f>
        <v/>
      </c>
      <c r="M304" s="68">
        <f>_xlfn.XLOOKUP($A304,'11'!$G$3:$G$100,'11'!$R$3:$R$100,"-")</f>
        <v/>
      </c>
      <c r="N304" s="68">
        <f>_xlfn.XLOOKUP($A304,'12'!$G$3:$G$100,'12'!$R$3:$R$100,"-")</f>
        <v/>
      </c>
      <c r="O304" s="79">
        <f>SUM(C304:N304)</f>
        <v/>
      </c>
      <c r="P304" s="74" t="n"/>
      <c r="Q304" s="82" t="n">
        <v>302</v>
      </c>
      <c r="R304" s="38" t="n"/>
      <c r="S304" s="61" t="n">
        <v>0</v>
      </c>
      <c r="T304" s="68" t="n">
        <v>0</v>
      </c>
      <c r="U304" s="68" t="n">
        <v>0</v>
      </c>
      <c r="V304" s="68" t="n">
        <v>0</v>
      </c>
      <c r="W304" s="68" t="n">
        <v>0</v>
      </c>
      <c r="X304" s="68" t="n">
        <v>0</v>
      </c>
      <c r="Y304" s="68" t="n">
        <v>0</v>
      </c>
      <c r="Z304" s="68" t="n">
        <v>0</v>
      </c>
      <c r="AA304" s="68" t="n">
        <v>0</v>
      </c>
      <c r="AB304" s="68" t="n">
        <v>0</v>
      </c>
      <c r="AC304" s="68" t="n">
        <v>0</v>
      </c>
      <c r="AD304" s="68" t="n">
        <v>0</v>
      </c>
      <c r="AE304" s="68" t="n">
        <v>0</v>
      </c>
      <c r="AF304" s="79" t="n">
        <v>0</v>
      </c>
      <c r="AG304" s="74" t="n">
        <v>0</v>
      </c>
      <c r="AH304" s="82" t="n">
        <v>302</v>
      </c>
    </row>
    <row r="305" ht="18" customHeight="1">
      <c r="C305" s="68">
        <f>_xlfn.XLOOKUP($A305,'01'!$G$3:$G$100,'01'!$R$3:$R$100,"-")</f>
        <v/>
      </c>
      <c r="D305" s="68">
        <f>_xlfn.XLOOKUP($A305,'02'!$G$3:$G$100,'02'!$R$3:$R$100,"-")</f>
        <v/>
      </c>
      <c r="E305" s="68">
        <f>_xlfn.XLOOKUP($A305,'03'!$G$3:$G$100,'03'!$R$3:$R$100,"-")</f>
        <v/>
      </c>
      <c r="F305" s="68">
        <f>_xlfn.XLOOKUP($A305,'04'!$G$3:$G$100,'04'!$R$3:$R$100,"-")</f>
        <v/>
      </c>
      <c r="G305" s="68">
        <f>_xlfn.XLOOKUP($A305,'05'!$G$3:$G$100,'05'!$R$3:$R$100,"-")</f>
        <v/>
      </c>
      <c r="H305" s="68">
        <f>_xlfn.XLOOKUP($A305,'06'!$G$3:$G$100,'06'!$R$3:$R$100,"-")</f>
        <v/>
      </c>
      <c r="I305" s="68">
        <f>_xlfn.XLOOKUP($A305,'07'!$G$3:$G$100,'07'!$R$3:$R$100,"-")</f>
        <v/>
      </c>
      <c r="J305" s="68">
        <f>_xlfn.XLOOKUP($A305,'08'!$G$3:$G$100,'08'!$R$3:$R$100,"-")</f>
        <v/>
      </c>
      <c r="K305" s="68">
        <f>_xlfn.XLOOKUP($A305,'09'!$G$3:$G$100,'09'!$R$3:$R$100,"-")</f>
        <v/>
      </c>
      <c r="L305" s="68">
        <f>_xlfn.XLOOKUP($A305,'10'!$G$3:$G$100,'10'!$R$3:$R$100,"-")</f>
        <v/>
      </c>
      <c r="M305" s="68">
        <f>_xlfn.XLOOKUP($A305,'11'!$G$3:$G$100,'11'!$R$3:$R$100,"-")</f>
        <v/>
      </c>
      <c r="N305" s="68">
        <f>_xlfn.XLOOKUP($A305,'12'!$G$3:$G$100,'12'!$R$3:$R$100,"-")</f>
        <v/>
      </c>
      <c r="O305" s="79">
        <f>SUM(C305:N305)</f>
        <v/>
      </c>
      <c r="P305" s="74" t="n"/>
      <c r="Q305" s="82" t="n">
        <v>303</v>
      </c>
      <c r="R305" s="38" t="n"/>
      <c r="S305" s="61" t="n">
        <v>0</v>
      </c>
      <c r="T305" s="68" t="n">
        <v>0</v>
      </c>
      <c r="U305" s="68" t="n">
        <v>0</v>
      </c>
      <c r="V305" s="68" t="n">
        <v>0</v>
      </c>
      <c r="W305" s="68" t="n">
        <v>0</v>
      </c>
      <c r="X305" s="68" t="n">
        <v>0</v>
      </c>
      <c r="Y305" s="68" t="n">
        <v>0</v>
      </c>
      <c r="Z305" s="68" t="n">
        <v>0</v>
      </c>
      <c r="AA305" s="68" t="n">
        <v>0</v>
      </c>
      <c r="AB305" s="68" t="n">
        <v>0</v>
      </c>
      <c r="AC305" s="68" t="n">
        <v>0</v>
      </c>
      <c r="AD305" s="68" t="n">
        <v>0</v>
      </c>
      <c r="AE305" s="68" t="n">
        <v>0</v>
      </c>
      <c r="AF305" s="79" t="n">
        <v>0</v>
      </c>
      <c r="AG305" s="74" t="n">
        <v>0</v>
      </c>
      <c r="AH305" s="82" t="n">
        <v>303</v>
      </c>
    </row>
    <row r="306" ht="18" customHeight="1">
      <c r="C306" s="68">
        <f>_xlfn.XLOOKUP($A306,'01'!$G$3:$G$100,'01'!$R$3:$R$100,"-")</f>
        <v/>
      </c>
      <c r="D306" s="68">
        <f>_xlfn.XLOOKUP($A306,'02'!$G$3:$G$100,'02'!$R$3:$R$100,"-")</f>
        <v/>
      </c>
      <c r="E306" s="68">
        <f>_xlfn.XLOOKUP($A306,'03'!$G$3:$G$100,'03'!$R$3:$R$100,"-")</f>
        <v/>
      </c>
      <c r="F306" s="68">
        <f>_xlfn.XLOOKUP($A306,'04'!$G$3:$G$100,'04'!$R$3:$R$100,"-")</f>
        <v/>
      </c>
      <c r="G306" s="68">
        <f>_xlfn.XLOOKUP($A306,'05'!$G$3:$G$100,'05'!$R$3:$R$100,"-")</f>
        <v/>
      </c>
      <c r="H306" s="68">
        <f>_xlfn.XLOOKUP($A306,'06'!$G$3:$G$100,'06'!$R$3:$R$100,"-")</f>
        <v/>
      </c>
      <c r="I306" s="68">
        <f>_xlfn.XLOOKUP($A306,'07'!$G$3:$G$100,'07'!$R$3:$R$100,"-")</f>
        <v/>
      </c>
      <c r="J306" s="68">
        <f>_xlfn.XLOOKUP($A306,'08'!$G$3:$G$100,'08'!$R$3:$R$100,"-")</f>
        <v/>
      </c>
      <c r="K306" s="68">
        <f>_xlfn.XLOOKUP($A306,'09'!$G$3:$G$100,'09'!$R$3:$R$100,"-")</f>
        <v/>
      </c>
      <c r="L306" s="68">
        <f>_xlfn.XLOOKUP($A306,'10'!$G$3:$G$100,'10'!$R$3:$R$100,"-")</f>
        <v/>
      </c>
      <c r="M306" s="68">
        <f>_xlfn.XLOOKUP($A306,'11'!$G$3:$G$100,'11'!$R$3:$R$100,"-")</f>
        <v/>
      </c>
      <c r="N306" s="68">
        <f>_xlfn.XLOOKUP($A306,'12'!$G$3:$G$100,'12'!$R$3:$R$100,"-")</f>
        <v/>
      </c>
      <c r="O306" s="79">
        <f>SUM(C306:N306)</f>
        <v/>
      </c>
      <c r="P306" s="74" t="n"/>
      <c r="Q306" s="82" t="n">
        <v>304</v>
      </c>
      <c r="R306" s="38" t="n"/>
      <c r="S306" s="61" t="n">
        <v>0</v>
      </c>
      <c r="T306" s="68" t="n">
        <v>0</v>
      </c>
      <c r="U306" s="68" t="n">
        <v>0</v>
      </c>
      <c r="V306" s="68" t="n">
        <v>0</v>
      </c>
      <c r="W306" s="68" t="n">
        <v>0</v>
      </c>
      <c r="X306" s="68" t="n">
        <v>0</v>
      </c>
      <c r="Y306" s="68" t="n">
        <v>0</v>
      </c>
      <c r="Z306" s="68" t="n">
        <v>0</v>
      </c>
      <c r="AA306" s="68" t="n">
        <v>0</v>
      </c>
      <c r="AB306" s="68" t="n">
        <v>0</v>
      </c>
      <c r="AC306" s="68" t="n">
        <v>0</v>
      </c>
      <c r="AD306" s="68" t="n">
        <v>0</v>
      </c>
      <c r="AE306" s="68" t="n">
        <v>0</v>
      </c>
      <c r="AF306" s="79" t="n">
        <v>0</v>
      </c>
      <c r="AG306" s="74" t="n">
        <v>0</v>
      </c>
      <c r="AH306" s="82" t="n">
        <v>304</v>
      </c>
    </row>
    <row r="307" ht="18" customHeight="1">
      <c r="C307" s="68">
        <f>_xlfn.XLOOKUP($A307,'01'!$G$3:$G$100,'01'!$R$3:$R$100,"-")</f>
        <v/>
      </c>
      <c r="D307" s="68">
        <f>_xlfn.XLOOKUP($A307,'02'!$G$3:$G$100,'02'!$R$3:$R$100,"-")</f>
        <v/>
      </c>
      <c r="E307" s="68">
        <f>_xlfn.XLOOKUP($A307,'03'!$G$3:$G$100,'03'!$R$3:$R$100,"-")</f>
        <v/>
      </c>
      <c r="F307" s="68">
        <f>_xlfn.XLOOKUP($A307,'04'!$G$3:$G$100,'04'!$R$3:$R$100,"-")</f>
        <v/>
      </c>
      <c r="G307" s="68">
        <f>_xlfn.XLOOKUP($A307,'05'!$G$3:$G$100,'05'!$R$3:$R$100,"-")</f>
        <v/>
      </c>
      <c r="H307" s="68">
        <f>_xlfn.XLOOKUP($A307,'06'!$G$3:$G$100,'06'!$R$3:$R$100,"-")</f>
        <v/>
      </c>
      <c r="I307" s="68">
        <f>_xlfn.XLOOKUP($A307,'07'!$G$3:$G$100,'07'!$R$3:$R$100,"-")</f>
        <v/>
      </c>
      <c r="J307" s="68">
        <f>_xlfn.XLOOKUP($A307,'08'!$G$3:$G$100,'08'!$R$3:$R$100,"-")</f>
        <v/>
      </c>
      <c r="K307" s="68">
        <f>_xlfn.XLOOKUP($A307,'09'!$G$3:$G$100,'09'!$R$3:$R$100,"-")</f>
        <v/>
      </c>
      <c r="L307" s="68">
        <f>_xlfn.XLOOKUP($A307,'10'!$G$3:$G$100,'10'!$R$3:$R$100,"-")</f>
        <v/>
      </c>
      <c r="M307" s="68">
        <f>_xlfn.XLOOKUP($A307,'11'!$G$3:$G$100,'11'!$R$3:$R$100,"-")</f>
        <v/>
      </c>
      <c r="N307" s="68">
        <f>_xlfn.XLOOKUP($A307,'12'!$G$3:$G$100,'12'!$R$3:$R$100,"-")</f>
        <v/>
      </c>
      <c r="O307" s="79">
        <f>SUM(C307:N307)</f>
        <v/>
      </c>
      <c r="P307" s="74" t="n"/>
      <c r="Q307" s="83" t="n">
        <v>305</v>
      </c>
      <c r="R307" s="38" t="n"/>
      <c r="S307" s="61" t="n">
        <v>0</v>
      </c>
      <c r="T307" s="68" t="n">
        <v>0</v>
      </c>
      <c r="U307" s="68" t="n">
        <v>0</v>
      </c>
      <c r="V307" s="68" t="n">
        <v>0</v>
      </c>
      <c r="W307" s="68" t="n">
        <v>0</v>
      </c>
      <c r="X307" s="68" t="n">
        <v>0</v>
      </c>
      <c r="Y307" s="68" t="n">
        <v>0</v>
      </c>
      <c r="Z307" s="68" t="n">
        <v>0</v>
      </c>
      <c r="AA307" s="68" t="n">
        <v>0</v>
      </c>
      <c r="AB307" s="68" t="n">
        <v>0</v>
      </c>
      <c r="AC307" s="68" t="n">
        <v>0</v>
      </c>
      <c r="AD307" s="68" t="n">
        <v>0</v>
      </c>
      <c r="AE307" s="68" t="n">
        <v>0</v>
      </c>
      <c r="AF307" s="79" t="n">
        <v>0</v>
      </c>
      <c r="AG307" s="74" t="n">
        <v>0</v>
      </c>
      <c r="AH307" s="83" t="n">
        <v>305</v>
      </c>
    </row>
    <row r="308" ht="18" customHeight="1">
      <c r="C308" s="68">
        <f>_xlfn.XLOOKUP($A308,'01'!$G$3:$G$100,'01'!$R$3:$R$100,"-")</f>
        <v/>
      </c>
      <c r="D308" s="68">
        <f>_xlfn.XLOOKUP($A308,'02'!$G$3:$G$100,'02'!$R$3:$R$100,"-")</f>
        <v/>
      </c>
      <c r="E308" s="68">
        <f>_xlfn.XLOOKUP($A308,'03'!$G$3:$G$100,'03'!$R$3:$R$100,"-")</f>
        <v/>
      </c>
      <c r="F308" s="68">
        <f>_xlfn.XLOOKUP($A308,'04'!$G$3:$G$100,'04'!$R$3:$R$100,"-")</f>
        <v/>
      </c>
      <c r="G308" s="68">
        <f>_xlfn.XLOOKUP($A308,'05'!$G$3:$G$100,'05'!$R$3:$R$100,"-")</f>
        <v/>
      </c>
      <c r="H308" s="68">
        <f>_xlfn.XLOOKUP($A308,'06'!$G$3:$G$100,'06'!$R$3:$R$100,"-")</f>
        <v/>
      </c>
      <c r="I308" s="68">
        <f>_xlfn.XLOOKUP($A308,'07'!$G$3:$G$100,'07'!$R$3:$R$100,"-")</f>
        <v/>
      </c>
      <c r="J308" s="68">
        <f>_xlfn.XLOOKUP($A308,'08'!$G$3:$G$100,'08'!$R$3:$R$100,"-")</f>
        <v/>
      </c>
      <c r="K308" s="68">
        <f>_xlfn.XLOOKUP($A308,'09'!$G$3:$G$100,'09'!$R$3:$R$100,"-")</f>
        <v/>
      </c>
      <c r="L308" s="68">
        <f>_xlfn.XLOOKUP($A308,'10'!$G$3:$G$100,'10'!$R$3:$R$100,"-")</f>
        <v/>
      </c>
      <c r="M308" s="68">
        <f>_xlfn.XLOOKUP($A308,'11'!$G$3:$G$100,'11'!$R$3:$R$100,"-")</f>
        <v/>
      </c>
      <c r="N308" s="68">
        <f>_xlfn.XLOOKUP($A308,'12'!$G$3:$G$100,'12'!$R$3:$R$100,"-")</f>
        <v/>
      </c>
      <c r="O308" s="79">
        <f>SUM(C308:N308)</f>
        <v/>
      </c>
      <c r="P308" s="74" t="n"/>
      <c r="Q308" s="82" t="n">
        <v>306</v>
      </c>
      <c r="R308" s="38" t="n"/>
      <c r="S308" s="61" t="n">
        <v>0</v>
      </c>
      <c r="T308" s="68" t="n">
        <v>0</v>
      </c>
      <c r="U308" s="68" t="n">
        <v>0</v>
      </c>
      <c r="V308" s="68" t="n">
        <v>0</v>
      </c>
      <c r="W308" s="68" t="n">
        <v>0</v>
      </c>
      <c r="X308" s="68" t="n">
        <v>0</v>
      </c>
      <c r="Y308" s="68" t="n">
        <v>0</v>
      </c>
      <c r="Z308" s="68" t="n">
        <v>0</v>
      </c>
      <c r="AA308" s="68" t="n">
        <v>0</v>
      </c>
      <c r="AB308" s="68" t="n">
        <v>0</v>
      </c>
      <c r="AC308" s="68" t="n">
        <v>0</v>
      </c>
      <c r="AD308" s="68" t="n">
        <v>0</v>
      </c>
      <c r="AE308" s="68" t="n">
        <v>0</v>
      </c>
      <c r="AF308" s="79" t="n">
        <v>0</v>
      </c>
      <c r="AG308" s="74" t="n">
        <v>0</v>
      </c>
      <c r="AH308" s="82" t="n">
        <v>306</v>
      </c>
    </row>
    <row r="309" ht="18" customHeight="1">
      <c r="C309" s="68">
        <f>_xlfn.XLOOKUP($A309,'01'!$G$3:$G$100,'01'!$R$3:$R$100,"-")</f>
        <v/>
      </c>
      <c r="D309" s="68">
        <f>_xlfn.XLOOKUP($A309,'02'!$G$3:$G$100,'02'!$R$3:$R$100,"-")</f>
        <v/>
      </c>
      <c r="E309" s="68">
        <f>_xlfn.XLOOKUP($A309,'03'!$G$3:$G$100,'03'!$R$3:$R$100,"-")</f>
        <v/>
      </c>
      <c r="F309" s="68">
        <f>_xlfn.XLOOKUP($A309,'04'!$G$3:$G$100,'04'!$R$3:$R$100,"-")</f>
        <v/>
      </c>
      <c r="G309" s="68">
        <f>_xlfn.XLOOKUP($A309,'05'!$G$3:$G$100,'05'!$R$3:$R$100,"-")</f>
        <v/>
      </c>
      <c r="H309" s="68">
        <f>_xlfn.XLOOKUP($A309,'06'!$G$3:$G$100,'06'!$R$3:$R$100,"-")</f>
        <v/>
      </c>
      <c r="I309" s="68">
        <f>_xlfn.XLOOKUP($A309,'07'!$G$3:$G$100,'07'!$R$3:$R$100,"-")</f>
        <v/>
      </c>
      <c r="J309" s="68">
        <f>_xlfn.XLOOKUP($A309,'08'!$G$3:$G$100,'08'!$R$3:$R$100,"-")</f>
        <v/>
      </c>
      <c r="K309" s="68">
        <f>_xlfn.XLOOKUP($A309,'09'!$G$3:$G$100,'09'!$R$3:$R$100,"-")</f>
        <v/>
      </c>
      <c r="L309" s="68">
        <f>_xlfn.XLOOKUP($A309,'10'!$G$3:$G$100,'10'!$R$3:$R$100,"-")</f>
        <v/>
      </c>
      <c r="M309" s="68">
        <f>_xlfn.XLOOKUP($A309,'11'!$G$3:$G$100,'11'!$R$3:$R$100,"-")</f>
        <v/>
      </c>
      <c r="N309" s="68">
        <f>_xlfn.XLOOKUP($A309,'12'!$G$3:$G$100,'12'!$R$3:$R$100,"-")</f>
        <v/>
      </c>
      <c r="O309" s="79">
        <f>SUM(C309:N309)</f>
        <v/>
      </c>
      <c r="P309" s="74" t="n"/>
      <c r="Q309" s="82" t="n">
        <v>307</v>
      </c>
      <c r="R309" s="38" t="n"/>
      <c r="S309" s="61" t="n">
        <v>0</v>
      </c>
      <c r="T309" s="68" t="n">
        <v>0</v>
      </c>
      <c r="U309" s="68" t="n">
        <v>0</v>
      </c>
      <c r="V309" s="68" t="n">
        <v>0</v>
      </c>
      <c r="W309" s="68" t="n">
        <v>0</v>
      </c>
      <c r="X309" s="68" t="n">
        <v>0</v>
      </c>
      <c r="Y309" s="68" t="n">
        <v>0</v>
      </c>
      <c r="Z309" s="68" t="n">
        <v>0</v>
      </c>
      <c r="AA309" s="68" t="n">
        <v>0</v>
      </c>
      <c r="AB309" s="68" t="n">
        <v>0</v>
      </c>
      <c r="AC309" s="68" t="n">
        <v>0</v>
      </c>
      <c r="AD309" s="68" t="n">
        <v>0</v>
      </c>
      <c r="AE309" s="68" t="n">
        <v>0</v>
      </c>
      <c r="AF309" s="79" t="n">
        <v>0</v>
      </c>
      <c r="AG309" s="74" t="n">
        <v>0</v>
      </c>
      <c r="AH309" s="82" t="n">
        <v>307</v>
      </c>
    </row>
    <row r="310" ht="18" customHeight="1">
      <c r="C310" s="68">
        <f>_xlfn.XLOOKUP($A310,'01'!$G$3:$G$100,'01'!$R$3:$R$100,"-")</f>
        <v/>
      </c>
      <c r="D310" s="68">
        <f>_xlfn.XLOOKUP($A310,'02'!$G$3:$G$100,'02'!$R$3:$R$100,"-")</f>
        <v/>
      </c>
      <c r="E310" s="68">
        <f>_xlfn.XLOOKUP($A310,'03'!$G$3:$G$100,'03'!$R$3:$R$100,"-")</f>
        <v/>
      </c>
      <c r="F310" s="68">
        <f>_xlfn.XLOOKUP($A310,'04'!$G$3:$G$100,'04'!$R$3:$R$100,"-")</f>
        <v/>
      </c>
      <c r="G310" s="68">
        <f>_xlfn.XLOOKUP($A310,'05'!$G$3:$G$100,'05'!$R$3:$R$100,"-")</f>
        <v/>
      </c>
      <c r="H310" s="68">
        <f>_xlfn.XLOOKUP($A310,'06'!$G$3:$G$100,'06'!$R$3:$R$100,"-")</f>
        <v/>
      </c>
      <c r="I310" s="68">
        <f>_xlfn.XLOOKUP($A310,'07'!$G$3:$G$100,'07'!$R$3:$R$100,"-")</f>
        <v/>
      </c>
      <c r="J310" s="68">
        <f>_xlfn.XLOOKUP($A310,'08'!$G$3:$G$100,'08'!$R$3:$R$100,"-")</f>
        <v/>
      </c>
      <c r="K310" s="68">
        <f>_xlfn.XLOOKUP($A310,'09'!$G$3:$G$100,'09'!$R$3:$R$100,"-")</f>
        <v/>
      </c>
      <c r="L310" s="68">
        <f>_xlfn.XLOOKUP($A310,'10'!$G$3:$G$100,'10'!$R$3:$R$100,"-")</f>
        <v/>
      </c>
      <c r="M310" s="68">
        <f>_xlfn.XLOOKUP($A310,'11'!$G$3:$G$100,'11'!$R$3:$R$100,"-")</f>
        <v/>
      </c>
      <c r="N310" s="68">
        <f>_xlfn.XLOOKUP($A310,'12'!$G$3:$G$100,'12'!$R$3:$R$100,"-")</f>
        <v/>
      </c>
      <c r="O310" s="79">
        <f>SUM(C310:N310)</f>
        <v/>
      </c>
      <c r="P310" s="74" t="n"/>
      <c r="Q310" s="82" t="n">
        <v>308</v>
      </c>
      <c r="R310" s="38" t="n"/>
      <c r="S310" s="61" t="n">
        <v>0</v>
      </c>
      <c r="T310" s="68" t="n">
        <v>0</v>
      </c>
      <c r="U310" s="68" t="n">
        <v>0</v>
      </c>
      <c r="V310" s="68" t="n">
        <v>0</v>
      </c>
      <c r="W310" s="68" t="n">
        <v>0</v>
      </c>
      <c r="X310" s="68" t="n">
        <v>0</v>
      </c>
      <c r="Y310" s="68" t="n">
        <v>0</v>
      </c>
      <c r="Z310" s="68" t="n">
        <v>0</v>
      </c>
      <c r="AA310" s="68" t="n">
        <v>0</v>
      </c>
      <c r="AB310" s="68" t="n">
        <v>0</v>
      </c>
      <c r="AC310" s="68" t="n">
        <v>0</v>
      </c>
      <c r="AD310" s="68" t="n">
        <v>0</v>
      </c>
      <c r="AE310" s="68" t="n">
        <v>0</v>
      </c>
      <c r="AF310" s="79" t="n">
        <v>0</v>
      </c>
      <c r="AG310" s="74" t="n">
        <v>0</v>
      </c>
      <c r="AH310" s="82" t="n">
        <v>308</v>
      </c>
    </row>
    <row r="311" ht="18" customHeight="1">
      <c r="C311" s="68">
        <f>_xlfn.XLOOKUP($A311,'01'!$G$3:$G$100,'01'!$R$3:$R$100,"-")</f>
        <v/>
      </c>
      <c r="D311" s="68">
        <f>_xlfn.XLOOKUP($A311,'02'!$G$3:$G$100,'02'!$R$3:$R$100,"-")</f>
        <v/>
      </c>
      <c r="E311" s="68">
        <f>_xlfn.XLOOKUP($A311,'03'!$G$3:$G$100,'03'!$R$3:$R$100,"-")</f>
        <v/>
      </c>
      <c r="F311" s="68">
        <f>_xlfn.XLOOKUP($A311,'04'!$G$3:$G$100,'04'!$R$3:$R$100,"-")</f>
        <v/>
      </c>
      <c r="G311" s="68">
        <f>_xlfn.XLOOKUP($A311,'05'!$G$3:$G$100,'05'!$R$3:$R$100,"-")</f>
        <v/>
      </c>
      <c r="H311" s="68">
        <f>_xlfn.XLOOKUP($A311,'06'!$G$3:$G$100,'06'!$R$3:$R$100,"-")</f>
        <v/>
      </c>
      <c r="I311" s="68">
        <f>_xlfn.XLOOKUP($A311,'07'!$G$3:$G$100,'07'!$R$3:$R$100,"-")</f>
        <v/>
      </c>
      <c r="J311" s="68">
        <f>_xlfn.XLOOKUP($A311,'08'!$G$3:$G$100,'08'!$R$3:$R$100,"-")</f>
        <v/>
      </c>
      <c r="K311" s="68">
        <f>_xlfn.XLOOKUP($A311,'09'!$G$3:$G$100,'09'!$R$3:$R$100,"-")</f>
        <v/>
      </c>
      <c r="L311" s="68">
        <f>_xlfn.XLOOKUP($A311,'10'!$G$3:$G$100,'10'!$R$3:$R$100,"-")</f>
        <v/>
      </c>
      <c r="M311" s="68">
        <f>_xlfn.XLOOKUP($A311,'11'!$G$3:$G$100,'11'!$R$3:$R$100,"-")</f>
        <v/>
      </c>
      <c r="N311" s="68">
        <f>_xlfn.XLOOKUP($A311,'12'!$G$3:$G$100,'12'!$R$3:$R$100,"-")</f>
        <v/>
      </c>
      <c r="O311" s="79">
        <f>SUM(C311:N311)</f>
        <v/>
      </c>
      <c r="P311" s="74" t="n"/>
      <c r="Q311" s="82" t="n">
        <v>309</v>
      </c>
      <c r="R311" s="38" t="n"/>
      <c r="S311" s="61" t="n">
        <v>0</v>
      </c>
      <c r="T311" s="68" t="n">
        <v>0</v>
      </c>
      <c r="U311" s="68" t="n">
        <v>0</v>
      </c>
      <c r="V311" s="68" t="n">
        <v>0</v>
      </c>
      <c r="W311" s="68" t="n">
        <v>0</v>
      </c>
      <c r="X311" s="68" t="n">
        <v>0</v>
      </c>
      <c r="Y311" s="68" t="n">
        <v>0</v>
      </c>
      <c r="Z311" s="68" t="n">
        <v>0</v>
      </c>
      <c r="AA311" s="68" t="n">
        <v>0</v>
      </c>
      <c r="AB311" s="68" t="n">
        <v>0</v>
      </c>
      <c r="AC311" s="68" t="n">
        <v>0</v>
      </c>
      <c r="AD311" s="68" t="n">
        <v>0</v>
      </c>
      <c r="AE311" s="68" t="n">
        <v>0</v>
      </c>
      <c r="AF311" s="79" t="n">
        <v>0</v>
      </c>
      <c r="AG311" s="74" t="n">
        <v>0</v>
      </c>
      <c r="AH311" s="82" t="n">
        <v>309</v>
      </c>
    </row>
    <row r="312" ht="18" customHeight="1">
      <c r="C312" s="68">
        <f>_xlfn.XLOOKUP($A312,'01'!$G$3:$G$100,'01'!$R$3:$R$100,"-")</f>
        <v/>
      </c>
      <c r="D312" s="68">
        <f>_xlfn.XLOOKUP($A312,'02'!$G$3:$G$100,'02'!$R$3:$R$100,"-")</f>
        <v/>
      </c>
      <c r="E312" s="68">
        <f>_xlfn.XLOOKUP($A312,'03'!$G$3:$G$100,'03'!$R$3:$R$100,"-")</f>
        <v/>
      </c>
      <c r="F312" s="68">
        <f>_xlfn.XLOOKUP($A312,'04'!$G$3:$G$100,'04'!$R$3:$R$100,"-")</f>
        <v/>
      </c>
      <c r="G312" s="68">
        <f>_xlfn.XLOOKUP($A312,'05'!$G$3:$G$100,'05'!$R$3:$R$100,"-")</f>
        <v/>
      </c>
      <c r="H312" s="68">
        <f>_xlfn.XLOOKUP($A312,'06'!$G$3:$G$100,'06'!$R$3:$R$100,"-")</f>
        <v/>
      </c>
      <c r="I312" s="68">
        <f>_xlfn.XLOOKUP($A312,'07'!$G$3:$G$100,'07'!$R$3:$R$100,"-")</f>
        <v/>
      </c>
      <c r="J312" s="68">
        <f>_xlfn.XLOOKUP($A312,'08'!$G$3:$G$100,'08'!$R$3:$R$100,"-")</f>
        <v/>
      </c>
      <c r="K312" s="68">
        <f>_xlfn.XLOOKUP($A312,'09'!$G$3:$G$100,'09'!$R$3:$R$100,"-")</f>
        <v/>
      </c>
      <c r="L312" s="68">
        <f>_xlfn.XLOOKUP($A312,'10'!$G$3:$G$100,'10'!$R$3:$R$100,"-")</f>
        <v/>
      </c>
      <c r="M312" s="68">
        <f>_xlfn.XLOOKUP($A312,'11'!$G$3:$G$100,'11'!$R$3:$R$100,"-")</f>
        <v/>
      </c>
      <c r="N312" s="68">
        <f>_xlfn.XLOOKUP($A312,'12'!$G$3:$G$100,'12'!$R$3:$R$100,"-")</f>
        <v/>
      </c>
      <c r="O312" s="79">
        <f>SUM(C312:N312)</f>
        <v/>
      </c>
      <c r="P312" s="74" t="n"/>
      <c r="Q312" s="82" t="n">
        <v>310</v>
      </c>
      <c r="R312" s="38" t="n"/>
      <c r="S312" s="61" t="n">
        <v>0</v>
      </c>
      <c r="T312" s="68" t="n">
        <v>0</v>
      </c>
      <c r="U312" s="68" t="n">
        <v>0</v>
      </c>
      <c r="V312" s="68" t="n">
        <v>0</v>
      </c>
      <c r="W312" s="68" t="n">
        <v>0</v>
      </c>
      <c r="X312" s="68" t="n">
        <v>0</v>
      </c>
      <c r="Y312" s="68" t="n">
        <v>0</v>
      </c>
      <c r="Z312" s="68" t="n">
        <v>0</v>
      </c>
      <c r="AA312" s="68" t="n">
        <v>0</v>
      </c>
      <c r="AB312" s="68" t="n">
        <v>0</v>
      </c>
      <c r="AC312" s="68" t="n">
        <v>0</v>
      </c>
      <c r="AD312" s="68" t="n">
        <v>0</v>
      </c>
      <c r="AE312" s="68" t="n">
        <v>0</v>
      </c>
      <c r="AF312" s="79" t="n">
        <v>0</v>
      </c>
      <c r="AG312" s="74" t="n">
        <v>0</v>
      </c>
      <c r="AH312" s="82" t="n">
        <v>310</v>
      </c>
    </row>
    <row r="313" ht="18" customHeight="1">
      <c r="C313" s="68">
        <f>_xlfn.XLOOKUP($A313,'01'!$G$3:$G$100,'01'!$R$3:$R$100,"-")</f>
        <v/>
      </c>
      <c r="D313" s="68">
        <f>_xlfn.XLOOKUP($A313,'02'!$G$3:$G$100,'02'!$R$3:$R$100,"-")</f>
        <v/>
      </c>
      <c r="E313" s="68">
        <f>_xlfn.XLOOKUP($A313,'03'!$G$3:$G$100,'03'!$R$3:$R$100,"-")</f>
        <v/>
      </c>
      <c r="F313" s="68">
        <f>_xlfn.XLOOKUP($A313,'04'!$G$3:$G$100,'04'!$R$3:$R$100,"-")</f>
        <v/>
      </c>
      <c r="G313" s="68">
        <f>_xlfn.XLOOKUP($A313,'05'!$G$3:$G$100,'05'!$R$3:$R$100,"-")</f>
        <v/>
      </c>
      <c r="H313" s="68">
        <f>_xlfn.XLOOKUP($A313,'06'!$G$3:$G$100,'06'!$R$3:$R$100,"-")</f>
        <v/>
      </c>
      <c r="I313" s="68">
        <f>_xlfn.XLOOKUP($A313,'07'!$G$3:$G$100,'07'!$R$3:$R$100,"-")</f>
        <v/>
      </c>
      <c r="J313" s="68">
        <f>_xlfn.XLOOKUP($A313,'08'!$G$3:$G$100,'08'!$R$3:$R$100,"-")</f>
        <v/>
      </c>
      <c r="K313" s="68">
        <f>_xlfn.XLOOKUP($A313,'09'!$G$3:$G$100,'09'!$R$3:$R$100,"-")</f>
        <v/>
      </c>
      <c r="L313" s="68">
        <f>_xlfn.XLOOKUP($A313,'10'!$G$3:$G$100,'10'!$R$3:$R$100,"-")</f>
        <v/>
      </c>
      <c r="M313" s="68">
        <f>_xlfn.XLOOKUP($A313,'11'!$G$3:$G$100,'11'!$R$3:$R$100,"-")</f>
        <v/>
      </c>
      <c r="N313" s="68">
        <f>_xlfn.XLOOKUP($A313,'12'!$G$3:$G$100,'12'!$R$3:$R$100,"-")</f>
        <v/>
      </c>
      <c r="O313" s="79">
        <f>SUM(C313:N313)</f>
        <v/>
      </c>
      <c r="P313" s="74" t="n"/>
      <c r="Q313" s="82" t="n">
        <v>311</v>
      </c>
      <c r="R313" s="38" t="n"/>
      <c r="S313" s="61" t="n">
        <v>0</v>
      </c>
      <c r="T313" s="68" t="n">
        <v>0</v>
      </c>
      <c r="U313" s="68" t="n">
        <v>0</v>
      </c>
      <c r="V313" s="68" t="n">
        <v>0</v>
      </c>
      <c r="W313" s="68" t="n">
        <v>0</v>
      </c>
      <c r="X313" s="68" t="n">
        <v>0</v>
      </c>
      <c r="Y313" s="68" t="n">
        <v>0</v>
      </c>
      <c r="Z313" s="68" t="n">
        <v>0</v>
      </c>
      <c r="AA313" s="68" t="n">
        <v>0</v>
      </c>
      <c r="AB313" s="68" t="n">
        <v>0</v>
      </c>
      <c r="AC313" s="68" t="n">
        <v>0</v>
      </c>
      <c r="AD313" s="68" t="n">
        <v>0</v>
      </c>
      <c r="AE313" s="68" t="n">
        <v>0</v>
      </c>
      <c r="AF313" s="79" t="n">
        <v>0</v>
      </c>
      <c r="AG313" s="74" t="n">
        <v>0</v>
      </c>
      <c r="AH313" s="82" t="n">
        <v>311</v>
      </c>
    </row>
    <row r="314" ht="18" customHeight="1">
      <c r="C314" s="68">
        <f>_xlfn.XLOOKUP($A314,'01'!$G$3:$G$100,'01'!$R$3:$R$100,"-")</f>
        <v/>
      </c>
      <c r="D314" s="68">
        <f>_xlfn.XLOOKUP($A314,'02'!$G$3:$G$100,'02'!$R$3:$R$100,"-")</f>
        <v/>
      </c>
      <c r="E314" s="68">
        <f>_xlfn.XLOOKUP($A314,'03'!$G$3:$G$100,'03'!$R$3:$R$100,"-")</f>
        <v/>
      </c>
      <c r="F314" s="68">
        <f>_xlfn.XLOOKUP($A314,'04'!$G$3:$G$100,'04'!$R$3:$R$100,"-")</f>
        <v/>
      </c>
      <c r="G314" s="68">
        <f>_xlfn.XLOOKUP($A314,'05'!$G$3:$G$100,'05'!$R$3:$R$100,"-")</f>
        <v/>
      </c>
      <c r="H314" s="68">
        <f>_xlfn.XLOOKUP($A314,'06'!$G$3:$G$100,'06'!$R$3:$R$100,"-")</f>
        <v/>
      </c>
      <c r="I314" s="68">
        <f>_xlfn.XLOOKUP($A314,'07'!$G$3:$G$100,'07'!$R$3:$R$100,"-")</f>
        <v/>
      </c>
      <c r="J314" s="68">
        <f>_xlfn.XLOOKUP($A314,'08'!$G$3:$G$100,'08'!$R$3:$R$100,"-")</f>
        <v/>
      </c>
      <c r="K314" s="68">
        <f>_xlfn.XLOOKUP($A314,'09'!$G$3:$G$100,'09'!$R$3:$R$100,"-")</f>
        <v/>
      </c>
      <c r="L314" s="68">
        <f>_xlfn.XLOOKUP($A314,'10'!$G$3:$G$100,'10'!$R$3:$R$100,"-")</f>
        <v/>
      </c>
      <c r="M314" s="68">
        <f>_xlfn.XLOOKUP($A314,'11'!$G$3:$G$100,'11'!$R$3:$R$100,"-")</f>
        <v/>
      </c>
      <c r="N314" s="68">
        <f>_xlfn.XLOOKUP($A314,'12'!$G$3:$G$100,'12'!$R$3:$R$100,"-")</f>
        <v/>
      </c>
      <c r="O314" s="79">
        <f>SUM(C314:N314)</f>
        <v/>
      </c>
      <c r="P314" s="74" t="n"/>
      <c r="Q314" s="82" t="n">
        <v>312</v>
      </c>
      <c r="R314" s="38" t="n"/>
      <c r="S314" s="61" t="n">
        <v>0</v>
      </c>
      <c r="T314" s="68" t="n">
        <v>0</v>
      </c>
      <c r="U314" s="68" t="n">
        <v>0</v>
      </c>
      <c r="V314" s="68" t="n">
        <v>0</v>
      </c>
      <c r="W314" s="68" t="n">
        <v>0</v>
      </c>
      <c r="X314" s="68" t="n">
        <v>0</v>
      </c>
      <c r="Y314" s="68" t="n">
        <v>0</v>
      </c>
      <c r="Z314" s="68" t="n">
        <v>0</v>
      </c>
      <c r="AA314" s="68" t="n">
        <v>0</v>
      </c>
      <c r="AB314" s="68" t="n">
        <v>0</v>
      </c>
      <c r="AC314" s="68" t="n">
        <v>0</v>
      </c>
      <c r="AD314" s="68" t="n">
        <v>0</v>
      </c>
      <c r="AE314" s="68" t="n">
        <v>0</v>
      </c>
      <c r="AF314" s="79" t="n">
        <v>0</v>
      </c>
      <c r="AG314" s="74" t="n">
        <v>0</v>
      </c>
      <c r="AH314" s="82" t="n">
        <v>312</v>
      </c>
    </row>
    <row r="315" ht="18" customHeight="1">
      <c r="C315" s="68">
        <f>_xlfn.XLOOKUP($A315,'01'!$G$3:$G$100,'01'!$R$3:$R$100,"-")</f>
        <v/>
      </c>
      <c r="D315" s="68">
        <f>_xlfn.XLOOKUP($A315,'02'!$G$3:$G$100,'02'!$R$3:$R$100,"-")</f>
        <v/>
      </c>
      <c r="E315" s="68">
        <f>_xlfn.XLOOKUP($A315,'03'!$G$3:$G$100,'03'!$R$3:$R$100,"-")</f>
        <v/>
      </c>
      <c r="F315" s="68">
        <f>_xlfn.XLOOKUP($A315,'04'!$G$3:$G$100,'04'!$R$3:$R$100,"-")</f>
        <v/>
      </c>
      <c r="G315" s="68">
        <f>_xlfn.XLOOKUP($A315,'05'!$G$3:$G$100,'05'!$R$3:$R$100,"-")</f>
        <v/>
      </c>
      <c r="H315" s="68">
        <f>_xlfn.XLOOKUP($A315,'06'!$G$3:$G$100,'06'!$R$3:$R$100,"-")</f>
        <v/>
      </c>
      <c r="I315" s="68">
        <f>_xlfn.XLOOKUP($A315,'07'!$G$3:$G$100,'07'!$R$3:$R$100,"-")</f>
        <v/>
      </c>
      <c r="J315" s="68">
        <f>_xlfn.XLOOKUP($A315,'08'!$G$3:$G$100,'08'!$R$3:$R$100,"-")</f>
        <v/>
      </c>
      <c r="K315" s="68">
        <f>_xlfn.XLOOKUP($A315,'09'!$G$3:$G$100,'09'!$R$3:$R$100,"-")</f>
        <v/>
      </c>
      <c r="L315" s="68">
        <f>_xlfn.XLOOKUP($A315,'10'!$G$3:$G$100,'10'!$R$3:$R$100,"-")</f>
        <v/>
      </c>
      <c r="M315" s="68">
        <f>_xlfn.XLOOKUP($A315,'11'!$G$3:$G$100,'11'!$R$3:$R$100,"-")</f>
        <v/>
      </c>
      <c r="N315" s="68">
        <f>_xlfn.XLOOKUP($A315,'12'!$G$3:$G$100,'12'!$R$3:$R$100,"-")</f>
        <v/>
      </c>
      <c r="O315" s="79">
        <f>SUM(C315:N315)</f>
        <v/>
      </c>
      <c r="P315" s="74" t="n"/>
      <c r="Q315" s="82" t="n">
        <v>313</v>
      </c>
      <c r="R315" s="38" t="n"/>
      <c r="S315" s="61" t="n">
        <v>0</v>
      </c>
      <c r="T315" s="68" t="n">
        <v>0</v>
      </c>
      <c r="U315" s="68" t="n">
        <v>0</v>
      </c>
      <c r="V315" s="68" t="n">
        <v>0</v>
      </c>
      <c r="W315" s="68" t="n">
        <v>0</v>
      </c>
      <c r="X315" s="68" t="n">
        <v>0</v>
      </c>
      <c r="Y315" s="68" t="n">
        <v>0</v>
      </c>
      <c r="Z315" s="68" t="n">
        <v>0</v>
      </c>
      <c r="AA315" s="68" t="n">
        <v>0</v>
      </c>
      <c r="AB315" s="68" t="n">
        <v>0</v>
      </c>
      <c r="AC315" s="68" t="n">
        <v>0</v>
      </c>
      <c r="AD315" s="68" t="n">
        <v>0</v>
      </c>
      <c r="AE315" s="68" t="n">
        <v>0</v>
      </c>
      <c r="AF315" s="79" t="n">
        <v>0</v>
      </c>
      <c r="AG315" s="74" t="n">
        <v>0</v>
      </c>
      <c r="AH315" s="82" t="n">
        <v>313</v>
      </c>
    </row>
    <row r="316" ht="18" customHeight="1">
      <c r="C316" s="68">
        <f>_xlfn.XLOOKUP($A316,'01'!$G$3:$G$100,'01'!$R$3:$R$100,"-")</f>
        <v/>
      </c>
      <c r="D316" s="68">
        <f>_xlfn.XLOOKUP($A316,'02'!$G$3:$G$100,'02'!$R$3:$R$100,"-")</f>
        <v/>
      </c>
      <c r="E316" s="68">
        <f>_xlfn.XLOOKUP($A316,'03'!$G$3:$G$100,'03'!$R$3:$R$100,"-")</f>
        <v/>
      </c>
      <c r="F316" s="68">
        <f>_xlfn.XLOOKUP($A316,'04'!$G$3:$G$100,'04'!$R$3:$R$100,"-")</f>
        <v/>
      </c>
      <c r="G316" s="68">
        <f>_xlfn.XLOOKUP($A316,'05'!$G$3:$G$100,'05'!$R$3:$R$100,"-")</f>
        <v/>
      </c>
      <c r="H316" s="68">
        <f>_xlfn.XLOOKUP($A316,'06'!$G$3:$G$100,'06'!$R$3:$R$100,"-")</f>
        <v/>
      </c>
      <c r="I316" s="68">
        <f>_xlfn.XLOOKUP($A316,'07'!$G$3:$G$100,'07'!$R$3:$R$100,"-")</f>
        <v/>
      </c>
      <c r="J316" s="68">
        <f>_xlfn.XLOOKUP($A316,'08'!$G$3:$G$100,'08'!$R$3:$R$100,"-")</f>
        <v/>
      </c>
      <c r="K316" s="68">
        <f>_xlfn.XLOOKUP($A316,'09'!$G$3:$G$100,'09'!$R$3:$R$100,"-")</f>
        <v/>
      </c>
      <c r="L316" s="68">
        <f>_xlfn.XLOOKUP($A316,'10'!$G$3:$G$100,'10'!$R$3:$R$100,"-")</f>
        <v/>
      </c>
      <c r="M316" s="68">
        <f>_xlfn.XLOOKUP($A316,'11'!$G$3:$G$100,'11'!$R$3:$R$100,"-")</f>
        <v/>
      </c>
      <c r="N316" s="68">
        <f>_xlfn.XLOOKUP($A316,'12'!$G$3:$G$100,'12'!$R$3:$R$100,"-")</f>
        <v/>
      </c>
      <c r="O316" s="79">
        <f>SUM(C316:N316)</f>
        <v/>
      </c>
      <c r="P316" s="74" t="n"/>
      <c r="Q316" s="82" t="n">
        <v>314</v>
      </c>
      <c r="R316" s="38" t="n"/>
      <c r="S316" s="61" t="n">
        <v>0</v>
      </c>
      <c r="T316" s="68" t="n">
        <v>0</v>
      </c>
      <c r="U316" s="68" t="n">
        <v>0</v>
      </c>
      <c r="V316" s="68" t="n">
        <v>0</v>
      </c>
      <c r="W316" s="68" t="n">
        <v>0</v>
      </c>
      <c r="X316" s="68" t="n">
        <v>0</v>
      </c>
      <c r="Y316" s="68" t="n">
        <v>0</v>
      </c>
      <c r="Z316" s="68" t="n">
        <v>0</v>
      </c>
      <c r="AA316" s="68" t="n">
        <v>0</v>
      </c>
      <c r="AB316" s="68" t="n">
        <v>0</v>
      </c>
      <c r="AC316" s="68" t="n">
        <v>0</v>
      </c>
      <c r="AD316" s="68" t="n">
        <v>0</v>
      </c>
      <c r="AE316" s="68" t="n">
        <v>0</v>
      </c>
      <c r="AF316" s="79" t="n">
        <v>0</v>
      </c>
      <c r="AG316" s="74" t="n">
        <v>0</v>
      </c>
      <c r="AH316" s="82" t="n">
        <v>314</v>
      </c>
    </row>
    <row r="317" ht="18" customHeight="1">
      <c r="C317" s="68">
        <f>_xlfn.XLOOKUP($A317,'01'!$G$3:$G$100,'01'!$R$3:$R$100,"-")</f>
        <v/>
      </c>
      <c r="D317" s="68">
        <f>_xlfn.XLOOKUP($A317,'02'!$G$3:$G$100,'02'!$R$3:$R$100,"-")</f>
        <v/>
      </c>
      <c r="E317" s="68">
        <f>_xlfn.XLOOKUP($A317,'03'!$G$3:$G$100,'03'!$R$3:$R$100,"-")</f>
        <v/>
      </c>
      <c r="F317" s="68">
        <f>_xlfn.XLOOKUP($A317,'04'!$G$3:$G$100,'04'!$R$3:$R$100,"-")</f>
        <v/>
      </c>
      <c r="G317" s="68">
        <f>_xlfn.XLOOKUP($A317,'05'!$G$3:$G$100,'05'!$R$3:$R$100,"-")</f>
        <v/>
      </c>
      <c r="H317" s="68">
        <f>_xlfn.XLOOKUP($A317,'06'!$G$3:$G$100,'06'!$R$3:$R$100,"-")</f>
        <v/>
      </c>
      <c r="I317" s="68">
        <f>_xlfn.XLOOKUP($A317,'07'!$G$3:$G$100,'07'!$R$3:$R$100,"-")</f>
        <v/>
      </c>
      <c r="J317" s="68">
        <f>_xlfn.XLOOKUP($A317,'08'!$G$3:$G$100,'08'!$R$3:$R$100,"-")</f>
        <v/>
      </c>
      <c r="K317" s="68">
        <f>_xlfn.XLOOKUP($A317,'09'!$G$3:$G$100,'09'!$R$3:$R$100,"-")</f>
        <v/>
      </c>
      <c r="L317" s="68">
        <f>_xlfn.XLOOKUP($A317,'10'!$G$3:$G$100,'10'!$R$3:$R$100,"-")</f>
        <v/>
      </c>
      <c r="M317" s="68">
        <f>_xlfn.XLOOKUP($A317,'11'!$G$3:$G$100,'11'!$R$3:$R$100,"-")</f>
        <v/>
      </c>
      <c r="N317" s="68">
        <f>_xlfn.XLOOKUP($A317,'12'!$G$3:$G$100,'12'!$R$3:$R$100,"-")</f>
        <v/>
      </c>
      <c r="O317" s="79">
        <f>SUM(C317:N317)</f>
        <v/>
      </c>
      <c r="P317" s="74" t="n"/>
      <c r="Q317" s="83" t="n">
        <v>315</v>
      </c>
      <c r="R317" s="38" t="n"/>
      <c r="S317" s="61" t="n">
        <v>0</v>
      </c>
      <c r="T317" s="68" t="n">
        <v>0</v>
      </c>
      <c r="U317" s="68" t="n">
        <v>0</v>
      </c>
      <c r="V317" s="68" t="n">
        <v>0</v>
      </c>
      <c r="W317" s="68" t="n">
        <v>0</v>
      </c>
      <c r="X317" s="68" t="n">
        <v>0</v>
      </c>
      <c r="Y317" s="68" t="n">
        <v>0</v>
      </c>
      <c r="Z317" s="68" t="n">
        <v>0</v>
      </c>
      <c r="AA317" s="68" t="n">
        <v>0</v>
      </c>
      <c r="AB317" s="68" t="n">
        <v>0</v>
      </c>
      <c r="AC317" s="68" t="n">
        <v>0</v>
      </c>
      <c r="AD317" s="68" t="n">
        <v>0</v>
      </c>
      <c r="AE317" s="68" t="n">
        <v>0</v>
      </c>
      <c r="AF317" s="79" t="n">
        <v>0</v>
      </c>
      <c r="AG317" s="74" t="n">
        <v>0</v>
      </c>
      <c r="AH317" s="83" t="n">
        <v>315</v>
      </c>
    </row>
    <row r="318" ht="18" customHeight="1">
      <c r="C318" s="68">
        <f>_xlfn.XLOOKUP($A318,'01'!$G$3:$G$100,'01'!$R$3:$R$100,"-")</f>
        <v/>
      </c>
      <c r="D318" s="68">
        <f>_xlfn.XLOOKUP($A318,'02'!$G$3:$G$100,'02'!$R$3:$R$100,"-")</f>
        <v/>
      </c>
      <c r="E318" s="68">
        <f>_xlfn.XLOOKUP($A318,'03'!$G$3:$G$100,'03'!$R$3:$R$100,"-")</f>
        <v/>
      </c>
      <c r="F318" s="68">
        <f>_xlfn.XLOOKUP($A318,'04'!$G$3:$G$100,'04'!$R$3:$R$100,"-")</f>
        <v/>
      </c>
      <c r="G318" s="68">
        <f>_xlfn.XLOOKUP($A318,'05'!$G$3:$G$100,'05'!$R$3:$R$100,"-")</f>
        <v/>
      </c>
      <c r="H318" s="68">
        <f>_xlfn.XLOOKUP($A318,'06'!$G$3:$G$100,'06'!$R$3:$R$100,"-")</f>
        <v/>
      </c>
      <c r="I318" s="68">
        <f>_xlfn.XLOOKUP($A318,'07'!$G$3:$G$100,'07'!$R$3:$R$100,"-")</f>
        <v/>
      </c>
      <c r="J318" s="68">
        <f>_xlfn.XLOOKUP($A318,'08'!$G$3:$G$100,'08'!$R$3:$R$100,"-")</f>
        <v/>
      </c>
      <c r="K318" s="68">
        <f>_xlfn.XLOOKUP($A318,'09'!$G$3:$G$100,'09'!$R$3:$R$100,"-")</f>
        <v/>
      </c>
      <c r="L318" s="68">
        <f>_xlfn.XLOOKUP($A318,'10'!$G$3:$G$100,'10'!$R$3:$R$100,"-")</f>
        <v/>
      </c>
      <c r="M318" s="68">
        <f>_xlfn.XLOOKUP($A318,'11'!$G$3:$G$100,'11'!$R$3:$R$100,"-")</f>
        <v/>
      </c>
      <c r="N318" s="68">
        <f>_xlfn.XLOOKUP($A318,'12'!$G$3:$G$100,'12'!$R$3:$R$100,"-")</f>
        <v/>
      </c>
      <c r="O318" s="79">
        <f>SUM(C318:N318)</f>
        <v/>
      </c>
      <c r="P318" s="74" t="n"/>
      <c r="Q318" s="82" t="n">
        <v>316</v>
      </c>
      <c r="R318" s="38" t="n"/>
      <c r="S318" s="61" t="n">
        <v>0</v>
      </c>
      <c r="T318" s="68" t="n">
        <v>0</v>
      </c>
      <c r="U318" s="68" t="n">
        <v>0</v>
      </c>
      <c r="V318" s="68" t="n">
        <v>0</v>
      </c>
      <c r="W318" s="68" t="n">
        <v>0</v>
      </c>
      <c r="X318" s="68" t="n">
        <v>0</v>
      </c>
      <c r="Y318" s="68" t="n">
        <v>0</v>
      </c>
      <c r="Z318" s="68" t="n">
        <v>0</v>
      </c>
      <c r="AA318" s="68" t="n">
        <v>0</v>
      </c>
      <c r="AB318" s="68" t="n">
        <v>0</v>
      </c>
      <c r="AC318" s="68" t="n">
        <v>0</v>
      </c>
      <c r="AD318" s="68" t="n">
        <v>0</v>
      </c>
      <c r="AE318" s="68" t="n">
        <v>0</v>
      </c>
      <c r="AF318" s="79" t="n">
        <v>0</v>
      </c>
      <c r="AG318" s="74" t="n">
        <v>0</v>
      </c>
      <c r="AH318" s="82" t="n">
        <v>316</v>
      </c>
    </row>
    <row r="319" ht="18" customHeight="1">
      <c r="C319" s="68">
        <f>_xlfn.XLOOKUP($A319,'01'!$G$3:$G$100,'01'!$R$3:$R$100,"-")</f>
        <v/>
      </c>
      <c r="D319" s="68">
        <f>_xlfn.XLOOKUP($A319,'02'!$G$3:$G$100,'02'!$R$3:$R$100,"-")</f>
        <v/>
      </c>
      <c r="E319" s="68">
        <f>_xlfn.XLOOKUP($A319,'03'!$G$3:$G$100,'03'!$R$3:$R$100,"-")</f>
        <v/>
      </c>
      <c r="F319" s="68">
        <f>_xlfn.XLOOKUP($A319,'04'!$G$3:$G$100,'04'!$R$3:$R$100,"-")</f>
        <v/>
      </c>
      <c r="G319" s="68">
        <f>_xlfn.XLOOKUP($A319,'05'!$G$3:$G$100,'05'!$R$3:$R$100,"-")</f>
        <v/>
      </c>
      <c r="H319" s="68">
        <f>_xlfn.XLOOKUP($A319,'06'!$G$3:$G$100,'06'!$R$3:$R$100,"-")</f>
        <v/>
      </c>
      <c r="I319" s="68">
        <f>_xlfn.XLOOKUP($A319,'07'!$G$3:$G$100,'07'!$R$3:$R$100,"-")</f>
        <v/>
      </c>
      <c r="J319" s="68">
        <f>_xlfn.XLOOKUP($A319,'08'!$G$3:$G$100,'08'!$R$3:$R$100,"-")</f>
        <v/>
      </c>
      <c r="K319" s="68">
        <f>_xlfn.XLOOKUP($A319,'09'!$G$3:$G$100,'09'!$R$3:$R$100,"-")</f>
        <v/>
      </c>
      <c r="L319" s="68">
        <f>_xlfn.XLOOKUP($A319,'10'!$G$3:$G$100,'10'!$R$3:$R$100,"-")</f>
        <v/>
      </c>
      <c r="M319" s="68">
        <f>_xlfn.XLOOKUP($A319,'11'!$G$3:$G$100,'11'!$R$3:$R$100,"-")</f>
        <v/>
      </c>
      <c r="N319" s="68">
        <f>_xlfn.XLOOKUP($A319,'12'!$G$3:$G$100,'12'!$R$3:$R$100,"-")</f>
        <v/>
      </c>
      <c r="O319" s="79">
        <f>SUM(C319:N319)</f>
        <v/>
      </c>
      <c r="P319" s="74" t="n"/>
      <c r="Q319" s="82" t="n">
        <v>317</v>
      </c>
      <c r="R319" s="38" t="n"/>
      <c r="S319" s="61" t="n">
        <v>0</v>
      </c>
      <c r="T319" s="68" t="n">
        <v>0</v>
      </c>
      <c r="U319" s="68" t="n">
        <v>0</v>
      </c>
      <c r="V319" s="68" t="n">
        <v>0</v>
      </c>
      <c r="W319" s="68" t="n">
        <v>0</v>
      </c>
      <c r="X319" s="68" t="n">
        <v>0</v>
      </c>
      <c r="Y319" s="68" t="n">
        <v>0</v>
      </c>
      <c r="Z319" s="68" t="n">
        <v>0</v>
      </c>
      <c r="AA319" s="68" t="n">
        <v>0</v>
      </c>
      <c r="AB319" s="68" t="n">
        <v>0</v>
      </c>
      <c r="AC319" s="68" t="n">
        <v>0</v>
      </c>
      <c r="AD319" s="68" t="n">
        <v>0</v>
      </c>
      <c r="AE319" s="68" t="n">
        <v>0</v>
      </c>
      <c r="AF319" s="79" t="n">
        <v>0</v>
      </c>
      <c r="AG319" s="74" t="n">
        <v>0</v>
      </c>
      <c r="AH319" s="82" t="n">
        <v>317</v>
      </c>
    </row>
    <row r="320" ht="18" customHeight="1">
      <c r="C320" s="68">
        <f>_xlfn.XLOOKUP($A320,'01'!$G$3:$G$100,'01'!$R$3:$R$100,"-")</f>
        <v/>
      </c>
      <c r="D320" s="68">
        <f>_xlfn.XLOOKUP($A320,'02'!$G$3:$G$100,'02'!$R$3:$R$100,"-")</f>
        <v/>
      </c>
      <c r="E320" s="68">
        <f>_xlfn.XLOOKUP($A320,'03'!$G$3:$G$100,'03'!$R$3:$R$100,"-")</f>
        <v/>
      </c>
      <c r="F320" s="68">
        <f>_xlfn.XLOOKUP($A320,'04'!$G$3:$G$100,'04'!$R$3:$R$100,"-")</f>
        <v/>
      </c>
      <c r="G320" s="68">
        <f>_xlfn.XLOOKUP($A320,'05'!$G$3:$G$100,'05'!$R$3:$R$100,"-")</f>
        <v/>
      </c>
      <c r="H320" s="68">
        <f>_xlfn.XLOOKUP($A320,'06'!$G$3:$G$100,'06'!$R$3:$R$100,"-")</f>
        <v/>
      </c>
      <c r="I320" s="68">
        <f>_xlfn.XLOOKUP($A320,'07'!$G$3:$G$100,'07'!$R$3:$R$100,"-")</f>
        <v/>
      </c>
      <c r="J320" s="68">
        <f>_xlfn.XLOOKUP($A320,'08'!$G$3:$G$100,'08'!$R$3:$R$100,"-")</f>
        <v/>
      </c>
      <c r="K320" s="68">
        <f>_xlfn.XLOOKUP($A320,'09'!$G$3:$G$100,'09'!$R$3:$R$100,"-")</f>
        <v/>
      </c>
      <c r="L320" s="68">
        <f>_xlfn.XLOOKUP($A320,'10'!$G$3:$G$100,'10'!$R$3:$R$100,"-")</f>
        <v/>
      </c>
      <c r="M320" s="68">
        <f>_xlfn.XLOOKUP($A320,'11'!$G$3:$G$100,'11'!$R$3:$R$100,"-")</f>
        <v/>
      </c>
      <c r="N320" s="68">
        <f>_xlfn.XLOOKUP($A320,'12'!$G$3:$G$100,'12'!$R$3:$R$100,"-")</f>
        <v/>
      </c>
      <c r="O320" s="79">
        <f>SUM(C320:N320)</f>
        <v/>
      </c>
      <c r="P320" s="74" t="n"/>
      <c r="Q320" s="82" t="n">
        <v>318</v>
      </c>
      <c r="R320" s="38" t="n"/>
      <c r="S320" s="61" t="n">
        <v>0</v>
      </c>
      <c r="T320" s="68" t="n">
        <v>0</v>
      </c>
      <c r="U320" s="68" t="n">
        <v>0</v>
      </c>
      <c r="V320" s="68" t="n">
        <v>0</v>
      </c>
      <c r="W320" s="68" t="n">
        <v>0</v>
      </c>
      <c r="X320" s="68" t="n">
        <v>0</v>
      </c>
      <c r="Y320" s="68" t="n">
        <v>0</v>
      </c>
      <c r="Z320" s="68" t="n">
        <v>0</v>
      </c>
      <c r="AA320" s="68" t="n">
        <v>0</v>
      </c>
      <c r="AB320" s="68" t="n">
        <v>0</v>
      </c>
      <c r="AC320" s="68" t="n">
        <v>0</v>
      </c>
      <c r="AD320" s="68" t="n">
        <v>0</v>
      </c>
      <c r="AE320" s="68" t="n">
        <v>0</v>
      </c>
      <c r="AF320" s="79" t="n">
        <v>0</v>
      </c>
      <c r="AG320" s="74" t="n">
        <v>0</v>
      </c>
      <c r="AH320" s="82" t="n">
        <v>318</v>
      </c>
    </row>
    <row r="321" ht="18" customHeight="1">
      <c r="C321" s="68">
        <f>_xlfn.XLOOKUP($A321,'01'!$G$3:$G$100,'01'!$R$3:$R$100,"-")</f>
        <v/>
      </c>
      <c r="D321" s="68">
        <f>_xlfn.XLOOKUP($A321,'02'!$G$3:$G$100,'02'!$R$3:$R$100,"-")</f>
        <v/>
      </c>
      <c r="E321" s="68">
        <f>_xlfn.XLOOKUP($A321,'03'!$G$3:$G$100,'03'!$R$3:$R$100,"-")</f>
        <v/>
      </c>
      <c r="F321" s="68">
        <f>_xlfn.XLOOKUP($A321,'04'!$G$3:$G$100,'04'!$R$3:$R$100,"-")</f>
        <v/>
      </c>
      <c r="G321" s="68">
        <f>_xlfn.XLOOKUP($A321,'05'!$G$3:$G$100,'05'!$R$3:$R$100,"-")</f>
        <v/>
      </c>
      <c r="H321" s="68">
        <f>_xlfn.XLOOKUP($A321,'06'!$G$3:$G$100,'06'!$R$3:$R$100,"-")</f>
        <v/>
      </c>
      <c r="I321" s="68">
        <f>_xlfn.XLOOKUP($A321,'07'!$G$3:$G$100,'07'!$R$3:$R$100,"-")</f>
        <v/>
      </c>
      <c r="J321" s="68">
        <f>_xlfn.XLOOKUP($A321,'08'!$G$3:$G$100,'08'!$R$3:$R$100,"-")</f>
        <v/>
      </c>
      <c r="K321" s="68">
        <f>_xlfn.XLOOKUP($A321,'09'!$G$3:$G$100,'09'!$R$3:$R$100,"-")</f>
        <v/>
      </c>
      <c r="L321" s="68">
        <f>_xlfn.XLOOKUP($A321,'10'!$G$3:$G$100,'10'!$R$3:$R$100,"-")</f>
        <v/>
      </c>
      <c r="M321" s="68">
        <f>_xlfn.XLOOKUP($A321,'11'!$G$3:$G$100,'11'!$R$3:$R$100,"-")</f>
        <v/>
      </c>
      <c r="N321" s="68">
        <f>_xlfn.XLOOKUP($A321,'12'!$G$3:$G$100,'12'!$R$3:$R$100,"-")</f>
        <v/>
      </c>
      <c r="O321" s="79">
        <f>SUM(C321:N321)</f>
        <v/>
      </c>
      <c r="P321" s="74" t="n"/>
      <c r="Q321" s="82" t="n">
        <v>319</v>
      </c>
      <c r="R321" s="38" t="n"/>
      <c r="S321" s="61" t="n">
        <v>0</v>
      </c>
      <c r="T321" s="68" t="n">
        <v>0</v>
      </c>
      <c r="U321" s="68" t="n">
        <v>0</v>
      </c>
      <c r="V321" s="68" t="n">
        <v>0</v>
      </c>
      <c r="W321" s="68" t="n">
        <v>0</v>
      </c>
      <c r="X321" s="68" t="n">
        <v>0</v>
      </c>
      <c r="Y321" s="68" t="n">
        <v>0</v>
      </c>
      <c r="Z321" s="68" t="n">
        <v>0</v>
      </c>
      <c r="AA321" s="68" t="n">
        <v>0</v>
      </c>
      <c r="AB321" s="68" t="n">
        <v>0</v>
      </c>
      <c r="AC321" s="68" t="n">
        <v>0</v>
      </c>
      <c r="AD321" s="68" t="n">
        <v>0</v>
      </c>
      <c r="AE321" s="68" t="n">
        <v>0</v>
      </c>
      <c r="AF321" s="79" t="n">
        <v>0</v>
      </c>
      <c r="AG321" s="74" t="n">
        <v>0</v>
      </c>
      <c r="AH321" s="82" t="n">
        <v>319</v>
      </c>
    </row>
    <row r="322" ht="18" customHeight="1">
      <c r="C322" s="68">
        <f>_xlfn.XLOOKUP($A322,'01'!$G$3:$G$100,'01'!$R$3:$R$100,"-")</f>
        <v/>
      </c>
      <c r="D322" s="68">
        <f>_xlfn.XLOOKUP($A322,'02'!$G$3:$G$100,'02'!$R$3:$R$100,"-")</f>
        <v/>
      </c>
      <c r="E322" s="68">
        <f>_xlfn.XLOOKUP($A322,'03'!$G$3:$G$100,'03'!$R$3:$R$100,"-")</f>
        <v/>
      </c>
      <c r="F322" s="68">
        <f>_xlfn.XLOOKUP($A322,'04'!$G$3:$G$100,'04'!$R$3:$R$100,"-")</f>
        <v/>
      </c>
      <c r="G322" s="68">
        <f>_xlfn.XLOOKUP($A322,'05'!$G$3:$G$100,'05'!$R$3:$R$100,"-")</f>
        <v/>
      </c>
      <c r="H322" s="68">
        <f>_xlfn.XLOOKUP($A322,'06'!$G$3:$G$100,'06'!$R$3:$R$100,"-")</f>
        <v/>
      </c>
      <c r="I322" s="68">
        <f>_xlfn.XLOOKUP($A322,'07'!$G$3:$G$100,'07'!$R$3:$R$100,"-")</f>
        <v/>
      </c>
      <c r="J322" s="68">
        <f>_xlfn.XLOOKUP($A322,'08'!$G$3:$G$100,'08'!$R$3:$R$100,"-")</f>
        <v/>
      </c>
      <c r="K322" s="68">
        <f>_xlfn.XLOOKUP($A322,'09'!$G$3:$G$100,'09'!$R$3:$R$100,"-")</f>
        <v/>
      </c>
      <c r="L322" s="68">
        <f>_xlfn.XLOOKUP($A322,'10'!$G$3:$G$100,'10'!$R$3:$R$100,"-")</f>
        <v/>
      </c>
      <c r="M322" s="68">
        <f>_xlfn.XLOOKUP($A322,'11'!$G$3:$G$100,'11'!$R$3:$R$100,"-")</f>
        <v/>
      </c>
      <c r="N322" s="68">
        <f>_xlfn.XLOOKUP($A322,'12'!$G$3:$G$100,'12'!$R$3:$R$100,"-")</f>
        <v/>
      </c>
      <c r="O322" s="79">
        <f>SUM(C322:N322)</f>
        <v/>
      </c>
      <c r="P322" s="74" t="n"/>
      <c r="Q322" s="82" t="n">
        <v>320</v>
      </c>
      <c r="R322" s="38" t="n"/>
      <c r="S322" s="61" t="n">
        <v>0</v>
      </c>
      <c r="T322" s="68" t="n">
        <v>0</v>
      </c>
      <c r="U322" s="68" t="n">
        <v>0</v>
      </c>
      <c r="V322" s="68" t="n">
        <v>0</v>
      </c>
      <c r="W322" s="68" t="n">
        <v>0</v>
      </c>
      <c r="X322" s="68" t="n">
        <v>0</v>
      </c>
      <c r="Y322" s="68" t="n">
        <v>0</v>
      </c>
      <c r="Z322" s="68" t="n">
        <v>0</v>
      </c>
      <c r="AA322" s="68" t="n">
        <v>0</v>
      </c>
      <c r="AB322" s="68" t="n">
        <v>0</v>
      </c>
      <c r="AC322" s="68" t="n">
        <v>0</v>
      </c>
      <c r="AD322" s="68" t="n">
        <v>0</v>
      </c>
      <c r="AE322" s="68" t="n">
        <v>0</v>
      </c>
      <c r="AF322" s="79" t="n">
        <v>0</v>
      </c>
      <c r="AG322" s="74" t="n">
        <v>0</v>
      </c>
      <c r="AH322" s="82" t="n">
        <v>320</v>
      </c>
    </row>
    <row r="323" ht="18" customHeight="1">
      <c r="C323" s="68">
        <f>_xlfn.XLOOKUP($A323,'01'!$G$3:$G$100,'01'!$R$3:$R$100,"-")</f>
        <v/>
      </c>
      <c r="D323" s="68">
        <f>_xlfn.XLOOKUP($A323,'02'!$G$3:$G$100,'02'!$R$3:$R$100,"-")</f>
        <v/>
      </c>
      <c r="E323" s="68">
        <f>_xlfn.XLOOKUP($A323,'03'!$G$3:$G$100,'03'!$R$3:$R$100,"-")</f>
        <v/>
      </c>
      <c r="F323" s="68">
        <f>_xlfn.XLOOKUP($A323,'04'!$G$3:$G$100,'04'!$R$3:$R$100,"-")</f>
        <v/>
      </c>
      <c r="G323" s="68">
        <f>_xlfn.XLOOKUP($A323,'05'!$G$3:$G$100,'05'!$R$3:$R$100,"-")</f>
        <v/>
      </c>
      <c r="H323" s="68">
        <f>_xlfn.XLOOKUP($A323,'06'!$G$3:$G$100,'06'!$R$3:$R$100,"-")</f>
        <v/>
      </c>
      <c r="I323" s="68">
        <f>_xlfn.XLOOKUP($A323,'07'!$G$3:$G$100,'07'!$R$3:$R$100,"-")</f>
        <v/>
      </c>
      <c r="J323" s="68">
        <f>_xlfn.XLOOKUP($A323,'08'!$G$3:$G$100,'08'!$R$3:$R$100,"-")</f>
        <v/>
      </c>
      <c r="K323" s="68">
        <f>_xlfn.XLOOKUP($A323,'09'!$G$3:$G$100,'09'!$R$3:$R$100,"-")</f>
        <v/>
      </c>
      <c r="L323" s="68">
        <f>_xlfn.XLOOKUP($A323,'10'!$G$3:$G$100,'10'!$R$3:$R$100,"-")</f>
        <v/>
      </c>
      <c r="M323" s="68">
        <f>_xlfn.XLOOKUP($A323,'11'!$G$3:$G$100,'11'!$R$3:$R$100,"-")</f>
        <v/>
      </c>
      <c r="N323" s="68">
        <f>_xlfn.XLOOKUP($A323,'12'!$G$3:$G$100,'12'!$R$3:$R$100,"-")</f>
        <v/>
      </c>
      <c r="O323" s="79">
        <f>SUM(C323:N323)</f>
        <v/>
      </c>
      <c r="P323" s="74" t="n"/>
      <c r="Q323" s="82" t="n">
        <v>321</v>
      </c>
      <c r="R323" s="38" t="n"/>
      <c r="S323" s="61" t="n">
        <v>0</v>
      </c>
      <c r="T323" s="68" t="n">
        <v>0</v>
      </c>
      <c r="U323" s="68" t="n">
        <v>0</v>
      </c>
      <c r="V323" s="68" t="n">
        <v>0</v>
      </c>
      <c r="W323" s="68" t="n">
        <v>0</v>
      </c>
      <c r="X323" s="68" t="n">
        <v>0</v>
      </c>
      <c r="Y323" s="68" t="n">
        <v>0</v>
      </c>
      <c r="Z323" s="68" t="n">
        <v>0</v>
      </c>
      <c r="AA323" s="68" t="n">
        <v>0</v>
      </c>
      <c r="AB323" s="68" t="n">
        <v>0</v>
      </c>
      <c r="AC323" s="68" t="n">
        <v>0</v>
      </c>
      <c r="AD323" s="68" t="n">
        <v>0</v>
      </c>
      <c r="AE323" s="68" t="n">
        <v>0</v>
      </c>
      <c r="AF323" s="79" t="n">
        <v>0</v>
      </c>
      <c r="AG323" s="74" t="n">
        <v>0</v>
      </c>
      <c r="AH323" s="82" t="n">
        <v>321</v>
      </c>
    </row>
    <row r="324" ht="18" customHeight="1">
      <c r="C324" s="68">
        <f>_xlfn.XLOOKUP($A324,'01'!$G$3:$G$100,'01'!$R$3:$R$100,"-")</f>
        <v/>
      </c>
      <c r="D324" s="68">
        <f>_xlfn.XLOOKUP($A324,'02'!$G$3:$G$100,'02'!$R$3:$R$100,"-")</f>
        <v/>
      </c>
      <c r="E324" s="68">
        <f>_xlfn.XLOOKUP($A324,'03'!$G$3:$G$100,'03'!$R$3:$R$100,"-")</f>
        <v/>
      </c>
      <c r="F324" s="68">
        <f>_xlfn.XLOOKUP($A324,'04'!$G$3:$G$100,'04'!$R$3:$R$100,"-")</f>
        <v/>
      </c>
      <c r="G324" s="68">
        <f>_xlfn.XLOOKUP($A324,'05'!$G$3:$G$100,'05'!$R$3:$R$100,"-")</f>
        <v/>
      </c>
      <c r="H324" s="68">
        <f>_xlfn.XLOOKUP($A324,'06'!$G$3:$G$100,'06'!$R$3:$R$100,"-")</f>
        <v/>
      </c>
      <c r="I324" s="68">
        <f>_xlfn.XLOOKUP($A324,'07'!$G$3:$G$100,'07'!$R$3:$R$100,"-")</f>
        <v/>
      </c>
      <c r="J324" s="68">
        <f>_xlfn.XLOOKUP($A324,'08'!$G$3:$G$100,'08'!$R$3:$R$100,"-")</f>
        <v/>
      </c>
      <c r="K324" s="68">
        <f>_xlfn.XLOOKUP($A324,'09'!$G$3:$G$100,'09'!$R$3:$R$100,"-")</f>
        <v/>
      </c>
      <c r="L324" s="68">
        <f>_xlfn.XLOOKUP($A324,'10'!$G$3:$G$100,'10'!$R$3:$R$100,"-")</f>
        <v/>
      </c>
      <c r="M324" s="68">
        <f>_xlfn.XLOOKUP($A324,'11'!$G$3:$G$100,'11'!$R$3:$R$100,"-")</f>
        <v/>
      </c>
      <c r="N324" s="68">
        <f>_xlfn.XLOOKUP($A324,'12'!$G$3:$G$100,'12'!$R$3:$R$100,"-")</f>
        <v/>
      </c>
      <c r="O324" s="79">
        <f>SUM(C324:N324)</f>
        <v/>
      </c>
      <c r="P324" s="74" t="n"/>
      <c r="Q324" s="82" t="n">
        <v>322</v>
      </c>
      <c r="R324" s="38" t="n"/>
      <c r="S324" s="61" t="n">
        <v>0</v>
      </c>
      <c r="T324" s="68" t="n">
        <v>0</v>
      </c>
      <c r="U324" s="68" t="n">
        <v>0</v>
      </c>
      <c r="V324" s="68" t="n">
        <v>0</v>
      </c>
      <c r="W324" s="68" t="n">
        <v>0</v>
      </c>
      <c r="X324" s="68" t="n">
        <v>0</v>
      </c>
      <c r="Y324" s="68" t="n">
        <v>0</v>
      </c>
      <c r="Z324" s="68" t="n">
        <v>0</v>
      </c>
      <c r="AA324" s="68" t="n">
        <v>0</v>
      </c>
      <c r="AB324" s="68" t="n">
        <v>0</v>
      </c>
      <c r="AC324" s="68" t="n">
        <v>0</v>
      </c>
      <c r="AD324" s="68" t="n">
        <v>0</v>
      </c>
      <c r="AE324" s="68" t="n">
        <v>0</v>
      </c>
      <c r="AF324" s="79" t="n">
        <v>0</v>
      </c>
      <c r="AG324" s="74" t="n">
        <v>0</v>
      </c>
      <c r="AH324" s="82" t="n">
        <v>322</v>
      </c>
    </row>
    <row r="325" ht="18" customHeight="1">
      <c r="C325" s="68">
        <f>_xlfn.XLOOKUP($A325,'01'!$G$3:$G$100,'01'!$R$3:$R$100,"-")</f>
        <v/>
      </c>
      <c r="D325" s="68">
        <f>_xlfn.XLOOKUP($A325,'02'!$G$3:$G$100,'02'!$R$3:$R$100,"-")</f>
        <v/>
      </c>
      <c r="E325" s="68">
        <f>_xlfn.XLOOKUP($A325,'03'!$G$3:$G$100,'03'!$R$3:$R$100,"-")</f>
        <v/>
      </c>
      <c r="F325" s="68">
        <f>_xlfn.XLOOKUP($A325,'04'!$G$3:$G$100,'04'!$R$3:$R$100,"-")</f>
        <v/>
      </c>
      <c r="G325" s="68">
        <f>_xlfn.XLOOKUP($A325,'05'!$G$3:$G$100,'05'!$R$3:$R$100,"-")</f>
        <v/>
      </c>
      <c r="H325" s="68">
        <f>_xlfn.XLOOKUP($A325,'06'!$G$3:$G$100,'06'!$R$3:$R$100,"-")</f>
        <v/>
      </c>
      <c r="I325" s="68">
        <f>_xlfn.XLOOKUP($A325,'07'!$G$3:$G$100,'07'!$R$3:$R$100,"-")</f>
        <v/>
      </c>
      <c r="J325" s="68">
        <f>_xlfn.XLOOKUP($A325,'08'!$G$3:$G$100,'08'!$R$3:$R$100,"-")</f>
        <v/>
      </c>
      <c r="K325" s="68">
        <f>_xlfn.XLOOKUP($A325,'09'!$G$3:$G$100,'09'!$R$3:$R$100,"-")</f>
        <v/>
      </c>
      <c r="L325" s="68">
        <f>_xlfn.XLOOKUP($A325,'10'!$G$3:$G$100,'10'!$R$3:$R$100,"-")</f>
        <v/>
      </c>
      <c r="M325" s="68">
        <f>_xlfn.XLOOKUP($A325,'11'!$G$3:$G$100,'11'!$R$3:$R$100,"-")</f>
        <v/>
      </c>
      <c r="N325" s="68">
        <f>_xlfn.XLOOKUP($A325,'12'!$G$3:$G$100,'12'!$R$3:$R$100,"-")</f>
        <v/>
      </c>
      <c r="O325" s="79">
        <f>SUM(C325:N325)</f>
        <v/>
      </c>
      <c r="P325" s="74" t="n"/>
      <c r="Q325" s="82" t="n">
        <v>323</v>
      </c>
      <c r="R325" s="38" t="n"/>
      <c r="S325" s="61" t="n">
        <v>0</v>
      </c>
      <c r="T325" s="68" t="n">
        <v>0</v>
      </c>
      <c r="U325" s="68" t="n">
        <v>0</v>
      </c>
      <c r="V325" s="68" t="n">
        <v>0</v>
      </c>
      <c r="W325" s="68" t="n">
        <v>0</v>
      </c>
      <c r="X325" s="68" t="n">
        <v>0</v>
      </c>
      <c r="Y325" s="68" t="n">
        <v>0</v>
      </c>
      <c r="Z325" s="68" t="n">
        <v>0</v>
      </c>
      <c r="AA325" s="68" t="n">
        <v>0</v>
      </c>
      <c r="AB325" s="68" t="n">
        <v>0</v>
      </c>
      <c r="AC325" s="68" t="n">
        <v>0</v>
      </c>
      <c r="AD325" s="68" t="n">
        <v>0</v>
      </c>
      <c r="AE325" s="68" t="n">
        <v>0</v>
      </c>
      <c r="AF325" s="79" t="n">
        <v>0</v>
      </c>
      <c r="AG325" s="74" t="n">
        <v>0</v>
      </c>
      <c r="AH325" s="82" t="n">
        <v>323</v>
      </c>
    </row>
    <row r="326" ht="18" customHeight="1">
      <c r="C326" s="68">
        <f>_xlfn.XLOOKUP($A326,'01'!$G$3:$G$100,'01'!$R$3:$R$100,"-")</f>
        <v/>
      </c>
      <c r="D326" s="68">
        <f>_xlfn.XLOOKUP($A326,'02'!$G$3:$G$100,'02'!$R$3:$R$100,"-")</f>
        <v/>
      </c>
      <c r="E326" s="68">
        <f>_xlfn.XLOOKUP($A326,'03'!$G$3:$G$100,'03'!$R$3:$R$100,"-")</f>
        <v/>
      </c>
      <c r="F326" s="68">
        <f>_xlfn.XLOOKUP($A326,'04'!$G$3:$G$100,'04'!$R$3:$R$100,"-")</f>
        <v/>
      </c>
      <c r="G326" s="68">
        <f>_xlfn.XLOOKUP($A326,'05'!$G$3:$G$100,'05'!$R$3:$R$100,"-")</f>
        <v/>
      </c>
      <c r="H326" s="68">
        <f>_xlfn.XLOOKUP($A326,'06'!$G$3:$G$100,'06'!$R$3:$R$100,"-")</f>
        <v/>
      </c>
      <c r="I326" s="68">
        <f>_xlfn.XLOOKUP($A326,'07'!$G$3:$G$100,'07'!$R$3:$R$100,"-")</f>
        <v/>
      </c>
      <c r="J326" s="68">
        <f>_xlfn.XLOOKUP($A326,'08'!$G$3:$G$100,'08'!$R$3:$R$100,"-")</f>
        <v/>
      </c>
      <c r="K326" s="68">
        <f>_xlfn.XLOOKUP($A326,'09'!$G$3:$G$100,'09'!$R$3:$R$100,"-")</f>
        <v/>
      </c>
      <c r="L326" s="68">
        <f>_xlfn.XLOOKUP($A326,'10'!$G$3:$G$100,'10'!$R$3:$R$100,"-")</f>
        <v/>
      </c>
      <c r="M326" s="68">
        <f>_xlfn.XLOOKUP($A326,'11'!$G$3:$G$100,'11'!$R$3:$R$100,"-")</f>
        <v/>
      </c>
      <c r="N326" s="68">
        <f>_xlfn.XLOOKUP($A326,'12'!$G$3:$G$100,'12'!$R$3:$R$100,"-")</f>
        <v/>
      </c>
      <c r="O326" s="79">
        <f>SUM(C326:N326)</f>
        <v/>
      </c>
      <c r="P326" s="74" t="n"/>
      <c r="Q326" s="82" t="n">
        <v>324</v>
      </c>
      <c r="R326" s="38" t="n"/>
      <c r="S326" s="61" t="n">
        <v>0</v>
      </c>
      <c r="T326" s="68" t="n">
        <v>0</v>
      </c>
      <c r="U326" s="68" t="n">
        <v>0</v>
      </c>
      <c r="V326" s="68" t="n">
        <v>0</v>
      </c>
      <c r="W326" s="68" t="n">
        <v>0</v>
      </c>
      <c r="X326" s="68" t="n">
        <v>0</v>
      </c>
      <c r="Y326" s="68" t="n">
        <v>0</v>
      </c>
      <c r="Z326" s="68" t="n">
        <v>0</v>
      </c>
      <c r="AA326" s="68" t="n">
        <v>0</v>
      </c>
      <c r="AB326" s="68" t="n">
        <v>0</v>
      </c>
      <c r="AC326" s="68" t="n">
        <v>0</v>
      </c>
      <c r="AD326" s="68" t="n">
        <v>0</v>
      </c>
      <c r="AE326" s="68" t="n">
        <v>0</v>
      </c>
      <c r="AF326" s="79" t="n">
        <v>0</v>
      </c>
      <c r="AG326" s="74" t="n">
        <v>0</v>
      </c>
      <c r="AH326" s="82" t="n">
        <v>324</v>
      </c>
    </row>
    <row r="327" ht="18" customHeight="1">
      <c r="C327" s="68">
        <f>_xlfn.XLOOKUP($A327,'01'!$G$3:$G$100,'01'!$R$3:$R$100,"-")</f>
        <v/>
      </c>
      <c r="D327" s="68">
        <f>_xlfn.XLOOKUP($A327,'02'!$G$3:$G$100,'02'!$R$3:$R$100,"-")</f>
        <v/>
      </c>
      <c r="E327" s="68">
        <f>_xlfn.XLOOKUP($A327,'03'!$G$3:$G$100,'03'!$R$3:$R$100,"-")</f>
        <v/>
      </c>
      <c r="F327" s="68">
        <f>_xlfn.XLOOKUP($A327,'04'!$G$3:$G$100,'04'!$R$3:$R$100,"-")</f>
        <v/>
      </c>
      <c r="G327" s="68">
        <f>_xlfn.XLOOKUP($A327,'05'!$G$3:$G$100,'05'!$R$3:$R$100,"-")</f>
        <v/>
      </c>
      <c r="H327" s="68">
        <f>_xlfn.XLOOKUP($A327,'06'!$G$3:$G$100,'06'!$R$3:$R$100,"-")</f>
        <v/>
      </c>
      <c r="I327" s="68">
        <f>_xlfn.XLOOKUP($A327,'07'!$G$3:$G$100,'07'!$R$3:$R$100,"-")</f>
        <v/>
      </c>
      <c r="J327" s="68">
        <f>_xlfn.XLOOKUP($A327,'08'!$G$3:$G$100,'08'!$R$3:$R$100,"-")</f>
        <v/>
      </c>
      <c r="K327" s="68">
        <f>_xlfn.XLOOKUP($A327,'09'!$G$3:$G$100,'09'!$R$3:$R$100,"-")</f>
        <v/>
      </c>
      <c r="L327" s="68">
        <f>_xlfn.XLOOKUP($A327,'10'!$G$3:$G$100,'10'!$R$3:$R$100,"-")</f>
        <v/>
      </c>
      <c r="M327" s="68">
        <f>_xlfn.XLOOKUP($A327,'11'!$G$3:$G$100,'11'!$R$3:$R$100,"-")</f>
        <v/>
      </c>
      <c r="N327" s="68">
        <f>_xlfn.XLOOKUP($A327,'12'!$G$3:$G$100,'12'!$R$3:$R$100,"-")</f>
        <v/>
      </c>
      <c r="O327" s="79">
        <f>SUM(C327:N327)</f>
        <v/>
      </c>
      <c r="P327" s="74" t="n"/>
      <c r="Q327" s="83" t="n">
        <v>325</v>
      </c>
      <c r="R327" s="38" t="n"/>
      <c r="S327" s="61" t="n">
        <v>0</v>
      </c>
      <c r="T327" s="68" t="n">
        <v>0</v>
      </c>
      <c r="U327" s="68" t="n">
        <v>0</v>
      </c>
      <c r="V327" s="68" t="n">
        <v>0</v>
      </c>
      <c r="W327" s="68" t="n">
        <v>0</v>
      </c>
      <c r="X327" s="68" t="n">
        <v>0</v>
      </c>
      <c r="Y327" s="68" t="n">
        <v>0</v>
      </c>
      <c r="Z327" s="68" t="n">
        <v>0</v>
      </c>
      <c r="AA327" s="68" t="n">
        <v>0</v>
      </c>
      <c r="AB327" s="68" t="n">
        <v>0</v>
      </c>
      <c r="AC327" s="68" t="n">
        <v>0</v>
      </c>
      <c r="AD327" s="68" t="n">
        <v>0</v>
      </c>
      <c r="AE327" s="68" t="n">
        <v>0</v>
      </c>
      <c r="AF327" s="79" t="n">
        <v>0</v>
      </c>
      <c r="AG327" s="74" t="n">
        <v>0</v>
      </c>
      <c r="AH327" s="83" t="n">
        <v>325</v>
      </c>
    </row>
    <row r="328" ht="18" customHeight="1">
      <c r="C328" s="68">
        <f>_xlfn.XLOOKUP($A328,'01'!$G$3:$G$100,'01'!$R$3:$R$100,"-")</f>
        <v/>
      </c>
      <c r="D328" s="68">
        <f>_xlfn.XLOOKUP($A328,'02'!$G$3:$G$100,'02'!$R$3:$R$100,"-")</f>
        <v/>
      </c>
      <c r="E328" s="68">
        <f>_xlfn.XLOOKUP($A328,'03'!$G$3:$G$100,'03'!$R$3:$R$100,"-")</f>
        <v/>
      </c>
      <c r="F328" s="68">
        <f>_xlfn.XLOOKUP($A328,'04'!$G$3:$G$100,'04'!$R$3:$R$100,"-")</f>
        <v/>
      </c>
      <c r="G328" s="68">
        <f>_xlfn.XLOOKUP($A328,'05'!$G$3:$G$100,'05'!$R$3:$R$100,"-")</f>
        <v/>
      </c>
      <c r="H328" s="68">
        <f>_xlfn.XLOOKUP($A328,'06'!$G$3:$G$100,'06'!$R$3:$R$100,"-")</f>
        <v/>
      </c>
      <c r="I328" s="68">
        <f>_xlfn.XLOOKUP($A328,'07'!$G$3:$G$100,'07'!$R$3:$R$100,"-")</f>
        <v/>
      </c>
      <c r="J328" s="68">
        <f>_xlfn.XLOOKUP($A328,'08'!$G$3:$G$100,'08'!$R$3:$R$100,"-")</f>
        <v/>
      </c>
      <c r="K328" s="68">
        <f>_xlfn.XLOOKUP($A328,'09'!$G$3:$G$100,'09'!$R$3:$R$100,"-")</f>
        <v/>
      </c>
      <c r="L328" s="68">
        <f>_xlfn.XLOOKUP($A328,'10'!$G$3:$G$100,'10'!$R$3:$R$100,"-")</f>
        <v/>
      </c>
      <c r="M328" s="68">
        <f>_xlfn.XLOOKUP($A328,'11'!$G$3:$G$100,'11'!$R$3:$R$100,"-")</f>
        <v/>
      </c>
      <c r="N328" s="68">
        <f>_xlfn.XLOOKUP($A328,'12'!$G$3:$G$100,'12'!$R$3:$R$100,"-")</f>
        <v/>
      </c>
      <c r="O328" s="79">
        <f>SUM(C328:N328)</f>
        <v/>
      </c>
      <c r="P328" s="74" t="n"/>
      <c r="Q328" s="82" t="n">
        <v>326</v>
      </c>
      <c r="R328" s="38" t="n"/>
      <c r="S328" s="61" t="n">
        <v>0</v>
      </c>
      <c r="T328" s="68" t="n">
        <v>0</v>
      </c>
      <c r="U328" s="68" t="n">
        <v>0</v>
      </c>
      <c r="V328" s="68" t="n">
        <v>0</v>
      </c>
      <c r="W328" s="68" t="n">
        <v>0</v>
      </c>
      <c r="X328" s="68" t="n">
        <v>0</v>
      </c>
      <c r="Y328" s="68" t="n">
        <v>0</v>
      </c>
      <c r="Z328" s="68" t="n">
        <v>0</v>
      </c>
      <c r="AA328" s="68" t="n">
        <v>0</v>
      </c>
      <c r="AB328" s="68" t="n">
        <v>0</v>
      </c>
      <c r="AC328" s="68" t="n">
        <v>0</v>
      </c>
      <c r="AD328" s="68" t="n">
        <v>0</v>
      </c>
      <c r="AE328" s="68" t="n">
        <v>0</v>
      </c>
      <c r="AF328" s="79" t="n">
        <v>0</v>
      </c>
      <c r="AG328" s="74" t="n">
        <v>0</v>
      </c>
      <c r="AH328" s="82" t="n">
        <v>326</v>
      </c>
    </row>
    <row r="329" ht="18" customHeight="1">
      <c r="C329" s="68">
        <f>_xlfn.XLOOKUP($A329,'01'!$G$3:$G$100,'01'!$R$3:$R$100,"-")</f>
        <v/>
      </c>
      <c r="D329" s="68">
        <f>_xlfn.XLOOKUP($A329,'02'!$G$3:$G$100,'02'!$R$3:$R$100,"-")</f>
        <v/>
      </c>
      <c r="E329" s="68">
        <f>_xlfn.XLOOKUP($A329,'03'!$G$3:$G$100,'03'!$R$3:$R$100,"-")</f>
        <v/>
      </c>
      <c r="F329" s="68">
        <f>_xlfn.XLOOKUP($A329,'04'!$G$3:$G$100,'04'!$R$3:$R$100,"-")</f>
        <v/>
      </c>
      <c r="G329" s="68">
        <f>_xlfn.XLOOKUP($A329,'05'!$G$3:$G$100,'05'!$R$3:$R$100,"-")</f>
        <v/>
      </c>
      <c r="H329" s="68">
        <f>_xlfn.XLOOKUP($A329,'06'!$G$3:$G$100,'06'!$R$3:$R$100,"-")</f>
        <v/>
      </c>
      <c r="I329" s="68">
        <f>_xlfn.XLOOKUP($A329,'07'!$G$3:$G$100,'07'!$R$3:$R$100,"-")</f>
        <v/>
      </c>
      <c r="J329" s="68">
        <f>_xlfn.XLOOKUP($A329,'08'!$G$3:$G$100,'08'!$R$3:$R$100,"-")</f>
        <v/>
      </c>
      <c r="K329" s="68">
        <f>_xlfn.XLOOKUP($A329,'09'!$G$3:$G$100,'09'!$R$3:$R$100,"-")</f>
        <v/>
      </c>
      <c r="L329" s="68">
        <f>_xlfn.XLOOKUP($A329,'10'!$G$3:$G$100,'10'!$R$3:$R$100,"-")</f>
        <v/>
      </c>
      <c r="M329" s="68">
        <f>_xlfn.XLOOKUP($A329,'11'!$G$3:$G$100,'11'!$R$3:$R$100,"-")</f>
        <v/>
      </c>
      <c r="N329" s="68">
        <f>_xlfn.XLOOKUP($A329,'12'!$G$3:$G$100,'12'!$R$3:$R$100,"-")</f>
        <v/>
      </c>
      <c r="O329" s="79">
        <f>SUM(C329:N329)</f>
        <v/>
      </c>
      <c r="P329" s="74" t="n"/>
      <c r="Q329" s="82" t="n">
        <v>327</v>
      </c>
      <c r="R329" s="38" t="n"/>
      <c r="S329" s="61" t="n">
        <v>0</v>
      </c>
      <c r="T329" s="68" t="n">
        <v>0</v>
      </c>
      <c r="U329" s="68" t="n">
        <v>0</v>
      </c>
      <c r="V329" s="68" t="n">
        <v>0</v>
      </c>
      <c r="W329" s="68" t="n">
        <v>0</v>
      </c>
      <c r="X329" s="68" t="n">
        <v>0</v>
      </c>
      <c r="Y329" s="68" t="n">
        <v>0</v>
      </c>
      <c r="Z329" s="68" t="n">
        <v>0</v>
      </c>
      <c r="AA329" s="68" t="n">
        <v>0</v>
      </c>
      <c r="AB329" s="68" t="n">
        <v>0</v>
      </c>
      <c r="AC329" s="68" t="n">
        <v>0</v>
      </c>
      <c r="AD329" s="68" t="n">
        <v>0</v>
      </c>
      <c r="AE329" s="68" t="n">
        <v>0</v>
      </c>
      <c r="AF329" s="79" t="n">
        <v>0</v>
      </c>
      <c r="AG329" s="74" t="n">
        <v>0</v>
      </c>
      <c r="AH329" s="82" t="n">
        <v>327</v>
      </c>
    </row>
    <row r="330" ht="18" customHeight="1">
      <c r="C330" s="68">
        <f>_xlfn.XLOOKUP($A330,'01'!$G$3:$G$100,'01'!$R$3:$R$100,"-")</f>
        <v/>
      </c>
      <c r="D330" s="68">
        <f>_xlfn.XLOOKUP($A330,'02'!$G$3:$G$100,'02'!$R$3:$R$100,"-")</f>
        <v/>
      </c>
      <c r="E330" s="68">
        <f>_xlfn.XLOOKUP($A330,'03'!$G$3:$G$100,'03'!$R$3:$R$100,"-")</f>
        <v/>
      </c>
      <c r="F330" s="68">
        <f>_xlfn.XLOOKUP($A330,'04'!$G$3:$G$100,'04'!$R$3:$R$100,"-")</f>
        <v/>
      </c>
      <c r="G330" s="68">
        <f>_xlfn.XLOOKUP($A330,'05'!$G$3:$G$100,'05'!$R$3:$R$100,"-")</f>
        <v/>
      </c>
      <c r="H330" s="68">
        <f>_xlfn.XLOOKUP($A330,'06'!$G$3:$G$100,'06'!$R$3:$R$100,"-")</f>
        <v/>
      </c>
      <c r="I330" s="68">
        <f>_xlfn.XLOOKUP($A330,'07'!$G$3:$G$100,'07'!$R$3:$R$100,"-")</f>
        <v/>
      </c>
      <c r="J330" s="68">
        <f>_xlfn.XLOOKUP($A330,'08'!$G$3:$G$100,'08'!$R$3:$R$100,"-")</f>
        <v/>
      </c>
      <c r="K330" s="68">
        <f>_xlfn.XLOOKUP($A330,'09'!$G$3:$G$100,'09'!$R$3:$R$100,"-")</f>
        <v/>
      </c>
      <c r="L330" s="68">
        <f>_xlfn.XLOOKUP($A330,'10'!$G$3:$G$100,'10'!$R$3:$R$100,"-")</f>
        <v/>
      </c>
      <c r="M330" s="68">
        <f>_xlfn.XLOOKUP($A330,'11'!$G$3:$G$100,'11'!$R$3:$R$100,"-")</f>
        <v/>
      </c>
      <c r="N330" s="68">
        <f>_xlfn.XLOOKUP($A330,'12'!$G$3:$G$100,'12'!$R$3:$R$100,"-")</f>
        <v/>
      </c>
      <c r="O330" s="79">
        <f>SUM(C330:N330)</f>
        <v/>
      </c>
      <c r="P330" s="74" t="n"/>
      <c r="Q330" s="82" t="n">
        <v>328</v>
      </c>
      <c r="R330" s="38" t="n"/>
      <c r="S330" s="61" t="n">
        <v>0</v>
      </c>
      <c r="T330" s="68" t="n">
        <v>0</v>
      </c>
      <c r="U330" s="68" t="n">
        <v>0</v>
      </c>
      <c r="V330" s="68" t="n">
        <v>0</v>
      </c>
      <c r="W330" s="68" t="n">
        <v>0</v>
      </c>
      <c r="X330" s="68" t="n">
        <v>0</v>
      </c>
      <c r="Y330" s="68" t="n">
        <v>0</v>
      </c>
      <c r="Z330" s="68" t="n">
        <v>0</v>
      </c>
      <c r="AA330" s="68" t="n">
        <v>0</v>
      </c>
      <c r="AB330" s="68" t="n">
        <v>0</v>
      </c>
      <c r="AC330" s="68" t="n">
        <v>0</v>
      </c>
      <c r="AD330" s="68" t="n">
        <v>0</v>
      </c>
      <c r="AE330" s="68" t="n">
        <v>0</v>
      </c>
      <c r="AF330" s="79" t="n">
        <v>0</v>
      </c>
      <c r="AG330" s="74" t="n">
        <v>0</v>
      </c>
      <c r="AH330" s="82" t="n">
        <v>328</v>
      </c>
    </row>
    <row r="331" ht="18" customHeight="1">
      <c r="C331" s="68">
        <f>_xlfn.XLOOKUP($A331,'01'!$G$3:$G$100,'01'!$R$3:$R$100,"-")</f>
        <v/>
      </c>
      <c r="D331" s="68">
        <f>_xlfn.XLOOKUP($A331,'02'!$G$3:$G$100,'02'!$R$3:$R$100,"-")</f>
        <v/>
      </c>
      <c r="E331" s="68">
        <f>_xlfn.XLOOKUP($A331,'03'!$G$3:$G$100,'03'!$R$3:$R$100,"-")</f>
        <v/>
      </c>
      <c r="F331" s="68">
        <f>_xlfn.XLOOKUP($A331,'04'!$G$3:$G$100,'04'!$R$3:$R$100,"-")</f>
        <v/>
      </c>
      <c r="G331" s="68">
        <f>_xlfn.XLOOKUP($A331,'05'!$G$3:$G$100,'05'!$R$3:$R$100,"-")</f>
        <v/>
      </c>
      <c r="H331" s="68">
        <f>_xlfn.XLOOKUP($A331,'06'!$G$3:$G$100,'06'!$R$3:$R$100,"-")</f>
        <v/>
      </c>
      <c r="I331" s="68">
        <f>_xlfn.XLOOKUP($A331,'07'!$G$3:$G$100,'07'!$R$3:$R$100,"-")</f>
        <v/>
      </c>
      <c r="J331" s="68">
        <f>_xlfn.XLOOKUP($A331,'08'!$G$3:$G$100,'08'!$R$3:$R$100,"-")</f>
        <v/>
      </c>
      <c r="K331" s="68">
        <f>_xlfn.XLOOKUP($A331,'09'!$G$3:$G$100,'09'!$R$3:$R$100,"-")</f>
        <v/>
      </c>
      <c r="L331" s="68">
        <f>_xlfn.XLOOKUP($A331,'10'!$G$3:$G$100,'10'!$R$3:$R$100,"-")</f>
        <v/>
      </c>
      <c r="M331" s="68">
        <f>_xlfn.XLOOKUP($A331,'11'!$G$3:$G$100,'11'!$R$3:$R$100,"-")</f>
        <v/>
      </c>
      <c r="N331" s="68">
        <f>_xlfn.XLOOKUP($A331,'12'!$G$3:$G$100,'12'!$R$3:$R$100,"-")</f>
        <v/>
      </c>
      <c r="O331" s="79">
        <f>SUM(C331:N331)</f>
        <v/>
      </c>
      <c r="P331" s="74" t="n"/>
      <c r="Q331" s="82" t="n">
        <v>329</v>
      </c>
      <c r="R331" s="38" t="n"/>
      <c r="S331" s="61" t="n">
        <v>0</v>
      </c>
      <c r="T331" s="68" t="n">
        <v>0</v>
      </c>
      <c r="U331" s="68" t="n">
        <v>0</v>
      </c>
      <c r="V331" s="68" t="n">
        <v>0</v>
      </c>
      <c r="W331" s="68" t="n">
        <v>0</v>
      </c>
      <c r="X331" s="68" t="n">
        <v>0</v>
      </c>
      <c r="Y331" s="68" t="n">
        <v>0</v>
      </c>
      <c r="Z331" s="68" t="n">
        <v>0</v>
      </c>
      <c r="AA331" s="68" t="n">
        <v>0</v>
      </c>
      <c r="AB331" s="68" t="n">
        <v>0</v>
      </c>
      <c r="AC331" s="68" t="n">
        <v>0</v>
      </c>
      <c r="AD331" s="68" t="n">
        <v>0</v>
      </c>
      <c r="AE331" s="68" t="n">
        <v>0</v>
      </c>
      <c r="AF331" s="79" t="n">
        <v>0</v>
      </c>
      <c r="AG331" s="74" t="n">
        <v>0</v>
      </c>
      <c r="AH331" s="82" t="n">
        <v>329</v>
      </c>
    </row>
    <row r="332" ht="18" customHeight="1">
      <c r="C332" s="68">
        <f>_xlfn.XLOOKUP($A332,'01'!$G$3:$G$100,'01'!$R$3:$R$100,"-")</f>
        <v/>
      </c>
      <c r="D332" s="68">
        <f>_xlfn.XLOOKUP($A332,'02'!$G$3:$G$100,'02'!$R$3:$R$100,"-")</f>
        <v/>
      </c>
      <c r="E332" s="68">
        <f>_xlfn.XLOOKUP($A332,'03'!$G$3:$G$100,'03'!$R$3:$R$100,"-")</f>
        <v/>
      </c>
      <c r="F332" s="68">
        <f>_xlfn.XLOOKUP($A332,'04'!$G$3:$G$100,'04'!$R$3:$R$100,"-")</f>
        <v/>
      </c>
      <c r="G332" s="68">
        <f>_xlfn.XLOOKUP($A332,'05'!$G$3:$G$100,'05'!$R$3:$R$100,"-")</f>
        <v/>
      </c>
      <c r="H332" s="68">
        <f>_xlfn.XLOOKUP($A332,'06'!$G$3:$G$100,'06'!$R$3:$R$100,"-")</f>
        <v/>
      </c>
      <c r="I332" s="68">
        <f>_xlfn.XLOOKUP($A332,'07'!$G$3:$G$100,'07'!$R$3:$R$100,"-")</f>
        <v/>
      </c>
      <c r="J332" s="68">
        <f>_xlfn.XLOOKUP($A332,'08'!$G$3:$G$100,'08'!$R$3:$R$100,"-")</f>
        <v/>
      </c>
      <c r="K332" s="68">
        <f>_xlfn.XLOOKUP($A332,'09'!$G$3:$G$100,'09'!$R$3:$R$100,"-")</f>
        <v/>
      </c>
      <c r="L332" s="68">
        <f>_xlfn.XLOOKUP($A332,'10'!$G$3:$G$100,'10'!$R$3:$R$100,"-")</f>
        <v/>
      </c>
      <c r="M332" s="68">
        <f>_xlfn.XLOOKUP($A332,'11'!$G$3:$G$100,'11'!$R$3:$R$100,"-")</f>
        <v/>
      </c>
      <c r="N332" s="68">
        <f>_xlfn.XLOOKUP($A332,'12'!$G$3:$G$100,'12'!$R$3:$R$100,"-")</f>
        <v/>
      </c>
      <c r="O332" s="79">
        <f>SUM(C332:N332)</f>
        <v/>
      </c>
      <c r="P332" s="74" t="n"/>
      <c r="Q332" s="82" t="n">
        <v>330</v>
      </c>
      <c r="R332" s="38" t="n"/>
      <c r="S332" s="61" t="n">
        <v>0</v>
      </c>
      <c r="T332" s="68" t="n">
        <v>0</v>
      </c>
      <c r="U332" s="68" t="n">
        <v>0</v>
      </c>
      <c r="V332" s="68" t="n">
        <v>0</v>
      </c>
      <c r="W332" s="68" t="n">
        <v>0</v>
      </c>
      <c r="X332" s="68" t="n">
        <v>0</v>
      </c>
      <c r="Y332" s="68" t="n">
        <v>0</v>
      </c>
      <c r="Z332" s="68" t="n">
        <v>0</v>
      </c>
      <c r="AA332" s="68" t="n">
        <v>0</v>
      </c>
      <c r="AB332" s="68" t="n">
        <v>0</v>
      </c>
      <c r="AC332" s="68" t="n">
        <v>0</v>
      </c>
      <c r="AD332" s="68" t="n">
        <v>0</v>
      </c>
      <c r="AE332" s="68" t="n">
        <v>0</v>
      </c>
      <c r="AF332" s="79" t="n">
        <v>0</v>
      </c>
      <c r="AG332" s="74" t="n">
        <v>0</v>
      </c>
      <c r="AH332" s="82" t="n">
        <v>330</v>
      </c>
    </row>
    <row r="333" ht="18" customHeight="1">
      <c r="C333" s="68">
        <f>_xlfn.XLOOKUP($A333,'01'!$G$3:$G$100,'01'!$R$3:$R$100,"-")</f>
        <v/>
      </c>
      <c r="D333" s="68">
        <f>_xlfn.XLOOKUP($A333,'02'!$G$3:$G$100,'02'!$R$3:$R$100,"-")</f>
        <v/>
      </c>
      <c r="E333" s="68">
        <f>_xlfn.XLOOKUP($A333,'03'!$G$3:$G$100,'03'!$R$3:$R$100,"-")</f>
        <v/>
      </c>
      <c r="F333" s="68">
        <f>_xlfn.XLOOKUP($A333,'04'!$G$3:$G$100,'04'!$R$3:$R$100,"-")</f>
        <v/>
      </c>
      <c r="G333" s="68">
        <f>_xlfn.XLOOKUP($A333,'05'!$G$3:$G$100,'05'!$R$3:$R$100,"-")</f>
        <v/>
      </c>
      <c r="H333" s="68">
        <f>_xlfn.XLOOKUP($A333,'06'!$G$3:$G$100,'06'!$R$3:$R$100,"-")</f>
        <v/>
      </c>
      <c r="I333" s="68">
        <f>_xlfn.XLOOKUP($A333,'07'!$G$3:$G$100,'07'!$R$3:$R$100,"-")</f>
        <v/>
      </c>
      <c r="J333" s="68">
        <f>_xlfn.XLOOKUP($A333,'08'!$G$3:$G$100,'08'!$R$3:$R$100,"-")</f>
        <v/>
      </c>
      <c r="K333" s="68">
        <f>_xlfn.XLOOKUP($A333,'09'!$G$3:$G$100,'09'!$R$3:$R$100,"-")</f>
        <v/>
      </c>
      <c r="L333" s="68">
        <f>_xlfn.XLOOKUP($A333,'10'!$G$3:$G$100,'10'!$R$3:$R$100,"-")</f>
        <v/>
      </c>
      <c r="M333" s="68">
        <f>_xlfn.XLOOKUP($A333,'11'!$G$3:$G$100,'11'!$R$3:$R$100,"-")</f>
        <v/>
      </c>
      <c r="N333" s="68">
        <f>_xlfn.XLOOKUP($A333,'12'!$G$3:$G$100,'12'!$R$3:$R$100,"-")</f>
        <v/>
      </c>
      <c r="O333" s="79">
        <f>SUM(C333:N333)</f>
        <v/>
      </c>
      <c r="P333" s="74" t="n"/>
      <c r="Q333" s="82" t="n">
        <v>331</v>
      </c>
      <c r="R333" s="38" t="n"/>
      <c r="S333" s="61" t="n">
        <v>0</v>
      </c>
      <c r="T333" s="68" t="n">
        <v>0</v>
      </c>
      <c r="U333" s="68" t="n">
        <v>0</v>
      </c>
      <c r="V333" s="68" t="n">
        <v>0</v>
      </c>
      <c r="W333" s="68" t="n">
        <v>0</v>
      </c>
      <c r="X333" s="68" t="n">
        <v>0</v>
      </c>
      <c r="Y333" s="68" t="n">
        <v>0</v>
      </c>
      <c r="Z333" s="68" t="n">
        <v>0</v>
      </c>
      <c r="AA333" s="68" t="n">
        <v>0</v>
      </c>
      <c r="AB333" s="68" t="n">
        <v>0</v>
      </c>
      <c r="AC333" s="68" t="n">
        <v>0</v>
      </c>
      <c r="AD333" s="68" t="n">
        <v>0</v>
      </c>
      <c r="AE333" s="68" t="n">
        <v>0</v>
      </c>
      <c r="AF333" s="79" t="n">
        <v>0</v>
      </c>
      <c r="AG333" s="74" t="n">
        <v>0</v>
      </c>
      <c r="AH333" s="82" t="n">
        <v>331</v>
      </c>
    </row>
    <row r="334" ht="18" customHeight="1">
      <c r="C334" s="68">
        <f>_xlfn.XLOOKUP($A334,'01'!$G$3:$G$100,'01'!$R$3:$R$100,"-")</f>
        <v/>
      </c>
      <c r="D334" s="68">
        <f>_xlfn.XLOOKUP($A334,'02'!$G$3:$G$100,'02'!$R$3:$R$100,"-")</f>
        <v/>
      </c>
      <c r="E334" s="68">
        <f>_xlfn.XLOOKUP($A334,'03'!$G$3:$G$100,'03'!$R$3:$R$100,"-")</f>
        <v/>
      </c>
      <c r="F334" s="68">
        <f>_xlfn.XLOOKUP($A334,'04'!$G$3:$G$100,'04'!$R$3:$R$100,"-")</f>
        <v/>
      </c>
      <c r="G334" s="68">
        <f>_xlfn.XLOOKUP($A334,'05'!$G$3:$G$100,'05'!$R$3:$R$100,"-")</f>
        <v/>
      </c>
      <c r="H334" s="68">
        <f>_xlfn.XLOOKUP($A334,'06'!$G$3:$G$100,'06'!$R$3:$R$100,"-")</f>
        <v/>
      </c>
      <c r="I334" s="68">
        <f>_xlfn.XLOOKUP($A334,'07'!$G$3:$G$100,'07'!$R$3:$R$100,"-")</f>
        <v/>
      </c>
      <c r="J334" s="68">
        <f>_xlfn.XLOOKUP($A334,'08'!$G$3:$G$100,'08'!$R$3:$R$100,"-")</f>
        <v/>
      </c>
      <c r="K334" s="68">
        <f>_xlfn.XLOOKUP($A334,'09'!$G$3:$G$100,'09'!$R$3:$R$100,"-")</f>
        <v/>
      </c>
      <c r="L334" s="68">
        <f>_xlfn.XLOOKUP($A334,'10'!$G$3:$G$100,'10'!$R$3:$R$100,"-")</f>
        <v/>
      </c>
      <c r="M334" s="68">
        <f>_xlfn.XLOOKUP($A334,'11'!$G$3:$G$100,'11'!$R$3:$R$100,"-")</f>
        <v/>
      </c>
      <c r="N334" s="68">
        <f>_xlfn.XLOOKUP($A334,'12'!$G$3:$G$100,'12'!$R$3:$R$100,"-")</f>
        <v/>
      </c>
      <c r="O334" s="79">
        <f>SUM(C334:N334)</f>
        <v/>
      </c>
      <c r="P334" s="74" t="n"/>
      <c r="Q334" s="82" t="n">
        <v>332</v>
      </c>
      <c r="R334" s="38" t="n"/>
      <c r="S334" s="61" t="n">
        <v>0</v>
      </c>
      <c r="T334" s="68" t="n">
        <v>0</v>
      </c>
      <c r="U334" s="68" t="n">
        <v>0</v>
      </c>
      <c r="V334" s="68" t="n">
        <v>0</v>
      </c>
      <c r="W334" s="68" t="n">
        <v>0</v>
      </c>
      <c r="X334" s="68" t="n">
        <v>0</v>
      </c>
      <c r="Y334" s="68" t="n">
        <v>0</v>
      </c>
      <c r="Z334" s="68" t="n">
        <v>0</v>
      </c>
      <c r="AA334" s="68" t="n">
        <v>0</v>
      </c>
      <c r="AB334" s="68" t="n">
        <v>0</v>
      </c>
      <c r="AC334" s="68" t="n">
        <v>0</v>
      </c>
      <c r="AD334" s="68" t="n">
        <v>0</v>
      </c>
      <c r="AE334" s="68" t="n">
        <v>0</v>
      </c>
      <c r="AF334" s="79" t="n">
        <v>0</v>
      </c>
      <c r="AG334" s="74" t="n">
        <v>0</v>
      </c>
      <c r="AH334" s="82" t="n">
        <v>332</v>
      </c>
    </row>
    <row r="335" ht="18" customHeight="1">
      <c r="C335" s="68">
        <f>_xlfn.XLOOKUP($A335,'01'!$G$3:$G$100,'01'!$R$3:$R$100,"-")</f>
        <v/>
      </c>
      <c r="D335" s="68">
        <f>_xlfn.XLOOKUP($A335,'02'!$G$3:$G$100,'02'!$R$3:$R$100,"-")</f>
        <v/>
      </c>
      <c r="E335" s="68">
        <f>_xlfn.XLOOKUP($A335,'03'!$G$3:$G$100,'03'!$R$3:$R$100,"-")</f>
        <v/>
      </c>
      <c r="F335" s="68">
        <f>_xlfn.XLOOKUP($A335,'04'!$G$3:$G$100,'04'!$R$3:$R$100,"-")</f>
        <v/>
      </c>
      <c r="G335" s="68">
        <f>_xlfn.XLOOKUP($A335,'05'!$G$3:$G$100,'05'!$R$3:$R$100,"-")</f>
        <v/>
      </c>
      <c r="H335" s="68">
        <f>_xlfn.XLOOKUP($A335,'06'!$G$3:$G$100,'06'!$R$3:$R$100,"-")</f>
        <v/>
      </c>
      <c r="I335" s="68">
        <f>_xlfn.XLOOKUP($A335,'07'!$G$3:$G$100,'07'!$R$3:$R$100,"-")</f>
        <v/>
      </c>
      <c r="J335" s="68">
        <f>_xlfn.XLOOKUP($A335,'08'!$G$3:$G$100,'08'!$R$3:$R$100,"-")</f>
        <v/>
      </c>
      <c r="K335" s="68">
        <f>_xlfn.XLOOKUP($A335,'09'!$G$3:$G$100,'09'!$R$3:$R$100,"-")</f>
        <v/>
      </c>
      <c r="L335" s="68">
        <f>_xlfn.XLOOKUP($A335,'10'!$G$3:$G$100,'10'!$R$3:$R$100,"-")</f>
        <v/>
      </c>
      <c r="M335" s="68">
        <f>_xlfn.XLOOKUP($A335,'11'!$G$3:$G$100,'11'!$R$3:$R$100,"-")</f>
        <v/>
      </c>
      <c r="N335" s="68">
        <f>_xlfn.XLOOKUP($A335,'12'!$G$3:$G$100,'12'!$R$3:$R$100,"-")</f>
        <v/>
      </c>
      <c r="O335" s="79">
        <f>SUM(C335:N335)</f>
        <v/>
      </c>
      <c r="P335" s="74" t="n"/>
      <c r="Q335" s="82" t="n">
        <v>333</v>
      </c>
      <c r="R335" s="38" t="n"/>
      <c r="S335" s="61" t="n">
        <v>0</v>
      </c>
      <c r="T335" s="68" t="n">
        <v>0</v>
      </c>
      <c r="U335" s="68" t="n">
        <v>0</v>
      </c>
      <c r="V335" s="68" t="n">
        <v>0</v>
      </c>
      <c r="W335" s="68" t="n">
        <v>0</v>
      </c>
      <c r="X335" s="68" t="n">
        <v>0</v>
      </c>
      <c r="Y335" s="68" t="n">
        <v>0</v>
      </c>
      <c r="Z335" s="68" t="n">
        <v>0</v>
      </c>
      <c r="AA335" s="68" t="n">
        <v>0</v>
      </c>
      <c r="AB335" s="68" t="n">
        <v>0</v>
      </c>
      <c r="AC335" s="68" t="n">
        <v>0</v>
      </c>
      <c r="AD335" s="68" t="n">
        <v>0</v>
      </c>
      <c r="AE335" s="68" t="n">
        <v>0</v>
      </c>
      <c r="AF335" s="79" t="n">
        <v>0</v>
      </c>
      <c r="AG335" s="74" t="n">
        <v>0</v>
      </c>
      <c r="AH335" s="82" t="n">
        <v>333</v>
      </c>
    </row>
    <row r="336" ht="18" customHeight="1">
      <c r="C336" s="68">
        <f>_xlfn.XLOOKUP($A336,'01'!$G$3:$G$100,'01'!$R$3:$R$100,"-")</f>
        <v/>
      </c>
      <c r="D336" s="68">
        <f>_xlfn.XLOOKUP($A336,'02'!$G$3:$G$100,'02'!$R$3:$R$100,"-")</f>
        <v/>
      </c>
      <c r="E336" s="68">
        <f>_xlfn.XLOOKUP($A336,'03'!$G$3:$G$100,'03'!$R$3:$R$100,"-")</f>
        <v/>
      </c>
      <c r="F336" s="68">
        <f>_xlfn.XLOOKUP($A336,'04'!$G$3:$G$100,'04'!$R$3:$R$100,"-")</f>
        <v/>
      </c>
      <c r="G336" s="68">
        <f>_xlfn.XLOOKUP($A336,'05'!$G$3:$G$100,'05'!$R$3:$R$100,"-")</f>
        <v/>
      </c>
      <c r="H336" s="68">
        <f>_xlfn.XLOOKUP($A336,'06'!$G$3:$G$100,'06'!$R$3:$R$100,"-")</f>
        <v/>
      </c>
      <c r="I336" s="68">
        <f>_xlfn.XLOOKUP($A336,'07'!$G$3:$G$100,'07'!$R$3:$R$100,"-")</f>
        <v/>
      </c>
      <c r="J336" s="68">
        <f>_xlfn.XLOOKUP($A336,'08'!$G$3:$G$100,'08'!$R$3:$R$100,"-")</f>
        <v/>
      </c>
      <c r="K336" s="68">
        <f>_xlfn.XLOOKUP($A336,'09'!$G$3:$G$100,'09'!$R$3:$R$100,"-")</f>
        <v/>
      </c>
      <c r="L336" s="68">
        <f>_xlfn.XLOOKUP($A336,'10'!$G$3:$G$100,'10'!$R$3:$R$100,"-")</f>
        <v/>
      </c>
      <c r="M336" s="68">
        <f>_xlfn.XLOOKUP($A336,'11'!$G$3:$G$100,'11'!$R$3:$R$100,"-")</f>
        <v/>
      </c>
      <c r="N336" s="68">
        <f>_xlfn.XLOOKUP($A336,'12'!$G$3:$G$100,'12'!$R$3:$R$100,"-")</f>
        <v/>
      </c>
      <c r="O336" s="79">
        <f>SUM(C336:N336)</f>
        <v/>
      </c>
      <c r="P336" s="74" t="n"/>
      <c r="Q336" s="82" t="n">
        <v>334</v>
      </c>
      <c r="R336" s="38" t="n"/>
      <c r="S336" s="61" t="n">
        <v>0</v>
      </c>
      <c r="T336" s="68" t="n">
        <v>0</v>
      </c>
      <c r="U336" s="68" t="n">
        <v>0</v>
      </c>
      <c r="V336" s="68" t="n">
        <v>0</v>
      </c>
      <c r="W336" s="68" t="n">
        <v>0</v>
      </c>
      <c r="X336" s="68" t="n">
        <v>0</v>
      </c>
      <c r="Y336" s="68" t="n">
        <v>0</v>
      </c>
      <c r="Z336" s="68" t="n">
        <v>0</v>
      </c>
      <c r="AA336" s="68" t="n">
        <v>0</v>
      </c>
      <c r="AB336" s="68" t="n">
        <v>0</v>
      </c>
      <c r="AC336" s="68" t="n">
        <v>0</v>
      </c>
      <c r="AD336" s="68" t="n">
        <v>0</v>
      </c>
      <c r="AE336" s="68" t="n">
        <v>0</v>
      </c>
      <c r="AF336" s="79" t="n">
        <v>0</v>
      </c>
      <c r="AG336" s="74" t="n">
        <v>0</v>
      </c>
      <c r="AH336" s="82" t="n">
        <v>334</v>
      </c>
    </row>
    <row r="337" ht="18" customHeight="1">
      <c r="C337" s="68">
        <f>_xlfn.XLOOKUP($A337,'01'!$G$3:$G$100,'01'!$R$3:$R$100,"-")</f>
        <v/>
      </c>
      <c r="D337" s="68">
        <f>_xlfn.XLOOKUP($A337,'02'!$G$3:$G$100,'02'!$R$3:$R$100,"-")</f>
        <v/>
      </c>
      <c r="E337" s="68">
        <f>_xlfn.XLOOKUP($A337,'03'!$G$3:$G$100,'03'!$R$3:$R$100,"-")</f>
        <v/>
      </c>
      <c r="F337" s="68">
        <f>_xlfn.XLOOKUP($A337,'04'!$G$3:$G$100,'04'!$R$3:$R$100,"-")</f>
        <v/>
      </c>
      <c r="G337" s="68">
        <f>_xlfn.XLOOKUP($A337,'05'!$G$3:$G$100,'05'!$R$3:$R$100,"-")</f>
        <v/>
      </c>
      <c r="H337" s="68">
        <f>_xlfn.XLOOKUP($A337,'06'!$G$3:$G$100,'06'!$R$3:$R$100,"-")</f>
        <v/>
      </c>
      <c r="I337" s="68">
        <f>_xlfn.XLOOKUP($A337,'07'!$G$3:$G$100,'07'!$R$3:$R$100,"-")</f>
        <v/>
      </c>
      <c r="J337" s="68">
        <f>_xlfn.XLOOKUP($A337,'08'!$G$3:$G$100,'08'!$R$3:$R$100,"-")</f>
        <v/>
      </c>
      <c r="K337" s="68">
        <f>_xlfn.XLOOKUP($A337,'09'!$G$3:$G$100,'09'!$R$3:$R$100,"-")</f>
        <v/>
      </c>
      <c r="L337" s="68">
        <f>_xlfn.XLOOKUP($A337,'10'!$G$3:$G$100,'10'!$R$3:$R$100,"-")</f>
        <v/>
      </c>
      <c r="M337" s="68">
        <f>_xlfn.XLOOKUP($A337,'11'!$G$3:$G$100,'11'!$R$3:$R$100,"-")</f>
        <v/>
      </c>
      <c r="N337" s="68">
        <f>_xlfn.XLOOKUP($A337,'12'!$G$3:$G$100,'12'!$R$3:$R$100,"-")</f>
        <v/>
      </c>
      <c r="O337" s="79">
        <f>SUM(C337:N337)</f>
        <v/>
      </c>
      <c r="P337" s="74" t="n"/>
      <c r="Q337" s="83" t="n">
        <v>335</v>
      </c>
      <c r="R337" s="38" t="n"/>
      <c r="S337" s="61" t="n">
        <v>0</v>
      </c>
      <c r="T337" s="68" t="n">
        <v>0</v>
      </c>
      <c r="U337" s="68" t="n">
        <v>0</v>
      </c>
      <c r="V337" s="68" t="n">
        <v>0</v>
      </c>
      <c r="W337" s="68" t="n">
        <v>0</v>
      </c>
      <c r="X337" s="68" t="n">
        <v>0</v>
      </c>
      <c r="Y337" s="68" t="n">
        <v>0</v>
      </c>
      <c r="Z337" s="68" t="n">
        <v>0</v>
      </c>
      <c r="AA337" s="68" t="n">
        <v>0</v>
      </c>
      <c r="AB337" s="68" t="n">
        <v>0</v>
      </c>
      <c r="AC337" s="68" t="n">
        <v>0</v>
      </c>
      <c r="AD337" s="68" t="n">
        <v>0</v>
      </c>
      <c r="AE337" s="68" t="n">
        <v>0</v>
      </c>
      <c r="AF337" s="79" t="n">
        <v>0</v>
      </c>
      <c r="AG337" s="74" t="n">
        <v>0</v>
      </c>
      <c r="AH337" s="83" t="n">
        <v>335</v>
      </c>
    </row>
    <row r="338" ht="18" customHeight="1">
      <c r="C338" s="68">
        <f>_xlfn.XLOOKUP($A338,'01'!$G$3:$G$100,'01'!$R$3:$R$100,"-")</f>
        <v/>
      </c>
      <c r="D338" s="68">
        <f>_xlfn.XLOOKUP($A338,'02'!$G$3:$G$100,'02'!$R$3:$R$100,"-")</f>
        <v/>
      </c>
      <c r="E338" s="68">
        <f>_xlfn.XLOOKUP($A338,'03'!$G$3:$G$100,'03'!$R$3:$R$100,"-")</f>
        <v/>
      </c>
      <c r="F338" s="68">
        <f>_xlfn.XLOOKUP($A338,'04'!$G$3:$G$100,'04'!$R$3:$R$100,"-")</f>
        <v/>
      </c>
      <c r="G338" s="68">
        <f>_xlfn.XLOOKUP($A338,'05'!$G$3:$G$100,'05'!$R$3:$R$100,"-")</f>
        <v/>
      </c>
      <c r="H338" s="68">
        <f>_xlfn.XLOOKUP($A338,'06'!$G$3:$G$100,'06'!$R$3:$R$100,"-")</f>
        <v/>
      </c>
      <c r="I338" s="68">
        <f>_xlfn.XLOOKUP($A338,'07'!$G$3:$G$100,'07'!$R$3:$R$100,"-")</f>
        <v/>
      </c>
      <c r="J338" s="68">
        <f>_xlfn.XLOOKUP($A338,'08'!$G$3:$G$100,'08'!$R$3:$R$100,"-")</f>
        <v/>
      </c>
      <c r="K338" s="68">
        <f>_xlfn.XLOOKUP($A338,'09'!$G$3:$G$100,'09'!$R$3:$R$100,"-")</f>
        <v/>
      </c>
      <c r="L338" s="68">
        <f>_xlfn.XLOOKUP($A338,'10'!$G$3:$G$100,'10'!$R$3:$R$100,"-")</f>
        <v/>
      </c>
      <c r="M338" s="68">
        <f>_xlfn.XLOOKUP($A338,'11'!$G$3:$G$100,'11'!$R$3:$R$100,"-")</f>
        <v/>
      </c>
      <c r="N338" s="68">
        <f>_xlfn.XLOOKUP($A338,'12'!$G$3:$G$100,'12'!$R$3:$R$100,"-")</f>
        <v/>
      </c>
      <c r="O338" s="79">
        <f>SUM(C338:N338)</f>
        <v/>
      </c>
      <c r="P338" s="74" t="n"/>
      <c r="Q338" s="82" t="n">
        <v>336</v>
      </c>
      <c r="R338" s="38" t="n"/>
      <c r="S338" s="61" t="n">
        <v>0</v>
      </c>
      <c r="T338" s="68" t="n">
        <v>0</v>
      </c>
      <c r="U338" s="68" t="n">
        <v>0</v>
      </c>
      <c r="V338" s="68" t="n">
        <v>0</v>
      </c>
      <c r="W338" s="68" t="n">
        <v>0</v>
      </c>
      <c r="X338" s="68" t="n">
        <v>0</v>
      </c>
      <c r="Y338" s="68" t="n">
        <v>0</v>
      </c>
      <c r="Z338" s="68" t="n">
        <v>0</v>
      </c>
      <c r="AA338" s="68" t="n">
        <v>0</v>
      </c>
      <c r="AB338" s="68" t="n">
        <v>0</v>
      </c>
      <c r="AC338" s="68" t="n">
        <v>0</v>
      </c>
      <c r="AD338" s="68" t="n">
        <v>0</v>
      </c>
      <c r="AE338" s="68" t="n">
        <v>0</v>
      </c>
      <c r="AF338" s="79" t="n">
        <v>0</v>
      </c>
      <c r="AG338" s="74" t="n">
        <v>0</v>
      </c>
      <c r="AH338" s="82" t="n">
        <v>336</v>
      </c>
    </row>
    <row r="339" ht="18" customHeight="1">
      <c r="C339" s="68">
        <f>_xlfn.XLOOKUP($A339,'01'!$G$3:$G$100,'01'!$R$3:$R$100,"-")</f>
        <v/>
      </c>
      <c r="D339" s="68">
        <f>_xlfn.XLOOKUP($A339,'02'!$G$3:$G$100,'02'!$R$3:$R$100,"-")</f>
        <v/>
      </c>
      <c r="E339" s="68">
        <f>_xlfn.XLOOKUP($A339,'03'!$G$3:$G$100,'03'!$R$3:$R$100,"-")</f>
        <v/>
      </c>
      <c r="F339" s="68">
        <f>_xlfn.XLOOKUP($A339,'04'!$G$3:$G$100,'04'!$R$3:$R$100,"-")</f>
        <v/>
      </c>
      <c r="G339" s="68">
        <f>_xlfn.XLOOKUP($A339,'05'!$G$3:$G$100,'05'!$R$3:$R$100,"-")</f>
        <v/>
      </c>
      <c r="H339" s="68">
        <f>_xlfn.XLOOKUP($A339,'06'!$G$3:$G$100,'06'!$R$3:$R$100,"-")</f>
        <v/>
      </c>
      <c r="I339" s="68">
        <f>_xlfn.XLOOKUP($A339,'07'!$G$3:$G$100,'07'!$R$3:$R$100,"-")</f>
        <v/>
      </c>
      <c r="J339" s="68">
        <f>_xlfn.XLOOKUP($A339,'08'!$G$3:$G$100,'08'!$R$3:$R$100,"-")</f>
        <v/>
      </c>
      <c r="K339" s="68">
        <f>_xlfn.XLOOKUP($A339,'09'!$G$3:$G$100,'09'!$R$3:$R$100,"-")</f>
        <v/>
      </c>
      <c r="L339" s="68">
        <f>_xlfn.XLOOKUP($A339,'10'!$G$3:$G$100,'10'!$R$3:$R$100,"-")</f>
        <v/>
      </c>
      <c r="M339" s="68">
        <f>_xlfn.XLOOKUP($A339,'11'!$G$3:$G$100,'11'!$R$3:$R$100,"-")</f>
        <v/>
      </c>
      <c r="N339" s="68">
        <f>_xlfn.XLOOKUP($A339,'12'!$G$3:$G$100,'12'!$R$3:$R$100,"-")</f>
        <v/>
      </c>
      <c r="O339" s="79">
        <f>SUM(C339:N339)</f>
        <v/>
      </c>
      <c r="P339" s="74" t="n"/>
      <c r="Q339" s="82" t="n">
        <v>337</v>
      </c>
      <c r="R339" s="38" t="n"/>
      <c r="S339" s="61" t="n">
        <v>0</v>
      </c>
      <c r="T339" s="68" t="n">
        <v>0</v>
      </c>
      <c r="U339" s="68" t="n">
        <v>0</v>
      </c>
      <c r="V339" s="68" t="n">
        <v>0</v>
      </c>
      <c r="W339" s="68" t="n">
        <v>0</v>
      </c>
      <c r="X339" s="68" t="n">
        <v>0</v>
      </c>
      <c r="Y339" s="68" t="n">
        <v>0</v>
      </c>
      <c r="Z339" s="68" t="n">
        <v>0</v>
      </c>
      <c r="AA339" s="68" t="n">
        <v>0</v>
      </c>
      <c r="AB339" s="68" t="n">
        <v>0</v>
      </c>
      <c r="AC339" s="68" t="n">
        <v>0</v>
      </c>
      <c r="AD339" s="68" t="n">
        <v>0</v>
      </c>
      <c r="AE339" s="68" t="n">
        <v>0</v>
      </c>
      <c r="AF339" s="79" t="n">
        <v>0</v>
      </c>
      <c r="AG339" s="74" t="n">
        <v>0</v>
      </c>
      <c r="AH339" s="82" t="n">
        <v>337</v>
      </c>
    </row>
    <row r="340" ht="18" customHeight="1">
      <c r="C340" s="68">
        <f>_xlfn.XLOOKUP($A340,'01'!$G$3:$G$100,'01'!$R$3:$R$100,"-")</f>
        <v/>
      </c>
      <c r="D340" s="68">
        <f>_xlfn.XLOOKUP($A340,'02'!$G$3:$G$100,'02'!$R$3:$R$100,"-")</f>
        <v/>
      </c>
      <c r="E340" s="68">
        <f>_xlfn.XLOOKUP($A340,'03'!$G$3:$G$100,'03'!$R$3:$R$100,"-")</f>
        <v/>
      </c>
      <c r="F340" s="68">
        <f>_xlfn.XLOOKUP($A340,'04'!$G$3:$G$100,'04'!$R$3:$R$100,"-")</f>
        <v/>
      </c>
      <c r="G340" s="68">
        <f>_xlfn.XLOOKUP($A340,'05'!$G$3:$G$100,'05'!$R$3:$R$100,"-")</f>
        <v/>
      </c>
      <c r="H340" s="68">
        <f>_xlfn.XLOOKUP($A340,'06'!$G$3:$G$100,'06'!$R$3:$R$100,"-")</f>
        <v/>
      </c>
      <c r="I340" s="68">
        <f>_xlfn.XLOOKUP($A340,'07'!$G$3:$G$100,'07'!$R$3:$R$100,"-")</f>
        <v/>
      </c>
      <c r="J340" s="68">
        <f>_xlfn.XLOOKUP($A340,'08'!$G$3:$G$100,'08'!$R$3:$R$100,"-")</f>
        <v/>
      </c>
      <c r="K340" s="68">
        <f>_xlfn.XLOOKUP($A340,'09'!$G$3:$G$100,'09'!$R$3:$R$100,"-")</f>
        <v/>
      </c>
      <c r="L340" s="68">
        <f>_xlfn.XLOOKUP($A340,'10'!$G$3:$G$100,'10'!$R$3:$R$100,"-")</f>
        <v/>
      </c>
      <c r="M340" s="68">
        <f>_xlfn.XLOOKUP($A340,'11'!$G$3:$G$100,'11'!$R$3:$R$100,"-")</f>
        <v/>
      </c>
      <c r="N340" s="68">
        <f>_xlfn.XLOOKUP($A340,'12'!$G$3:$G$100,'12'!$R$3:$R$100,"-")</f>
        <v/>
      </c>
      <c r="O340" s="79">
        <f>SUM(C340:N340)</f>
        <v/>
      </c>
      <c r="P340" s="74" t="n"/>
      <c r="Q340" s="82" t="n">
        <v>338</v>
      </c>
      <c r="R340" s="38" t="n"/>
      <c r="S340" s="61" t="n">
        <v>0</v>
      </c>
      <c r="T340" s="68" t="n">
        <v>0</v>
      </c>
      <c r="U340" s="68" t="n">
        <v>0</v>
      </c>
      <c r="V340" s="68" t="n">
        <v>0</v>
      </c>
      <c r="W340" s="68" t="n">
        <v>0</v>
      </c>
      <c r="X340" s="68" t="n">
        <v>0</v>
      </c>
      <c r="Y340" s="68" t="n">
        <v>0</v>
      </c>
      <c r="Z340" s="68" t="n">
        <v>0</v>
      </c>
      <c r="AA340" s="68" t="n">
        <v>0</v>
      </c>
      <c r="AB340" s="68" t="n">
        <v>0</v>
      </c>
      <c r="AC340" s="68" t="n">
        <v>0</v>
      </c>
      <c r="AD340" s="68" t="n">
        <v>0</v>
      </c>
      <c r="AE340" s="68" t="n">
        <v>0</v>
      </c>
      <c r="AF340" s="79" t="n">
        <v>0</v>
      </c>
      <c r="AG340" s="74" t="n">
        <v>0</v>
      </c>
      <c r="AH340" s="82" t="n">
        <v>338</v>
      </c>
    </row>
    <row r="341" ht="18" customHeight="1">
      <c r="C341" s="68">
        <f>_xlfn.XLOOKUP($A341,'01'!$G$3:$G$100,'01'!$R$3:$R$100,"-")</f>
        <v/>
      </c>
      <c r="D341" s="68">
        <f>_xlfn.XLOOKUP($A341,'02'!$G$3:$G$100,'02'!$R$3:$R$100,"-")</f>
        <v/>
      </c>
      <c r="E341" s="68">
        <f>_xlfn.XLOOKUP($A341,'03'!$G$3:$G$100,'03'!$R$3:$R$100,"-")</f>
        <v/>
      </c>
      <c r="F341" s="68">
        <f>_xlfn.XLOOKUP($A341,'04'!$G$3:$G$100,'04'!$R$3:$R$100,"-")</f>
        <v/>
      </c>
      <c r="G341" s="68">
        <f>_xlfn.XLOOKUP($A341,'05'!$G$3:$G$100,'05'!$R$3:$R$100,"-")</f>
        <v/>
      </c>
      <c r="H341" s="68">
        <f>_xlfn.XLOOKUP($A341,'06'!$G$3:$G$100,'06'!$R$3:$R$100,"-")</f>
        <v/>
      </c>
      <c r="I341" s="68">
        <f>_xlfn.XLOOKUP($A341,'07'!$G$3:$G$100,'07'!$R$3:$R$100,"-")</f>
        <v/>
      </c>
      <c r="J341" s="68">
        <f>_xlfn.XLOOKUP($A341,'08'!$G$3:$G$100,'08'!$R$3:$R$100,"-")</f>
        <v/>
      </c>
      <c r="K341" s="68">
        <f>_xlfn.XLOOKUP($A341,'09'!$G$3:$G$100,'09'!$R$3:$R$100,"-")</f>
        <v/>
      </c>
      <c r="L341" s="68">
        <f>_xlfn.XLOOKUP($A341,'10'!$G$3:$G$100,'10'!$R$3:$R$100,"-")</f>
        <v/>
      </c>
      <c r="M341" s="68">
        <f>_xlfn.XLOOKUP($A341,'11'!$G$3:$G$100,'11'!$R$3:$R$100,"-")</f>
        <v/>
      </c>
      <c r="N341" s="68">
        <f>_xlfn.XLOOKUP($A341,'12'!$G$3:$G$100,'12'!$R$3:$R$100,"-")</f>
        <v/>
      </c>
      <c r="O341" s="79">
        <f>SUM(C341:N341)</f>
        <v/>
      </c>
      <c r="P341" s="74" t="n"/>
      <c r="Q341" s="82" t="n">
        <v>339</v>
      </c>
      <c r="R341" s="38" t="n"/>
      <c r="S341" s="61" t="n">
        <v>0</v>
      </c>
      <c r="T341" s="68" t="n">
        <v>0</v>
      </c>
      <c r="U341" s="68" t="n">
        <v>0</v>
      </c>
      <c r="V341" s="68" t="n">
        <v>0</v>
      </c>
      <c r="W341" s="68" t="n">
        <v>0</v>
      </c>
      <c r="X341" s="68" t="n">
        <v>0</v>
      </c>
      <c r="Y341" s="68" t="n">
        <v>0</v>
      </c>
      <c r="Z341" s="68" t="n">
        <v>0</v>
      </c>
      <c r="AA341" s="68" t="n">
        <v>0</v>
      </c>
      <c r="AB341" s="68" t="n">
        <v>0</v>
      </c>
      <c r="AC341" s="68" t="n">
        <v>0</v>
      </c>
      <c r="AD341" s="68" t="n">
        <v>0</v>
      </c>
      <c r="AE341" s="68" t="n">
        <v>0</v>
      </c>
      <c r="AF341" s="79" t="n">
        <v>0</v>
      </c>
      <c r="AG341" s="74" t="n">
        <v>0</v>
      </c>
      <c r="AH341" s="82" t="n">
        <v>339</v>
      </c>
    </row>
    <row r="342" ht="18" customHeight="1">
      <c r="C342" s="68">
        <f>_xlfn.XLOOKUP($A342,'01'!$G$3:$G$100,'01'!$R$3:$R$100,"-")</f>
        <v/>
      </c>
      <c r="D342" s="68">
        <f>_xlfn.XLOOKUP($A342,'02'!$G$3:$G$100,'02'!$R$3:$R$100,"-")</f>
        <v/>
      </c>
      <c r="E342" s="68">
        <f>_xlfn.XLOOKUP($A342,'03'!$G$3:$G$100,'03'!$R$3:$R$100,"-")</f>
        <v/>
      </c>
      <c r="F342" s="68">
        <f>_xlfn.XLOOKUP($A342,'04'!$G$3:$G$100,'04'!$R$3:$R$100,"-")</f>
        <v/>
      </c>
      <c r="G342" s="68">
        <f>_xlfn.XLOOKUP($A342,'05'!$G$3:$G$100,'05'!$R$3:$R$100,"-")</f>
        <v/>
      </c>
      <c r="H342" s="68">
        <f>_xlfn.XLOOKUP($A342,'06'!$G$3:$G$100,'06'!$R$3:$R$100,"-")</f>
        <v/>
      </c>
      <c r="I342" s="68">
        <f>_xlfn.XLOOKUP($A342,'07'!$G$3:$G$100,'07'!$R$3:$R$100,"-")</f>
        <v/>
      </c>
      <c r="J342" s="68">
        <f>_xlfn.XLOOKUP($A342,'08'!$G$3:$G$100,'08'!$R$3:$R$100,"-")</f>
        <v/>
      </c>
      <c r="K342" s="68">
        <f>_xlfn.XLOOKUP($A342,'09'!$G$3:$G$100,'09'!$R$3:$R$100,"-")</f>
        <v/>
      </c>
      <c r="L342" s="68">
        <f>_xlfn.XLOOKUP($A342,'10'!$G$3:$G$100,'10'!$R$3:$R$100,"-")</f>
        <v/>
      </c>
      <c r="M342" s="68">
        <f>_xlfn.XLOOKUP($A342,'11'!$G$3:$G$100,'11'!$R$3:$R$100,"-")</f>
        <v/>
      </c>
      <c r="N342" s="68">
        <f>_xlfn.XLOOKUP($A342,'12'!$G$3:$G$100,'12'!$R$3:$R$100,"-")</f>
        <v/>
      </c>
      <c r="O342" s="79">
        <f>SUM(C342:N342)</f>
        <v/>
      </c>
      <c r="P342" s="74" t="n"/>
      <c r="Q342" s="82" t="n">
        <v>340</v>
      </c>
      <c r="R342" s="38" t="n"/>
      <c r="S342" s="61" t="n">
        <v>0</v>
      </c>
      <c r="T342" s="68" t="n">
        <v>0</v>
      </c>
      <c r="U342" s="68" t="n">
        <v>0</v>
      </c>
      <c r="V342" s="68" t="n">
        <v>0</v>
      </c>
      <c r="W342" s="68" t="n">
        <v>0</v>
      </c>
      <c r="X342" s="68" t="n">
        <v>0</v>
      </c>
      <c r="Y342" s="68" t="n">
        <v>0</v>
      </c>
      <c r="Z342" s="68" t="n">
        <v>0</v>
      </c>
      <c r="AA342" s="68" t="n">
        <v>0</v>
      </c>
      <c r="AB342" s="68" t="n">
        <v>0</v>
      </c>
      <c r="AC342" s="68" t="n">
        <v>0</v>
      </c>
      <c r="AD342" s="68" t="n">
        <v>0</v>
      </c>
      <c r="AE342" s="68" t="n">
        <v>0</v>
      </c>
      <c r="AF342" s="79" t="n">
        <v>0</v>
      </c>
      <c r="AG342" s="74" t="n">
        <v>0</v>
      </c>
      <c r="AH342" s="82" t="n">
        <v>340</v>
      </c>
    </row>
    <row r="343" ht="18" customHeight="1">
      <c r="C343" s="68">
        <f>_xlfn.XLOOKUP($A343,'01'!$G$3:$G$100,'01'!$R$3:$R$100,"-")</f>
        <v/>
      </c>
      <c r="D343" s="68">
        <f>_xlfn.XLOOKUP($A343,'02'!$G$3:$G$100,'02'!$R$3:$R$100,"-")</f>
        <v/>
      </c>
      <c r="E343" s="68">
        <f>_xlfn.XLOOKUP($A343,'03'!$G$3:$G$100,'03'!$R$3:$R$100,"-")</f>
        <v/>
      </c>
      <c r="F343" s="68">
        <f>_xlfn.XLOOKUP($A343,'04'!$G$3:$G$100,'04'!$R$3:$R$100,"-")</f>
        <v/>
      </c>
      <c r="G343" s="68">
        <f>_xlfn.XLOOKUP($A343,'05'!$G$3:$G$100,'05'!$R$3:$R$100,"-")</f>
        <v/>
      </c>
      <c r="H343" s="68">
        <f>_xlfn.XLOOKUP($A343,'06'!$G$3:$G$100,'06'!$R$3:$R$100,"-")</f>
        <v/>
      </c>
      <c r="I343" s="68">
        <f>_xlfn.XLOOKUP($A343,'07'!$G$3:$G$100,'07'!$R$3:$R$100,"-")</f>
        <v/>
      </c>
      <c r="J343" s="68">
        <f>_xlfn.XLOOKUP($A343,'08'!$G$3:$G$100,'08'!$R$3:$R$100,"-")</f>
        <v/>
      </c>
      <c r="K343" s="68">
        <f>_xlfn.XLOOKUP($A343,'09'!$G$3:$G$100,'09'!$R$3:$R$100,"-")</f>
        <v/>
      </c>
      <c r="L343" s="68">
        <f>_xlfn.XLOOKUP($A343,'10'!$G$3:$G$100,'10'!$R$3:$R$100,"-")</f>
        <v/>
      </c>
      <c r="M343" s="68">
        <f>_xlfn.XLOOKUP($A343,'11'!$G$3:$G$100,'11'!$R$3:$R$100,"-")</f>
        <v/>
      </c>
      <c r="N343" s="68">
        <f>_xlfn.XLOOKUP($A343,'12'!$G$3:$G$100,'12'!$R$3:$R$100,"-")</f>
        <v/>
      </c>
      <c r="O343" s="79">
        <f>SUM(C343:N343)</f>
        <v/>
      </c>
      <c r="P343" s="74" t="n"/>
      <c r="Q343" s="82" t="n">
        <v>341</v>
      </c>
      <c r="R343" s="38" t="n"/>
      <c r="S343" s="61" t="n">
        <v>0</v>
      </c>
      <c r="T343" s="68" t="n">
        <v>0</v>
      </c>
      <c r="U343" s="68" t="n">
        <v>0</v>
      </c>
      <c r="V343" s="68" t="n">
        <v>0</v>
      </c>
      <c r="W343" s="68" t="n">
        <v>0</v>
      </c>
      <c r="X343" s="68" t="n">
        <v>0</v>
      </c>
      <c r="Y343" s="68" t="n">
        <v>0</v>
      </c>
      <c r="Z343" s="68" t="n">
        <v>0</v>
      </c>
      <c r="AA343" s="68" t="n">
        <v>0</v>
      </c>
      <c r="AB343" s="68" t="n">
        <v>0</v>
      </c>
      <c r="AC343" s="68" t="n">
        <v>0</v>
      </c>
      <c r="AD343" s="68" t="n">
        <v>0</v>
      </c>
      <c r="AE343" s="68" t="n">
        <v>0</v>
      </c>
      <c r="AF343" s="79" t="n">
        <v>0</v>
      </c>
      <c r="AG343" s="74" t="n">
        <v>0</v>
      </c>
      <c r="AH343" s="82" t="n">
        <v>341</v>
      </c>
    </row>
    <row r="344" ht="18" customHeight="1">
      <c r="C344" s="68">
        <f>_xlfn.XLOOKUP($A344,'01'!$G$3:$G$100,'01'!$R$3:$R$100,"-")</f>
        <v/>
      </c>
      <c r="D344" s="68">
        <f>_xlfn.XLOOKUP($A344,'02'!$G$3:$G$100,'02'!$R$3:$R$100,"-")</f>
        <v/>
      </c>
      <c r="E344" s="68">
        <f>_xlfn.XLOOKUP($A344,'03'!$G$3:$G$100,'03'!$R$3:$R$100,"-")</f>
        <v/>
      </c>
      <c r="F344" s="68">
        <f>_xlfn.XLOOKUP($A344,'04'!$G$3:$G$100,'04'!$R$3:$R$100,"-")</f>
        <v/>
      </c>
      <c r="G344" s="68">
        <f>_xlfn.XLOOKUP($A344,'05'!$G$3:$G$100,'05'!$R$3:$R$100,"-")</f>
        <v/>
      </c>
      <c r="H344" s="68">
        <f>_xlfn.XLOOKUP($A344,'06'!$G$3:$G$100,'06'!$R$3:$R$100,"-")</f>
        <v/>
      </c>
      <c r="I344" s="68">
        <f>_xlfn.XLOOKUP($A344,'07'!$G$3:$G$100,'07'!$R$3:$R$100,"-")</f>
        <v/>
      </c>
      <c r="J344" s="68">
        <f>_xlfn.XLOOKUP($A344,'08'!$G$3:$G$100,'08'!$R$3:$R$100,"-")</f>
        <v/>
      </c>
      <c r="K344" s="68">
        <f>_xlfn.XLOOKUP($A344,'09'!$G$3:$G$100,'09'!$R$3:$R$100,"-")</f>
        <v/>
      </c>
      <c r="L344" s="68">
        <f>_xlfn.XLOOKUP($A344,'10'!$G$3:$G$100,'10'!$R$3:$R$100,"-")</f>
        <v/>
      </c>
      <c r="M344" s="68">
        <f>_xlfn.XLOOKUP($A344,'11'!$G$3:$G$100,'11'!$R$3:$R$100,"-")</f>
        <v/>
      </c>
      <c r="N344" s="68">
        <f>_xlfn.XLOOKUP($A344,'12'!$G$3:$G$100,'12'!$R$3:$R$100,"-")</f>
        <v/>
      </c>
      <c r="O344" s="79">
        <f>SUM(C344:N344)</f>
        <v/>
      </c>
      <c r="P344" s="74" t="n"/>
      <c r="Q344" s="82" t="n">
        <v>342</v>
      </c>
      <c r="R344" s="38" t="n"/>
      <c r="S344" s="61" t="n">
        <v>0</v>
      </c>
      <c r="T344" s="68" t="n">
        <v>0</v>
      </c>
      <c r="U344" s="68" t="n">
        <v>0</v>
      </c>
      <c r="V344" s="68" t="n">
        <v>0</v>
      </c>
      <c r="W344" s="68" t="n">
        <v>0</v>
      </c>
      <c r="X344" s="68" t="n">
        <v>0</v>
      </c>
      <c r="Y344" s="68" t="n">
        <v>0</v>
      </c>
      <c r="Z344" s="68" t="n">
        <v>0</v>
      </c>
      <c r="AA344" s="68" t="n">
        <v>0</v>
      </c>
      <c r="AB344" s="68" t="n">
        <v>0</v>
      </c>
      <c r="AC344" s="68" t="n">
        <v>0</v>
      </c>
      <c r="AD344" s="68" t="n">
        <v>0</v>
      </c>
      <c r="AE344" s="68" t="n">
        <v>0</v>
      </c>
      <c r="AF344" s="79" t="n">
        <v>0</v>
      </c>
      <c r="AG344" s="74" t="n">
        <v>0</v>
      </c>
      <c r="AH344" s="82" t="n">
        <v>342</v>
      </c>
    </row>
    <row r="345" ht="18" customHeight="1">
      <c r="C345" s="68">
        <f>_xlfn.XLOOKUP($A345,'01'!$G$3:$G$100,'01'!$R$3:$R$100,"-")</f>
        <v/>
      </c>
      <c r="D345" s="68">
        <f>_xlfn.XLOOKUP($A345,'02'!$G$3:$G$100,'02'!$R$3:$R$100,"-")</f>
        <v/>
      </c>
      <c r="E345" s="68">
        <f>_xlfn.XLOOKUP($A345,'03'!$G$3:$G$100,'03'!$R$3:$R$100,"-")</f>
        <v/>
      </c>
      <c r="F345" s="68">
        <f>_xlfn.XLOOKUP($A345,'04'!$G$3:$G$100,'04'!$R$3:$R$100,"-")</f>
        <v/>
      </c>
      <c r="G345" s="68">
        <f>_xlfn.XLOOKUP($A345,'05'!$G$3:$G$100,'05'!$R$3:$R$100,"-")</f>
        <v/>
      </c>
      <c r="H345" s="68">
        <f>_xlfn.XLOOKUP($A345,'06'!$G$3:$G$100,'06'!$R$3:$R$100,"-")</f>
        <v/>
      </c>
      <c r="I345" s="68">
        <f>_xlfn.XLOOKUP($A345,'07'!$G$3:$G$100,'07'!$R$3:$R$100,"-")</f>
        <v/>
      </c>
      <c r="J345" s="68">
        <f>_xlfn.XLOOKUP($A345,'08'!$G$3:$G$100,'08'!$R$3:$R$100,"-")</f>
        <v/>
      </c>
      <c r="K345" s="68">
        <f>_xlfn.XLOOKUP($A345,'09'!$G$3:$G$100,'09'!$R$3:$R$100,"-")</f>
        <v/>
      </c>
      <c r="L345" s="68">
        <f>_xlfn.XLOOKUP($A345,'10'!$G$3:$G$100,'10'!$R$3:$R$100,"-")</f>
        <v/>
      </c>
      <c r="M345" s="68">
        <f>_xlfn.XLOOKUP($A345,'11'!$G$3:$G$100,'11'!$R$3:$R$100,"-")</f>
        <v/>
      </c>
      <c r="N345" s="68">
        <f>_xlfn.XLOOKUP($A345,'12'!$G$3:$G$100,'12'!$R$3:$R$100,"-")</f>
        <v/>
      </c>
      <c r="O345" s="79">
        <f>SUM(C345:N345)</f>
        <v/>
      </c>
      <c r="P345" s="74" t="n"/>
      <c r="Q345" s="82" t="n">
        <v>343</v>
      </c>
      <c r="R345" s="38" t="n"/>
      <c r="S345" s="61" t="n">
        <v>0</v>
      </c>
      <c r="T345" s="68" t="n">
        <v>0</v>
      </c>
      <c r="U345" s="68" t="n">
        <v>0</v>
      </c>
      <c r="V345" s="68" t="n">
        <v>0</v>
      </c>
      <c r="W345" s="68" t="n">
        <v>0</v>
      </c>
      <c r="X345" s="68" t="n">
        <v>0</v>
      </c>
      <c r="Y345" s="68" t="n">
        <v>0</v>
      </c>
      <c r="Z345" s="68" t="n">
        <v>0</v>
      </c>
      <c r="AA345" s="68" t="n">
        <v>0</v>
      </c>
      <c r="AB345" s="68" t="n">
        <v>0</v>
      </c>
      <c r="AC345" s="68" t="n">
        <v>0</v>
      </c>
      <c r="AD345" s="68" t="n">
        <v>0</v>
      </c>
      <c r="AE345" s="68" t="n">
        <v>0</v>
      </c>
      <c r="AF345" s="79" t="n">
        <v>0</v>
      </c>
      <c r="AG345" s="74" t="n">
        <v>0</v>
      </c>
      <c r="AH345" s="82" t="n">
        <v>343</v>
      </c>
    </row>
    <row r="346" ht="18" customHeight="1">
      <c r="C346" s="68">
        <f>_xlfn.XLOOKUP($A346,'01'!$G$3:$G$100,'01'!$R$3:$R$100,"-")</f>
        <v/>
      </c>
      <c r="D346" s="68">
        <f>_xlfn.XLOOKUP($A346,'02'!$G$3:$G$100,'02'!$R$3:$R$100,"-")</f>
        <v/>
      </c>
      <c r="E346" s="68">
        <f>_xlfn.XLOOKUP($A346,'03'!$G$3:$G$100,'03'!$R$3:$R$100,"-")</f>
        <v/>
      </c>
      <c r="F346" s="68">
        <f>_xlfn.XLOOKUP($A346,'04'!$G$3:$G$100,'04'!$R$3:$R$100,"-")</f>
        <v/>
      </c>
      <c r="G346" s="68">
        <f>_xlfn.XLOOKUP($A346,'05'!$G$3:$G$100,'05'!$R$3:$R$100,"-")</f>
        <v/>
      </c>
      <c r="H346" s="68">
        <f>_xlfn.XLOOKUP($A346,'06'!$G$3:$G$100,'06'!$R$3:$R$100,"-")</f>
        <v/>
      </c>
      <c r="I346" s="68">
        <f>_xlfn.XLOOKUP($A346,'07'!$G$3:$G$100,'07'!$R$3:$R$100,"-")</f>
        <v/>
      </c>
      <c r="J346" s="68">
        <f>_xlfn.XLOOKUP($A346,'08'!$G$3:$G$100,'08'!$R$3:$R$100,"-")</f>
        <v/>
      </c>
      <c r="K346" s="68">
        <f>_xlfn.XLOOKUP($A346,'09'!$G$3:$G$100,'09'!$R$3:$R$100,"-")</f>
        <v/>
      </c>
      <c r="L346" s="68">
        <f>_xlfn.XLOOKUP($A346,'10'!$G$3:$G$100,'10'!$R$3:$R$100,"-")</f>
        <v/>
      </c>
      <c r="M346" s="68">
        <f>_xlfn.XLOOKUP($A346,'11'!$G$3:$G$100,'11'!$R$3:$R$100,"-")</f>
        <v/>
      </c>
      <c r="N346" s="68">
        <f>_xlfn.XLOOKUP($A346,'12'!$G$3:$G$100,'12'!$R$3:$R$100,"-")</f>
        <v/>
      </c>
      <c r="O346" s="79">
        <f>SUM(C346:N346)</f>
        <v/>
      </c>
      <c r="P346" s="74" t="n"/>
      <c r="Q346" s="82" t="n">
        <v>344</v>
      </c>
      <c r="R346" s="38" t="n"/>
      <c r="S346" s="61" t="n">
        <v>0</v>
      </c>
      <c r="T346" s="68" t="n">
        <v>0</v>
      </c>
      <c r="U346" s="68" t="n">
        <v>0</v>
      </c>
      <c r="V346" s="68" t="n">
        <v>0</v>
      </c>
      <c r="W346" s="68" t="n">
        <v>0</v>
      </c>
      <c r="X346" s="68" t="n">
        <v>0</v>
      </c>
      <c r="Y346" s="68" t="n">
        <v>0</v>
      </c>
      <c r="Z346" s="68" t="n">
        <v>0</v>
      </c>
      <c r="AA346" s="68" t="n">
        <v>0</v>
      </c>
      <c r="AB346" s="68" t="n">
        <v>0</v>
      </c>
      <c r="AC346" s="68" t="n">
        <v>0</v>
      </c>
      <c r="AD346" s="68" t="n">
        <v>0</v>
      </c>
      <c r="AE346" s="68" t="n">
        <v>0</v>
      </c>
      <c r="AF346" s="79" t="n">
        <v>0</v>
      </c>
      <c r="AG346" s="74" t="n">
        <v>0</v>
      </c>
      <c r="AH346" s="82" t="n">
        <v>344</v>
      </c>
    </row>
    <row r="347" ht="18" customHeight="1">
      <c r="C347" s="68">
        <f>_xlfn.XLOOKUP($A347,'01'!$G$3:$G$100,'01'!$R$3:$R$100,"-")</f>
        <v/>
      </c>
      <c r="D347" s="68">
        <f>_xlfn.XLOOKUP($A347,'02'!$G$3:$G$100,'02'!$R$3:$R$100,"-")</f>
        <v/>
      </c>
      <c r="E347" s="68">
        <f>_xlfn.XLOOKUP($A347,'03'!$G$3:$G$100,'03'!$R$3:$R$100,"-")</f>
        <v/>
      </c>
      <c r="F347" s="68">
        <f>_xlfn.XLOOKUP($A347,'04'!$G$3:$G$100,'04'!$R$3:$R$100,"-")</f>
        <v/>
      </c>
      <c r="G347" s="68">
        <f>_xlfn.XLOOKUP($A347,'05'!$G$3:$G$100,'05'!$R$3:$R$100,"-")</f>
        <v/>
      </c>
      <c r="H347" s="68">
        <f>_xlfn.XLOOKUP($A347,'06'!$G$3:$G$100,'06'!$R$3:$R$100,"-")</f>
        <v/>
      </c>
      <c r="I347" s="68">
        <f>_xlfn.XLOOKUP($A347,'07'!$G$3:$G$100,'07'!$R$3:$R$100,"-")</f>
        <v/>
      </c>
      <c r="J347" s="68">
        <f>_xlfn.XLOOKUP($A347,'08'!$G$3:$G$100,'08'!$R$3:$R$100,"-")</f>
        <v/>
      </c>
      <c r="K347" s="68">
        <f>_xlfn.XLOOKUP($A347,'09'!$G$3:$G$100,'09'!$R$3:$R$100,"-")</f>
        <v/>
      </c>
      <c r="L347" s="68">
        <f>_xlfn.XLOOKUP($A347,'10'!$G$3:$G$100,'10'!$R$3:$R$100,"-")</f>
        <v/>
      </c>
      <c r="M347" s="68">
        <f>_xlfn.XLOOKUP($A347,'11'!$G$3:$G$100,'11'!$R$3:$R$100,"-")</f>
        <v/>
      </c>
      <c r="N347" s="68">
        <f>_xlfn.XLOOKUP($A347,'12'!$G$3:$G$100,'12'!$R$3:$R$100,"-")</f>
        <v/>
      </c>
      <c r="O347" s="79">
        <f>SUM(C347:N347)</f>
        <v/>
      </c>
      <c r="P347" s="74" t="n"/>
      <c r="Q347" s="83" t="n">
        <v>345</v>
      </c>
      <c r="R347" s="38" t="n"/>
      <c r="S347" s="61" t="n">
        <v>0</v>
      </c>
      <c r="T347" s="68" t="n">
        <v>0</v>
      </c>
      <c r="U347" s="68" t="n">
        <v>0</v>
      </c>
      <c r="V347" s="68" t="n">
        <v>0</v>
      </c>
      <c r="W347" s="68" t="n">
        <v>0</v>
      </c>
      <c r="X347" s="68" t="n">
        <v>0</v>
      </c>
      <c r="Y347" s="68" t="n">
        <v>0</v>
      </c>
      <c r="Z347" s="68" t="n">
        <v>0</v>
      </c>
      <c r="AA347" s="68" t="n">
        <v>0</v>
      </c>
      <c r="AB347" s="68" t="n">
        <v>0</v>
      </c>
      <c r="AC347" s="68" t="n">
        <v>0</v>
      </c>
      <c r="AD347" s="68" t="n">
        <v>0</v>
      </c>
      <c r="AE347" s="68" t="n">
        <v>0</v>
      </c>
      <c r="AF347" s="79" t="n">
        <v>0</v>
      </c>
      <c r="AG347" s="74" t="n">
        <v>0</v>
      </c>
      <c r="AH347" s="83" t="n">
        <v>345</v>
      </c>
    </row>
    <row r="348" ht="18" customHeight="1">
      <c r="C348" s="68">
        <f>_xlfn.XLOOKUP($A348,'01'!$G$3:$G$100,'01'!$R$3:$R$100,"-")</f>
        <v/>
      </c>
      <c r="D348" s="68">
        <f>_xlfn.XLOOKUP($A348,'02'!$G$3:$G$100,'02'!$R$3:$R$100,"-")</f>
        <v/>
      </c>
      <c r="E348" s="68">
        <f>_xlfn.XLOOKUP($A348,'03'!$G$3:$G$100,'03'!$R$3:$R$100,"-")</f>
        <v/>
      </c>
      <c r="F348" s="68">
        <f>_xlfn.XLOOKUP($A348,'04'!$G$3:$G$100,'04'!$R$3:$R$100,"-")</f>
        <v/>
      </c>
      <c r="G348" s="68">
        <f>_xlfn.XLOOKUP($A348,'05'!$G$3:$G$100,'05'!$R$3:$R$100,"-")</f>
        <v/>
      </c>
      <c r="H348" s="68">
        <f>_xlfn.XLOOKUP($A348,'06'!$G$3:$G$100,'06'!$R$3:$R$100,"-")</f>
        <v/>
      </c>
      <c r="I348" s="68">
        <f>_xlfn.XLOOKUP($A348,'07'!$G$3:$G$100,'07'!$R$3:$R$100,"-")</f>
        <v/>
      </c>
      <c r="J348" s="68">
        <f>_xlfn.XLOOKUP($A348,'08'!$G$3:$G$100,'08'!$R$3:$R$100,"-")</f>
        <v/>
      </c>
      <c r="K348" s="68">
        <f>_xlfn.XLOOKUP($A348,'09'!$G$3:$G$100,'09'!$R$3:$R$100,"-")</f>
        <v/>
      </c>
      <c r="L348" s="68">
        <f>_xlfn.XLOOKUP($A348,'10'!$G$3:$G$100,'10'!$R$3:$R$100,"-")</f>
        <v/>
      </c>
      <c r="M348" s="68">
        <f>_xlfn.XLOOKUP($A348,'11'!$G$3:$G$100,'11'!$R$3:$R$100,"-")</f>
        <v/>
      </c>
      <c r="N348" s="68">
        <f>_xlfn.XLOOKUP($A348,'12'!$G$3:$G$100,'12'!$R$3:$R$100,"-")</f>
        <v/>
      </c>
      <c r="O348" s="79">
        <f>SUM(C348:N348)</f>
        <v/>
      </c>
      <c r="P348" s="74" t="n"/>
      <c r="Q348" s="82" t="n">
        <v>346</v>
      </c>
      <c r="R348" s="38" t="n"/>
      <c r="S348" s="61" t="n">
        <v>0</v>
      </c>
      <c r="T348" s="68" t="n">
        <v>0</v>
      </c>
      <c r="U348" s="68" t="n">
        <v>0</v>
      </c>
      <c r="V348" s="68" t="n">
        <v>0</v>
      </c>
      <c r="W348" s="68" t="n">
        <v>0</v>
      </c>
      <c r="X348" s="68" t="n">
        <v>0</v>
      </c>
      <c r="Y348" s="68" t="n">
        <v>0</v>
      </c>
      <c r="Z348" s="68" t="n">
        <v>0</v>
      </c>
      <c r="AA348" s="68" t="n">
        <v>0</v>
      </c>
      <c r="AB348" s="68" t="n">
        <v>0</v>
      </c>
      <c r="AC348" s="68" t="n">
        <v>0</v>
      </c>
      <c r="AD348" s="68" t="n">
        <v>0</v>
      </c>
      <c r="AE348" s="68" t="n">
        <v>0</v>
      </c>
      <c r="AF348" s="79" t="n">
        <v>0</v>
      </c>
      <c r="AG348" s="74" t="n">
        <v>0</v>
      </c>
      <c r="AH348" s="82" t="n">
        <v>346</v>
      </c>
    </row>
    <row r="349" ht="18" customHeight="1">
      <c r="C349" s="68">
        <f>_xlfn.XLOOKUP($A349,'01'!$G$3:$G$100,'01'!$R$3:$R$100,"-")</f>
        <v/>
      </c>
      <c r="D349" s="68">
        <f>_xlfn.XLOOKUP($A349,'02'!$G$3:$G$100,'02'!$R$3:$R$100,"-")</f>
        <v/>
      </c>
      <c r="E349" s="68">
        <f>_xlfn.XLOOKUP($A349,'03'!$G$3:$G$100,'03'!$R$3:$R$100,"-")</f>
        <v/>
      </c>
      <c r="F349" s="68">
        <f>_xlfn.XLOOKUP($A349,'04'!$G$3:$G$100,'04'!$R$3:$R$100,"-")</f>
        <v/>
      </c>
      <c r="G349" s="68">
        <f>_xlfn.XLOOKUP($A349,'05'!$G$3:$G$100,'05'!$R$3:$R$100,"-")</f>
        <v/>
      </c>
      <c r="H349" s="68">
        <f>_xlfn.XLOOKUP($A349,'06'!$G$3:$G$100,'06'!$R$3:$R$100,"-")</f>
        <v/>
      </c>
      <c r="I349" s="68">
        <f>_xlfn.XLOOKUP($A349,'07'!$G$3:$G$100,'07'!$R$3:$R$100,"-")</f>
        <v/>
      </c>
      <c r="J349" s="68">
        <f>_xlfn.XLOOKUP($A349,'08'!$G$3:$G$100,'08'!$R$3:$R$100,"-")</f>
        <v/>
      </c>
      <c r="K349" s="68">
        <f>_xlfn.XLOOKUP($A349,'09'!$G$3:$G$100,'09'!$R$3:$R$100,"-")</f>
        <v/>
      </c>
      <c r="L349" s="68">
        <f>_xlfn.XLOOKUP($A349,'10'!$G$3:$G$100,'10'!$R$3:$R$100,"-")</f>
        <v/>
      </c>
      <c r="M349" s="68">
        <f>_xlfn.XLOOKUP($A349,'11'!$G$3:$G$100,'11'!$R$3:$R$100,"-")</f>
        <v/>
      </c>
      <c r="N349" s="68">
        <f>_xlfn.XLOOKUP($A349,'12'!$G$3:$G$100,'12'!$R$3:$R$100,"-")</f>
        <v/>
      </c>
      <c r="O349" s="79">
        <f>SUM(C349:N349)</f>
        <v/>
      </c>
      <c r="P349" s="74" t="n"/>
      <c r="Q349" s="82" t="n">
        <v>347</v>
      </c>
      <c r="R349" s="38" t="n"/>
      <c r="S349" s="61" t="n">
        <v>0</v>
      </c>
      <c r="T349" s="68" t="n">
        <v>0</v>
      </c>
      <c r="U349" s="68" t="n">
        <v>0</v>
      </c>
      <c r="V349" s="68" t="n">
        <v>0</v>
      </c>
      <c r="W349" s="68" t="n">
        <v>0</v>
      </c>
      <c r="X349" s="68" t="n">
        <v>0</v>
      </c>
      <c r="Y349" s="68" t="n">
        <v>0</v>
      </c>
      <c r="Z349" s="68" t="n">
        <v>0</v>
      </c>
      <c r="AA349" s="68" t="n">
        <v>0</v>
      </c>
      <c r="AB349" s="68" t="n">
        <v>0</v>
      </c>
      <c r="AC349" s="68" t="n">
        <v>0</v>
      </c>
      <c r="AD349" s="68" t="n">
        <v>0</v>
      </c>
      <c r="AE349" s="68" t="n">
        <v>0</v>
      </c>
      <c r="AF349" s="79" t="n">
        <v>0</v>
      </c>
      <c r="AG349" s="74" t="n">
        <v>0</v>
      </c>
      <c r="AH349" s="82" t="n">
        <v>347</v>
      </c>
    </row>
    <row r="350" ht="18" customHeight="1">
      <c r="C350" s="68">
        <f>_xlfn.XLOOKUP($A350,'01'!$G$3:$G$100,'01'!$R$3:$R$100,"-")</f>
        <v/>
      </c>
      <c r="D350" s="68">
        <f>_xlfn.XLOOKUP($A350,'02'!$G$3:$G$100,'02'!$R$3:$R$100,"-")</f>
        <v/>
      </c>
      <c r="E350" s="68">
        <f>_xlfn.XLOOKUP($A350,'03'!$G$3:$G$100,'03'!$R$3:$R$100,"-")</f>
        <v/>
      </c>
      <c r="F350" s="68">
        <f>_xlfn.XLOOKUP($A350,'04'!$G$3:$G$100,'04'!$R$3:$R$100,"-")</f>
        <v/>
      </c>
      <c r="G350" s="68">
        <f>_xlfn.XLOOKUP($A350,'05'!$G$3:$G$100,'05'!$R$3:$R$100,"-")</f>
        <v/>
      </c>
      <c r="H350" s="68">
        <f>_xlfn.XLOOKUP($A350,'06'!$G$3:$G$100,'06'!$R$3:$R$100,"-")</f>
        <v/>
      </c>
      <c r="I350" s="68">
        <f>_xlfn.XLOOKUP($A350,'07'!$G$3:$G$100,'07'!$R$3:$R$100,"-")</f>
        <v/>
      </c>
      <c r="J350" s="68">
        <f>_xlfn.XLOOKUP($A350,'08'!$G$3:$G$100,'08'!$R$3:$R$100,"-")</f>
        <v/>
      </c>
      <c r="K350" s="68">
        <f>_xlfn.XLOOKUP($A350,'09'!$G$3:$G$100,'09'!$R$3:$R$100,"-")</f>
        <v/>
      </c>
      <c r="L350" s="68">
        <f>_xlfn.XLOOKUP($A350,'10'!$G$3:$G$100,'10'!$R$3:$R$100,"-")</f>
        <v/>
      </c>
      <c r="M350" s="68">
        <f>_xlfn.XLOOKUP($A350,'11'!$G$3:$G$100,'11'!$R$3:$R$100,"-")</f>
        <v/>
      </c>
      <c r="N350" s="68">
        <f>_xlfn.XLOOKUP($A350,'12'!$G$3:$G$100,'12'!$R$3:$R$100,"-")</f>
        <v/>
      </c>
      <c r="O350" s="79">
        <f>SUM(C350:N350)</f>
        <v/>
      </c>
      <c r="P350" s="74" t="n"/>
      <c r="Q350" s="82" t="n">
        <v>348</v>
      </c>
      <c r="R350" s="38" t="n"/>
      <c r="S350" s="61" t="n">
        <v>0</v>
      </c>
      <c r="T350" s="68" t="n">
        <v>0</v>
      </c>
      <c r="U350" s="68" t="n">
        <v>0</v>
      </c>
      <c r="V350" s="68" t="n">
        <v>0</v>
      </c>
      <c r="W350" s="68" t="n">
        <v>0</v>
      </c>
      <c r="X350" s="68" t="n">
        <v>0</v>
      </c>
      <c r="Y350" s="68" t="n">
        <v>0</v>
      </c>
      <c r="Z350" s="68" t="n">
        <v>0</v>
      </c>
      <c r="AA350" s="68" t="n">
        <v>0</v>
      </c>
      <c r="AB350" s="68" t="n">
        <v>0</v>
      </c>
      <c r="AC350" s="68" t="n">
        <v>0</v>
      </c>
      <c r="AD350" s="68" t="n">
        <v>0</v>
      </c>
      <c r="AE350" s="68" t="n">
        <v>0</v>
      </c>
      <c r="AF350" s="79" t="n">
        <v>0</v>
      </c>
      <c r="AG350" s="74" t="n">
        <v>0</v>
      </c>
      <c r="AH350" s="82" t="n">
        <v>348</v>
      </c>
    </row>
    <row r="351" ht="18" customHeight="1">
      <c r="C351" s="68">
        <f>_xlfn.XLOOKUP($A351,'01'!$G$3:$G$100,'01'!$R$3:$R$100,"-")</f>
        <v/>
      </c>
      <c r="D351" s="68">
        <f>_xlfn.XLOOKUP($A351,'02'!$G$3:$G$100,'02'!$R$3:$R$100,"-")</f>
        <v/>
      </c>
      <c r="E351" s="68">
        <f>_xlfn.XLOOKUP($A351,'03'!$G$3:$G$100,'03'!$R$3:$R$100,"-")</f>
        <v/>
      </c>
      <c r="F351" s="68">
        <f>_xlfn.XLOOKUP($A351,'04'!$G$3:$G$100,'04'!$R$3:$R$100,"-")</f>
        <v/>
      </c>
      <c r="G351" s="68">
        <f>_xlfn.XLOOKUP($A351,'05'!$G$3:$G$100,'05'!$R$3:$R$100,"-")</f>
        <v/>
      </c>
      <c r="H351" s="68">
        <f>_xlfn.XLOOKUP($A351,'06'!$G$3:$G$100,'06'!$R$3:$R$100,"-")</f>
        <v/>
      </c>
      <c r="I351" s="68">
        <f>_xlfn.XLOOKUP($A351,'07'!$G$3:$G$100,'07'!$R$3:$R$100,"-")</f>
        <v/>
      </c>
      <c r="J351" s="68">
        <f>_xlfn.XLOOKUP($A351,'08'!$G$3:$G$100,'08'!$R$3:$R$100,"-")</f>
        <v/>
      </c>
      <c r="K351" s="68">
        <f>_xlfn.XLOOKUP($A351,'09'!$G$3:$G$100,'09'!$R$3:$R$100,"-")</f>
        <v/>
      </c>
      <c r="L351" s="68">
        <f>_xlfn.XLOOKUP($A351,'10'!$G$3:$G$100,'10'!$R$3:$R$100,"-")</f>
        <v/>
      </c>
      <c r="M351" s="68">
        <f>_xlfn.XLOOKUP($A351,'11'!$G$3:$G$100,'11'!$R$3:$R$100,"-")</f>
        <v/>
      </c>
      <c r="N351" s="68">
        <f>_xlfn.XLOOKUP($A351,'12'!$G$3:$G$100,'12'!$R$3:$R$100,"-")</f>
        <v/>
      </c>
      <c r="O351" s="79">
        <f>SUM(C351:N351)</f>
        <v/>
      </c>
      <c r="P351" s="74" t="n"/>
      <c r="Q351" s="82" t="n">
        <v>349</v>
      </c>
      <c r="R351" s="38" t="n"/>
      <c r="S351" s="61" t="n">
        <v>0</v>
      </c>
      <c r="T351" s="68" t="n">
        <v>0</v>
      </c>
      <c r="U351" s="68" t="n">
        <v>0</v>
      </c>
      <c r="V351" s="68" t="n">
        <v>0</v>
      </c>
      <c r="W351" s="68" t="n">
        <v>0</v>
      </c>
      <c r="X351" s="68" t="n">
        <v>0</v>
      </c>
      <c r="Y351" s="68" t="n">
        <v>0</v>
      </c>
      <c r="Z351" s="68" t="n">
        <v>0</v>
      </c>
      <c r="AA351" s="68" t="n">
        <v>0</v>
      </c>
      <c r="AB351" s="68" t="n">
        <v>0</v>
      </c>
      <c r="AC351" s="68" t="n">
        <v>0</v>
      </c>
      <c r="AD351" s="68" t="n">
        <v>0</v>
      </c>
      <c r="AE351" s="68" t="n">
        <v>0</v>
      </c>
      <c r="AF351" s="79" t="n">
        <v>0</v>
      </c>
      <c r="AG351" s="74" t="n">
        <v>0</v>
      </c>
      <c r="AH351" s="82" t="n">
        <v>349</v>
      </c>
    </row>
    <row r="352" ht="18" customHeight="1">
      <c r="C352" s="68">
        <f>_xlfn.XLOOKUP($A352,'01'!$G$3:$G$100,'01'!$R$3:$R$100,"-")</f>
        <v/>
      </c>
      <c r="D352" s="68">
        <f>_xlfn.XLOOKUP($A352,'02'!$G$3:$G$100,'02'!$R$3:$R$100,"-")</f>
        <v/>
      </c>
      <c r="E352" s="68">
        <f>_xlfn.XLOOKUP($A352,'03'!$G$3:$G$100,'03'!$R$3:$R$100,"-")</f>
        <v/>
      </c>
      <c r="F352" s="68">
        <f>_xlfn.XLOOKUP($A352,'04'!$G$3:$G$100,'04'!$R$3:$R$100,"-")</f>
        <v/>
      </c>
      <c r="G352" s="68">
        <f>_xlfn.XLOOKUP($A352,'05'!$G$3:$G$100,'05'!$R$3:$R$100,"-")</f>
        <v/>
      </c>
      <c r="H352" s="68">
        <f>_xlfn.XLOOKUP($A352,'06'!$G$3:$G$100,'06'!$R$3:$R$100,"-")</f>
        <v/>
      </c>
      <c r="I352" s="68">
        <f>_xlfn.XLOOKUP($A352,'07'!$G$3:$G$100,'07'!$R$3:$R$100,"-")</f>
        <v/>
      </c>
      <c r="J352" s="68">
        <f>_xlfn.XLOOKUP($A352,'08'!$G$3:$G$100,'08'!$R$3:$R$100,"-")</f>
        <v/>
      </c>
      <c r="K352" s="68">
        <f>_xlfn.XLOOKUP($A352,'09'!$G$3:$G$100,'09'!$R$3:$R$100,"-")</f>
        <v/>
      </c>
      <c r="L352" s="68">
        <f>_xlfn.XLOOKUP($A352,'10'!$G$3:$G$100,'10'!$R$3:$R$100,"-")</f>
        <v/>
      </c>
      <c r="M352" s="68">
        <f>_xlfn.XLOOKUP($A352,'11'!$G$3:$G$100,'11'!$R$3:$R$100,"-")</f>
        <v/>
      </c>
      <c r="N352" s="68">
        <f>_xlfn.XLOOKUP($A352,'12'!$G$3:$G$100,'12'!$R$3:$R$100,"-")</f>
        <v/>
      </c>
      <c r="O352" s="79">
        <f>SUM(C352:N352)</f>
        <v/>
      </c>
      <c r="P352" s="74" t="n"/>
      <c r="Q352" s="82" t="n">
        <v>350</v>
      </c>
      <c r="R352" s="38" t="n"/>
      <c r="S352" s="61" t="n">
        <v>0</v>
      </c>
      <c r="T352" s="68" t="n">
        <v>0</v>
      </c>
      <c r="U352" s="68" t="n">
        <v>0</v>
      </c>
      <c r="V352" s="68" t="n">
        <v>0</v>
      </c>
      <c r="W352" s="68" t="n">
        <v>0</v>
      </c>
      <c r="X352" s="68" t="n">
        <v>0</v>
      </c>
      <c r="Y352" s="68" t="n">
        <v>0</v>
      </c>
      <c r="Z352" s="68" t="n">
        <v>0</v>
      </c>
      <c r="AA352" s="68" t="n">
        <v>0</v>
      </c>
      <c r="AB352" s="68" t="n">
        <v>0</v>
      </c>
      <c r="AC352" s="68" t="n">
        <v>0</v>
      </c>
      <c r="AD352" s="68" t="n">
        <v>0</v>
      </c>
      <c r="AE352" s="68" t="n">
        <v>0</v>
      </c>
      <c r="AF352" s="79" t="n">
        <v>0</v>
      </c>
      <c r="AG352" s="74" t="n">
        <v>0</v>
      </c>
      <c r="AH352" s="82" t="n">
        <v>350</v>
      </c>
    </row>
    <row r="353" ht="18" customHeight="1">
      <c r="C353" s="68">
        <f>_xlfn.XLOOKUP($A353,'01'!$G$3:$G$100,'01'!$R$3:$R$100,"-")</f>
        <v/>
      </c>
      <c r="D353" s="68">
        <f>_xlfn.XLOOKUP($A353,'02'!$G$3:$G$100,'02'!$R$3:$R$100,"-")</f>
        <v/>
      </c>
      <c r="E353" s="68">
        <f>_xlfn.XLOOKUP($A353,'03'!$G$3:$G$100,'03'!$R$3:$R$100,"-")</f>
        <v/>
      </c>
      <c r="F353" s="68">
        <f>_xlfn.XLOOKUP($A353,'04'!$G$3:$G$100,'04'!$R$3:$R$100,"-")</f>
        <v/>
      </c>
      <c r="G353" s="68">
        <f>_xlfn.XLOOKUP($A353,'05'!$G$3:$G$100,'05'!$R$3:$R$100,"-")</f>
        <v/>
      </c>
      <c r="H353" s="68">
        <f>_xlfn.XLOOKUP($A353,'06'!$G$3:$G$100,'06'!$R$3:$R$100,"-")</f>
        <v/>
      </c>
      <c r="I353" s="68">
        <f>_xlfn.XLOOKUP($A353,'07'!$G$3:$G$100,'07'!$R$3:$R$100,"-")</f>
        <v/>
      </c>
      <c r="J353" s="68">
        <f>_xlfn.XLOOKUP($A353,'08'!$G$3:$G$100,'08'!$R$3:$R$100,"-")</f>
        <v/>
      </c>
      <c r="K353" s="68">
        <f>_xlfn.XLOOKUP($A353,'09'!$G$3:$G$100,'09'!$R$3:$R$100,"-")</f>
        <v/>
      </c>
      <c r="L353" s="68">
        <f>_xlfn.XLOOKUP($A353,'10'!$G$3:$G$100,'10'!$R$3:$R$100,"-")</f>
        <v/>
      </c>
      <c r="M353" s="68">
        <f>_xlfn.XLOOKUP($A353,'11'!$G$3:$G$100,'11'!$R$3:$R$100,"-")</f>
        <v/>
      </c>
      <c r="N353" s="68">
        <f>_xlfn.XLOOKUP($A353,'12'!$G$3:$G$100,'12'!$R$3:$R$100,"-")</f>
        <v/>
      </c>
      <c r="O353" s="79">
        <f>SUM(C353:N353)</f>
        <v/>
      </c>
      <c r="P353" s="74" t="n"/>
      <c r="Q353" s="82" t="n">
        <v>351</v>
      </c>
      <c r="R353" s="38" t="n"/>
      <c r="S353" s="61" t="n">
        <v>0</v>
      </c>
      <c r="T353" s="68" t="n">
        <v>0</v>
      </c>
      <c r="U353" s="68" t="n">
        <v>0</v>
      </c>
      <c r="V353" s="68" t="n">
        <v>0</v>
      </c>
      <c r="W353" s="68" t="n">
        <v>0</v>
      </c>
      <c r="X353" s="68" t="n">
        <v>0</v>
      </c>
      <c r="Y353" s="68" t="n">
        <v>0</v>
      </c>
      <c r="Z353" s="68" t="n">
        <v>0</v>
      </c>
      <c r="AA353" s="68" t="n">
        <v>0</v>
      </c>
      <c r="AB353" s="68" t="n">
        <v>0</v>
      </c>
      <c r="AC353" s="68" t="n">
        <v>0</v>
      </c>
      <c r="AD353" s="68" t="n">
        <v>0</v>
      </c>
      <c r="AE353" s="68" t="n">
        <v>0</v>
      </c>
      <c r="AF353" s="79" t="n">
        <v>0</v>
      </c>
      <c r="AG353" s="74" t="n">
        <v>0</v>
      </c>
      <c r="AH353" s="82" t="n">
        <v>351</v>
      </c>
    </row>
    <row r="354" ht="18" customHeight="1">
      <c r="C354" s="68">
        <f>_xlfn.XLOOKUP($A354,'01'!$G$3:$G$100,'01'!$R$3:$R$100,"-")</f>
        <v/>
      </c>
      <c r="D354" s="68">
        <f>_xlfn.XLOOKUP($A354,'02'!$G$3:$G$100,'02'!$R$3:$R$100,"-")</f>
        <v/>
      </c>
      <c r="E354" s="68">
        <f>_xlfn.XLOOKUP($A354,'03'!$G$3:$G$100,'03'!$R$3:$R$100,"-")</f>
        <v/>
      </c>
      <c r="F354" s="68">
        <f>_xlfn.XLOOKUP($A354,'04'!$G$3:$G$100,'04'!$R$3:$R$100,"-")</f>
        <v/>
      </c>
      <c r="G354" s="68">
        <f>_xlfn.XLOOKUP($A354,'05'!$G$3:$G$100,'05'!$R$3:$R$100,"-")</f>
        <v/>
      </c>
      <c r="H354" s="68">
        <f>_xlfn.XLOOKUP($A354,'06'!$G$3:$G$100,'06'!$R$3:$R$100,"-")</f>
        <v/>
      </c>
      <c r="I354" s="68">
        <f>_xlfn.XLOOKUP($A354,'07'!$G$3:$G$100,'07'!$R$3:$R$100,"-")</f>
        <v/>
      </c>
      <c r="J354" s="68">
        <f>_xlfn.XLOOKUP($A354,'08'!$G$3:$G$100,'08'!$R$3:$R$100,"-")</f>
        <v/>
      </c>
      <c r="K354" s="68">
        <f>_xlfn.XLOOKUP($A354,'09'!$G$3:$G$100,'09'!$R$3:$R$100,"-")</f>
        <v/>
      </c>
      <c r="L354" s="68">
        <f>_xlfn.XLOOKUP($A354,'10'!$G$3:$G$100,'10'!$R$3:$R$100,"-")</f>
        <v/>
      </c>
      <c r="M354" s="68">
        <f>_xlfn.XLOOKUP($A354,'11'!$G$3:$G$100,'11'!$R$3:$R$100,"-")</f>
        <v/>
      </c>
      <c r="N354" s="68">
        <f>_xlfn.XLOOKUP($A354,'12'!$G$3:$G$100,'12'!$R$3:$R$100,"-")</f>
        <v/>
      </c>
      <c r="O354" s="79">
        <f>SUM(C354:N354)</f>
        <v/>
      </c>
      <c r="P354" s="74" t="n"/>
      <c r="Q354" s="82" t="n">
        <v>352</v>
      </c>
      <c r="R354" s="38" t="n"/>
      <c r="S354" s="61" t="n">
        <v>0</v>
      </c>
      <c r="T354" s="68" t="n">
        <v>0</v>
      </c>
      <c r="U354" s="68" t="n">
        <v>0</v>
      </c>
      <c r="V354" s="68" t="n">
        <v>0</v>
      </c>
      <c r="W354" s="68" t="n">
        <v>0</v>
      </c>
      <c r="X354" s="68" t="n">
        <v>0</v>
      </c>
      <c r="Y354" s="68" t="n">
        <v>0</v>
      </c>
      <c r="Z354" s="68" t="n">
        <v>0</v>
      </c>
      <c r="AA354" s="68" t="n">
        <v>0</v>
      </c>
      <c r="AB354" s="68" t="n">
        <v>0</v>
      </c>
      <c r="AC354" s="68" t="n">
        <v>0</v>
      </c>
      <c r="AD354" s="68" t="n">
        <v>0</v>
      </c>
      <c r="AE354" s="68" t="n">
        <v>0</v>
      </c>
      <c r="AF354" s="79" t="n">
        <v>0</v>
      </c>
      <c r="AG354" s="74" t="n">
        <v>0</v>
      </c>
      <c r="AH354" s="82" t="n">
        <v>352</v>
      </c>
    </row>
    <row r="355" ht="18" customHeight="1">
      <c r="C355" s="68">
        <f>_xlfn.XLOOKUP($A355,'01'!$G$3:$G$100,'01'!$R$3:$R$100,"-")</f>
        <v/>
      </c>
      <c r="D355" s="68">
        <f>_xlfn.XLOOKUP($A355,'02'!$G$3:$G$100,'02'!$R$3:$R$100,"-")</f>
        <v/>
      </c>
      <c r="E355" s="68">
        <f>_xlfn.XLOOKUP($A355,'03'!$G$3:$G$100,'03'!$R$3:$R$100,"-")</f>
        <v/>
      </c>
      <c r="F355" s="68">
        <f>_xlfn.XLOOKUP($A355,'04'!$G$3:$G$100,'04'!$R$3:$R$100,"-")</f>
        <v/>
      </c>
      <c r="G355" s="68">
        <f>_xlfn.XLOOKUP($A355,'05'!$G$3:$G$100,'05'!$R$3:$R$100,"-")</f>
        <v/>
      </c>
      <c r="H355" s="68">
        <f>_xlfn.XLOOKUP($A355,'06'!$G$3:$G$100,'06'!$R$3:$R$100,"-")</f>
        <v/>
      </c>
      <c r="I355" s="68">
        <f>_xlfn.XLOOKUP($A355,'07'!$G$3:$G$100,'07'!$R$3:$R$100,"-")</f>
        <v/>
      </c>
      <c r="J355" s="68">
        <f>_xlfn.XLOOKUP($A355,'08'!$G$3:$G$100,'08'!$R$3:$R$100,"-")</f>
        <v/>
      </c>
      <c r="K355" s="68">
        <f>_xlfn.XLOOKUP($A355,'09'!$G$3:$G$100,'09'!$R$3:$R$100,"-")</f>
        <v/>
      </c>
      <c r="L355" s="68">
        <f>_xlfn.XLOOKUP($A355,'10'!$G$3:$G$100,'10'!$R$3:$R$100,"-")</f>
        <v/>
      </c>
      <c r="M355" s="68">
        <f>_xlfn.XLOOKUP($A355,'11'!$G$3:$G$100,'11'!$R$3:$R$100,"-")</f>
        <v/>
      </c>
      <c r="N355" s="68">
        <f>_xlfn.XLOOKUP($A355,'12'!$G$3:$G$100,'12'!$R$3:$R$100,"-")</f>
        <v/>
      </c>
      <c r="O355" s="79">
        <f>SUM(C355:N355)</f>
        <v/>
      </c>
      <c r="P355" s="74" t="n"/>
      <c r="Q355" s="82" t="n">
        <v>353</v>
      </c>
      <c r="R355" s="38" t="n"/>
      <c r="S355" s="61" t="n">
        <v>0</v>
      </c>
      <c r="T355" s="68" t="n">
        <v>0</v>
      </c>
      <c r="U355" s="68" t="n">
        <v>0</v>
      </c>
      <c r="V355" s="68" t="n">
        <v>0</v>
      </c>
      <c r="W355" s="68" t="n">
        <v>0</v>
      </c>
      <c r="X355" s="68" t="n">
        <v>0</v>
      </c>
      <c r="Y355" s="68" t="n">
        <v>0</v>
      </c>
      <c r="Z355" s="68" t="n">
        <v>0</v>
      </c>
      <c r="AA355" s="68" t="n">
        <v>0</v>
      </c>
      <c r="AB355" s="68" t="n">
        <v>0</v>
      </c>
      <c r="AC355" s="68" t="n">
        <v>0</v>
      </c>
      <c r="AD355" s="68" t="n">
        <v>0</v>
      </c>
      <c r="AE355" s="68" t="n">
        <v>0</v>
      </c>
      <c r="AF355" s="79" t="n">
        <v>0</v>
      </c>
      <c r="AG355" s="74" t="n">
        <v>0</v>
      </c>
      <c r="AH355" s="82" t="n">
        <v>353</v>
      </c>
    </row>
    <row r="356" ht="18" customHeight="1">
      <c r="C356" s="68">
        <f>_xlfn.XLOOKUP($A356,'01'!$G$3:$G$100,'01'!$R$3:$R$100,"-")</f>
        <v/>
      </c>
      <c r="D356" s="68">
        <f>_xlfn.XLOOKUP($A356,'02'!$G$3:$G$100,'02'!$R$3:$R$100,"-")</f>
        <v/>
      </c>
      <c r="E356" s="68">
        <f>_xlfn.XLOOKUP($A356,'03'!$G$3:$G$100,'03'!$R$3:$R$100,"-")</f>
        <v/>
      </c>
      <c r="F356" s="68">
        <f>_xlfn.XLOOKUP($A356,'04'!$G$3:$G$100,'04'!$R$3:$R$100,"-")</f>
        <v/>
      </c>
      <c r="G356" s="68">
        <f>_xlfn.XLOOKUP($A356,'05'!$G$3:$G$100,'05'!$R$3:$R$100,"-")</f>
        <v/>
      </c>
      <c r="H356" s="68">
        <f>_xlfn.XLOOKUP($A356,'06'!$G$3:$G$100,'06'!$R$3:$R$100,"-")</f>
        <v/>
      </c>
      <c r="I356" s="68">
        <f>_xlfn.XLOOKUP($A356,'07'!$G$3:$G$100,'07'!$R$3:$R$100,"-")</f>
        <v/>
      </c>
      <c r="J356" s="68">
        <f>_xlfn.XLOOKUP($A356,'08'!$G$3:$G$100,'08'!$R$3:$R$100,"-")</f>
        <v/>
      </c>
      <c r="K356" s="68">
        <f>_xlfn.XLOOKUP($A356,'09'!$G$3:$G$100,'09'!$R$3:$R$100,"-")</f>
        <v/>
      </c>
      <c r="L356" s="68">
        <f>_xlfn.XLOOKUP($A356,'10'!$G$3:$G$100,'10'!$R$3:$R$100,"-")</f>
        <v/>
      </c>
      <c r="M356" s="68">
        <f>_xlfn.XLOOKUP($A356,'11'!$G$3:$G$100,'11'!$R$3:$R$100,"-")</f>
        <v/>
      </c>
      <c r="N356" s="68">
        <f>_xlfn.XLOOKUP($A356,'12'!$G$3:$G$100,'12'!$R$3:$R$100,"-")</f>
        <v/>
      </c>
      <c r="O356" s="79">
        <f>SUM(C356:N356)</f>
        <v/>
      </c>
      <c r="P356" s="74" t="n"/>
      <c r="Q356" s="82" t="n">
        <v>354</v>
      </c>
      <c r="R356" s="38" t="n"/>
      <c r="S356" s="61" t="n">
        <v>0</v>
      </c>
      <c r="T356" s="68" t="n">
        <v>0</v>
      </c>
      <c r="U356" s="68" t="n">
        <v>0</v>
      </c>
      <c r="V356" s="68" t="n">
        <v>0</v>
      </c>
      <c r="W356" s="68" t="n">
        <v>0</v>
      </c>
      <c r="X356" s="68" t="n">
        <v>0</v>
      </c>
      <c r="Y356" s="68" t="n">
        <v>0</v>
      </c>
      <c r="Z356" s="68" t="n">
        <v>0</v>
      </c>
      <c r="AA356" s="68" t="n">
        <v>0</v>
      </c>
      <c r="AB356" s="68" t="n">
        <v>0</v>
      </c>
      <c r="AC356" s="68" t="n">
        <v>0</v>
      </c>
      <c r="AD356" s="68" t="n">
        <v>0</v>
      </c>
      <c r="AE356" s="68" t="n">
        <v>0</v>
      </c>
      <c r="AF356" s="79" t="n">
        <v>0</v>
      </c>
      <c r="AG356" s="74" t="n">
        <v>0</v>
      </c>
      <c r="AH356" s="82" t="n">
        <v>354</v>
      </c>
    </row>
    <row r="357" ht="18" customHeight="1">
      <c r="C357" s="68">
        <f>_xlfn.XLOOKUP($A357,'01'!$G$3:$G$100,'01'!$R$3:$R$100,"-")</f>
        <v/>
      </c>
      <c r="D357" s="68">
        <f>_xlfn.XLOOKUP($A357,'02'!$G$3:$G$100,'02'!$R$3:$R$100,"-")</f>
        <v/>
      </c>
      <c r="E357" s="68">
        <f>_xlfn.XLOOKUP($A357,'03'!$G$3:$G$100,'03'!$R$3:$R$100,"-")</f>
        <v/>
      </c>
      <c r="F357" s="68">
        <f>_xlfn.XLOOKUP($A357,'04'!$G$3:$G$100,'04'!$R$3:$R$100,"-")</f>
        <v/>
      </c>
      <c r="G357" s="68">
        <f>_xlfn.XLOOKUP($A357,'05'!$G$3:$G$100,'05'!$R$3:$R$100,"-")</f>
        <v/>
      </c>
      <c r="H357" s="68">
        <f>_xlfn.XLOOKUP($A357,'06'!$G$3:$G$100,'06'!$R$3:$R$100,"-")</f>
        <v/>
      </c>
      <c r="I357" s="68">
        <f>_xlfn.XLOOKUP($A357,'07'!$G$3:$G$100,'07'!$R$3:$R$100,"-")</f>
        <v/>
      </c>
      <c r="J357" s="68">
        <f>_xlfn.XLOOKUP($A357,'08'!$G$3:$G$100,'08'!$R$3:$R$100,"-")</f>
        <v/>
      </c>
      <c r="K357" s="68">
        <f>_xlfn.XLOOKUP($A357,'09'!$G$3:$G$100,'09'!$R$3:$R$100,"-")</f>
        <v/>
      </c>
      <c r="L357" s="68">
        <f>_xlfn.XLOOKUP($A357,'10'!$G$3:$G$100,'10'!$R$3:$R$100,"-")</f>
        <v/>
      </c>
      <c r="M357" s="68">
        <f>_xlfn.XLOOKUP($A357,'11'!$G$3:$G$100,'11'!$R$3:$R$100,"-")</f>
        <v/>
      </c>
      <c r="N357" s="68">
        <f>_xlfn.XLOOKUP($A357,'12'!$G$3:$G$100,'12'!$R$3:$R$100,"-")</f>
        <v/>
      </c>
      <c r="O357" s="79">
        <f>SUM(C357:N357)</f>
        <v/>
      </c>
      <c r="P357" s="74" t="n"/>
      <c r="Q357" s="83" t="n">
        <v>355</v>
      </c>
      <c r="R357" s="38" t="n"/>
      <c r="S357" s="61" t="n">
        <v>0</v>
      </c>
      <c r="T357" s="68" t="n">
        <v>0</v>
      </c>
      <c r="U357" s="68" t="n">
        <v>0</v>
      </c>
      <c r="V357" s="68" t="n">
        <v>0</v>
      </c>
      <c r="W357" s="68" t="n">
        <v>0</v>
      </c>
      <c r="X357" s="68" t="n">
        <v>0</v>
      </c>
      <c r="Y357" s="68" t="n">
        <v>0</v>
      </c>
      <c r="Z357" s="68" t="n">
        <v>0</v>
      </c>
      <c r="AA357" s="68" t="n">
        <v>0</v>
      </c>
      <c r="AB357" s="68" t="n">
        <v>0</v>
      </c>
      <c r="AC357" s="68" t="n">
        <v>0</v>
      </c>
      <c r="AD357" s="68" t="n">
        <v>0</v>
      </c>
      <c r="AE357" s="68" t="n">
        <v>0</v>
      </c>
      <c r="AF357" s="79" t="n">
        <v>0</v>
      </c>
      <c r="AG357" s="74" t="n">
        <v>0</v>
      </c>
      <c r="AH357" s="83" t="n">
        <v>355</v>
      </c>
    </row>
    <row r="358" ht="18" customHeight="1">
      <c r="C358" s="68">
        <f>_xlfn.XLOOKUP($A358,'01'!$G$3:$G$100,'01'!$R$3:$R$100,"-")</f>
        <v/>
      </c>
      <c r="D358" s="68">
        <f>_xlfn.XLOOKUP($A358,'02'!$G$3:$G$100,'02'!$R$3:$R$100,"-")</f>
        <v/>
      </c>
      <c r="E358" s="68">
        <f>_xlfn.XLOOKUP($A358,'03'!$G$3:$G$100,'03'!$R$3:$R$100,"-")</f>
        <v/>
      </c>
      <c r="F358" s="68">
        <f>_xlfn.XLOOKUP($A358,'04'!$G$3:$G$100,'04'!$R$3:$R$100,"-")</f>
        <v/>
      </c>
      <c r="G358" s="68">
        <f>_xlfn.XLOOKUP($A358,'05'!$G$3:$G$100,'05'!$R$3:$R$100,"-")</f>
        <v/>
      </c>
      <c r="H358" s="68">
        <f>_xlfn.XLOOKUP($A358,'06'!$G$3:$G$100,'06'!$R$3:$R$100,"-")</f>
        <v/>
      </c>
      <c r="I358" s="68">
        <f>_xlfn.XLOOKUP($A358,'07'!$G$3:$G$100,'07'!$R$3:$R$100,"-")</f>
        <v/>
      </c>
      <c r="J358" s="68">
        <f>_xlfn.XLOOKUP($A358,'08'!$G$3:$G$100,'08'!$R$3:$R$100,"-")</f>
        <v/>
      </c>
      <c r="K358" s="68">
        <f>_xlfn.XLOOKUP($A358,'09'!$G$3:$G$100,'09'!$R$3:$R$100,"-")</f>
        <v/>
      </c>
      <c r="L358" s="68">
        <f>_xlfn.XLOOKUP($A358,'10'!$G$3:$G$100,'10'!$R$3:$R$100,"-")</f>
        <v/>
      </c>
      <c r="M358" s="68">
        <f>_xlfn.XLOOKUP($A358,'11'!$G$3:$G$100,'11'!$R$3:$R$100,"-")</f>
        <v/>
      </c>
      <c r="N358" s="68">
        <f>_xlfn.XLOOKUP($A358,'12'!$G$3:$G$100,'12'!$R$3:$R$100,"-")</f>
        <v/>
      </c>
      <c r="O358" s="79">
        <f>SUM(C358:N358)</f>
        <v/>
      </c>
      <c r="P358" s="74" t="n"/>
      <c r="Q358" s="82" t="n">
        <v>356</v>
      </c>
      <c r="R358" s="38" t="n"/>
      <c r="S358" s="61" t="n">
        <v>0</v>
      </c>
      <c r="T358" s="68" t="n">
        <v>0</v>
      </c>
      <c r="U358" s="68" t="n">
        <v>0</v>
      </c>
      <c r="V358" s="68" t="n">
        <v>0</v>
      </c>
      <c r="W358" s="68" t="n">
        <v>0</v>
      </c>
      <c r="X358" s="68" t="n">
        <v>0</v>
      </c>
      <c r="Y358" s="68" t="n">
        <v>0</v>
      </c>
      <c r="Z358" s="68" t="n">
        <v>0</v>
      </c>
      <c r="AA358" s="68" t="n">
        <v>0</v>
      </c>
      <c r="AB358" s="68" t="n">
        <v>0</v>
      </c>
      <c r="AC358" s="68" t="n">
        <v>0</v>
      </c>
      <c r="AD358" s="68" t="n">
        <v>0</v>
      </c>
      <c r="AE358" s="68" t="n">
        <v>0</v>
      </c>
      <c r="AF358" s="79" t="n">
        <v>0</v>
      </c>
      <c r="AG358" s="74" t="n">
        <v>0</v>
      </c>
      <c r="AH358" s="82" t="n">
        <v>356</v>
      </c>
    </row>
    <row r="359" ht="18" customHeight="1">
      <c r="C359" s="68">
        <f>_xlfn.XLOOKUP($A359,'01'!$G$3:$G$100,'01'!$R$3:$R$100,"-")</f>
        <v/>
      </c>
      <c r="D359" s="68">
        <f>_xlfn.XLOOKUP($A359,'02'!$G$3:$G$100,'02'!$R$3:$R$100,"-")</f>
        <v/>
      </c>
      <c r="E359" s="68">
        <f>_xlfn.XLOOKUP($A359,'03'!$G$3:$G$100,'03'!$R$3:$R$100,"-")</f>
        <v/>
      </c>
      <c r="F359" s="68">
        <f>_xlfn.XLOOKUP($A359,'04'!$G$3:$G$100,'04'!$R$3:$R$100,"-")</f>
        <v/>
      </c>
      <c r="G359" s="68">
        <f>_xlfn.XLOOKUP($A359,'05'!$G$3:$G$100,'05'!$R$3:$R$100,"-")</f>
        <v/>
      </c>
      <c r="H359" s="68">
        <f>_xlfn.XLOOKUP($A359,'06'!$G$3:$G$100,'06'!$R$3:$R$100,"-")</f>
        <v/>
      </c>
      <c r="I359" s="68">
        <f>_xlfn.XLOOKUP($A359,'07'!$G$3:$G$100,'07'!$R$3:$R$100,"-")</f>
        <v/>
      </c>
      <c r="J359" s="68">
        <f>_xlfn.XLOOKUP($A359,'08'!$G$3:$G$100,'08'!$R$3:$R$100,"-")</f>
        <v/>
      </c>
      <c r="K359" s="68">
        <f>_xlfn.XLOOKUP($A359,'09'!$G$3:$G$100,'09'!$R$3:$R$100,"-")</f>
        <v/>
      </c>
      <c r="L359" s="68">
        <f>_xlfn.XLOOKUP($A359,'10'!$G$3:$G$100,'10'!$R$3:$R$100,"-")</f>
        <v/>
      </c>
      <c r="M359" s="68">
        <f>_xlfn.XLOOKUP($A359,'11'!$G$3:$G$100,'11'!$R$3:$R$100,"-")</f>
        <v/>
      </c>
      <c r="N359" s="68">
        <f>_xlfn.XLOOKUP($A359,'12'!$G$3:$G$100,'12'!$R$3:$R$100,"-")</f>
        <v/>
      </c>
      <c r="O359" s="79">
        <f>SUM(C359:N359)</f>
        <v/>
      </c>
      <c r="P359" s="74" t="n"/>
      <c r="Q359" s="82" t="n">
        <v>357</v>
      </c>
      <c r="R359" s="38" t="n"/>
      <c r="S359" s="61" t="n">
        <v>0</v>
      </c>
      <c r="T359" s="68" t="n">
        <v>0</v>
      </c>
      <c r="U359" s="68" t="n">
        <v>0</v>
      </c>
      <c r="V359" s="68" t="n">
        <v>0</v>
      </c>
      <c r="W359" s="68" t="n">
        <v>0</v>
      </c>
      <c r="X359" s="68" t="n">
        <v>0</v>
      </c>
      <c r="Y359" s="68" t="n">
        <v>0</v>
      </c>
      <c r="Z359" s="68" t="n">
        <v>0</v>
      </c>
      <c r="AA359" s="68" t="n">
        <v>0</v>
      </c>
      <c r="AB359" s="68" t="n">
        <v>0</v>
      </c>
      <c r="AC359" s="68" t="n">
        <v>0</v>
      </c>
      <c r="AD359" s="68" t="n">
        <v>0</v>
      </c>
      <c r="AE359" s="68" t="n">
        <v>0</v>
      </c>
      <c r="AF359" s="79" t="n">
        <v>0</v>
      </c>
      <c r="AG359" s="74" t="n">
        <v>0</v>
      </c>
      <c r="AH359" s="82" t="n">
        <v>357</v>
      </c>
    </row>
    <row r="360" ht="18" customHeight="1">
      <c r="C360" s="68">
        <f>_xlfn.XLOOKUP($A360,'01'!$G$3:$G$100,'01'!$R$3:$R$100,"-")</f>
        <v/>
      </c>
      <c r="D360" s="68">
        <f>_xlfn.XLOOKUP($A360,'02'!$G$3:$G$100,'02'!$R$3:$R$100,"-")</f>
        <v/>
      </c>
      <c r="E360" s="68">
        <f>_xlfn.XLOOKUP($A360,'03'!$G$3:$G$100,'03'!$R$3:$R$100,"-")</f>
        <v/>
      </c>
      <c r="F360" s="68">
        <f>_xlfn.XLOOKUP($A360,'04'!$G$3:$G$100,'04'!$R$3:$R$100,"-")</f>
        <v/>
      </c>
      <c r="G360" s="68">
        <f>_xlfn.XLOOKUP($A360,'05'!$G$3:$G$100,'05'!$R$3:$R$100,"-")</f>
        <v/>
      </c>
      <c r="H360" s="68">
        <f>_xlfn.XLOOKUP($A360,'06'!$G$3:$G$100,'06'!$R$3:$R$100,"-")</f>
        <v/>
      </c>
      <c r="I360" s="68">
        <f>_xlfn.XLOOKUP($A360,'07'!$G$3:$G$100,'07'!$R$3:$R$100,"-")</f>
        <v/>
      </c>
      <c r="J360" s="68">
        <f>_xlfn.XLOOKUP($A360,'08'!$G$3:$G$100,'08'!$R$3:$R$100,"-")</f>
        <v/>
      </c>
      <c r="K360" s="68">
        <f>_xlfn.XLOOKUP($A360,'09'!$G$3:$G$100,'09'!$R$3:$R$100,"-")</f>
        <v/>
      </c>
      <c r="L360" s="68">
        <f>_xlfn.XLOOKUP($A360,'10'!$G$3:$G$100,'10'!$R$3:$R$100,"-")</f>
        <v/>
      </c>
      <c r="M360" s="68">
        <f>_xlfn.XLOOKUP($A360,'11'!$G$3:$G$100,'11'!$R$3:$R$100,"-")</f>
        <v/>
      </c>
      <c r="N360" s="68">
        <f>_xlfn.XLOOKUP($A360,'12'!$G$3:$G$100,'12'!$R$3:$R$100,"-")</f>
        <v/>
      </c>
      <c r="O360" s="79">
        <f>SUM(C360:N360)</f>
        <v/>
      </c>
      <c r="P360" s="74" t="n"/>
      <c r="Q360" s="82" t="n">
        <v>358</v>
      </c>
      <c r="R360" s="38" t="n"/>
      <c r="S360" s="61" t="n">
        <v>0</v>
      </c>
      <c r="T360" s="68" t="n">
        <v>0</v>
      </c>
      <c r="U360" s="68" t="n">
        <v>0</v>
      </c>
      <c r="V360" s="68" t="n">
        <v>0</v>
      </c>
      <c r="W360" s="68" t="n">
        <v>0</v>
      </c>
      <c r="X360" s="68" t="n">
        <v>0</v>
      </c>
      <c r="Y360" s="68" t="n">
        <v>0</v>
      </c>
      <c r="Z360" s="68" t="n">
        <v>0</v>
      </c>
      <c r="AA360" s="68" t="n">
        <v>0</v>
      </c>
      <c r="AB360" s="68" t="n">
        <v>0</v>
      </c>
      <c r="AC360" s="68" t="n">
        <v>0</v>
      </c>
      <c r="AD360" s="68" t="n">
        <v>0</v>
      </c>
      <c r="AE360" s="68" t="n">
        <v>0</v>
      </c>
      <c r="AF360" s="79" t="n">
        <v>0</v>
      </c>
      <c r="AG360" s="74" t="n">
        <v>0</v>
      </c>
      <c r="AH360" s="82" t="n">
        <v>358</v>
      </c>
    </row>
    <row r="361" ht="18" customHeight="1">
      <c r="C361" s="68">
        <f>_xlfn.XLOOKUP($A361,'01'!$G$3:$G$100,'01'!$R$3:$R$100,"-")</f>
        <v/>
      </c>
      <c r="D361" s="68">
        <f>_xlfn.XLOOKUP($A361,'02'!$G$3:$G$100,'02'!$R$3:$R$100,"-")</f>
        <v/>
      </c>
      <c r="E361" s="68">
        <f>_xlfn.XLOOKUP($A361,'03'!$G$3:$G$100,'03'!$R$3:$R$100,"-")</f>
        <v/>
      </c>
      <c r="F361" s="68">
        <f>_xlfn.XLOOKUP($A361,'04'!$G$3:$G$100,'04'!$R$3:$R$100,"-")</f>
        <v/>
      </c>
      <c r="G361" s="68">
        <f>_xlfn.XLOOKUP($A361,'05'!$G$3:$G$100,'05'!$R$3:$R$100,"-")</f>
        <v/>
      </c>
      <c r="H361" s="68">
        <f>_xlfn.XLOOKUP($A361,'06'!$G$3:$G$100,'06'!$R$3:$R$100,"-")</f>
        <v/>
      </c>
      <c r="I361" s="68">
        <f>_xlfn.XLOOKUP($A361,'07'!$G$3:$G$100,'07'!$R$3:$R$100,"-")</f>
        <v/>
      </c>
      <c r="J361" s="68">
        <f>_xlfn.XLOOKUP($A361,'08'!$G$3:$G$100,'08'!$R$3:$R$100,"-")</f>
        <v/>
      </c>
      <c r="K361" s="68">
        <f>_xlfn.XLOOKUP($A361,'09'!$G$3:$G$100,'09'!$R$3:$R$100,"-")</f>
        <v/>
      </c>
      <c r="L361" s="68">
        <f>_xlfn.XLOOKUP($A361,'10'!$G$3:$G$100,'10'!$R$3:$R$100,"-")</f>
        <v/>
      </c>
      <c r="M361" s="68">
        <f>_xlfn.XLOOKUP($A361,'11'!$G$3:$G$100,'11'!$R$3:$R$100,"-")</f>
        <v/>
      </c>
      <c r="N361" s="68">
        <f>_xlfn.XLOOKUP($A361,'12'!$G$3:$G$100,'12'!$R$3:$R$100,"-")</f>
        <v/>
      </c>
      <c r="O361" s="79">
        <f>SUM(C361:N361)</f>
        <v/>
      </c>
      <c r="P361" s="74" t="n"/>
      <c r="Q361" s="82" t="n">
        <v>359</v>
      </c>
      <c r="R361" s="38" t="n"/>
      <c r="S361" s="61" t="n">
        <v>0</v>
      </c>
      <c r="T361" s="68" t="n">
        <v>0</v>
      </c>
      <c r="U361" s="68" t="n">
        <v>0</v>
      </c>
      <c r="V361" s="68" t="n">
        <v>0</v>
      </c>
      <c r="W361" s="68" t="n">
        <v>0</v>
      </c>
      <c r="X361" s="68" t="n">
        <v>0</v>
      </c>
      <c r="Y361" s="68" t="n">
        <v>0</v>
      </c>
      <c r="Z361" s="68" t="n">
        <v>0</v>
      </c>
      <c r="AA361" s="68" t="n">
        <v>0</v>
      </c>
      <c r="AB361" s="68" t="n">
        <v>0</v>
      </c>
      <c r="AC361" s="68" t="n">
        <v>0</v>
      </c>
      <c r="AD361" s="68" t="n">
        <v>0</v>
      </c>
      <c r="AE361" s="68" t="n">
        <v>0</v>
      </c>
      <c r="AF361" s="79" t="n">
        <v>0</v>
      </c>
      <c r="AG361" s="74" t="n">
        <v>0</v>
      </c>
      <c r="AH361" s="82" t="n">
        <v>359</v>
      </c>
    </row>
    <row r="362" ht="18" customHeight="1">
      <c r="C362" s="68">
        <f>_xlfn.XLOOKUP($A362,'01'!$G$3:$G$100,'01'!$R$3:$R$100,"-")</f>
        <v/>
      </c>
      <c r="D362" s="68">
        <f>_xlfn.XLOOKUP($A362,'02'!$G$3:$G$100,'02'!$R$3:$R$100,"-")</f>
        <v/>
      </c>
      <c r="E362" s="68">
        <f>_xlfn.XLOOKUP($A362,'03'!$G$3:$G$100,'03'!$R$3:$R$100,"-")</f>
        <v/>
      </c>
      <c r="F362" s="68">
        <f>_xlfn.XLOOKUP($A362,'04'!$G$3:$G$100,'04'!$R$3:$R$100,"-")</f>
        <v/>
      </c>
      <c r="G362" s="68">
        <f>_xlfn.XLOOKUP($A362,'05'!$G$3:$G$100,'05'!$R$3:$R$100,"-")</f>
        <v/>
      </c>
      <c r="H362" s="68">
        <f>_xlfn.XLOOKUP($A362,'06'!$G$3:$G$100,'06'!$R$3:$R$100,"-")</f>
        <v/>
      </c>
      <c r="I362" s="68">
        <f>_xlfn.XLOOKUP($A362,'07'!$G$3:$G$100,'07'!$R$3:$R$100,"-")</f>
        <v/>
      </c>
      <c r="J362" s="68">
        <f>_xlfn.XLOOKUP($A362,'08'!$G$3:$G$100,'08'!$R$3:$R$100,"-")</f>
        <v/>
      </c>
      <c r="K362" s="68">
        <f>_xlfn.XLOOKUP($A362,'09'!$G$3:$G$100,'09'!$R$3:$R$100,"-")</f>
        <v/>
      </c>
      <c r="L362" s="68">
        <f>_xlfn.XLOOKUP($A362,'10'!$G$3:$G$100,'10'!$R$3:$R$100,"-")</f>
        <v/>
      </c>
      <c r="M362" s="68">
        <f>_xlfn.XLOOKUP($A362,'11'!$G$3:$G$100,'11'!$R$3:$R$100,"-")</f>
        <v/>
      </c>
      <c r="N362" s="68">
        <f>_xlfn.XLOOKUP($A362,'12'!$G$3:$G$100,'12'!$R$3:$R$100,"-")</f>
        <v/>
      </c>
      <c r="O362" s="79">
        <f>SUM(C362:N362)</f>
        <v/>
      </c>
      <c r="P362" s="74" t="n"/>
      <c r="Q362" s="82" t="n">
        <v>360</v>
      </c>
      <c r="R362" s="38" t="n"/>
      <c r="S362" s="61" t="n">
        <v>0</v>
      </c>
      <c r="T362" s="68" t="n">
        <v>0</v>
      </c>
      <c r="U362" s="68" t="n">
        <v>0</v>
      </c>
      <c r="V362" s="68" t="n">
        <v>0</v>
      </c>
      <c r="W362" s="68" t="n">
        <v>0</v>
      </c>
      <c r="X362" s="68" t="n">
        <v>0</v>
      </c>
      <c r="Y362" s="68" t="n">
        <v>0</v>
      </c>
      <c r="Z362" s="68" t="n">
        <v>0</v>
      </c>
      <c r="AA362" s="68" t="n">
        <v>0</v>
      </c>
      <c r="AB362" s="68" t="n">
        <v>0</v>
      </c>
      <c r="AC362" s="68" t="n">
        <v>0</v>
      </c>
      <c r="AD362" s="68" t="n">
        <v>0</v>
      </c>
      <c r="AE362" s="68" t="n">
        <v>0</v>
      </c>
      <c r="AF362" s="79" t="n">
        <v>0</v>
      </c>
      <c r="AG362" s="74" t="n">
        <v>0</v>
      </c>
      <c r="AH362" s="82" t="n">
        <v>360</v>
      </c>
    </row>
    <row r="363" ht="18" customHeight="1">
      <c r="C363" s="68">
        <f>_xlfn.XLOOKUP($A363,'01'!$G$3:$G$100,'01'!$R$3:$R$100,"-")</f>
        <v/>
      </c>
      <c r="D363" s="68">
        <f>_xlfn.XLOOKUP($A363,'02'!$G$3:$G$100,'02'!$R$3:$R$100,"-")</f>
        <v/>
      </c>
      <c r="E363" s="68">
        <f>_xlfn.XLOOKUP($A363,'03'!$G$3:$G$100,'03'!$R$3:$R$100,"-")</f>
        <v/>
      </c>
      <c r="F363" s="68">
        <f>_xlfn.XLOOKUP($A363,'04'!$G$3:$G$100,'04'!$R$3:$R$100,"-")</f>
        <v/>
      </c>
      <c r="G363" s="68">
        <f>_xlfn.XLOOKUP($A363,'05'!$G$3:$G$100,'05'!$R$3:$R$100,"-")</f>
        <v/>
      </c>
      <c r="H363" s="68">
        <f>_xlfn.XLOOKUP($A363,'06'!$G$3:$G$100,'06'!$R$3:$R$100,"-")</f>
        <v/>
      </c>
      <c r="I363" s="68">
        <f>_xlfn.XLOOKUP($A363,'07'!$G$3:$G$100,'07'!$R$3:$R$100,"-")</f>
        <v/>
      </c>
      <c r="J363" s="68">
        <f>_xlfn.XLOOKUP($A363,'08'!$G$3:$G$100,'08'!$R$3:$R$100,"-")</f>
        <v/>
      </c>
      <c r="K363" s="68">
        <f>_xlfn.XLOOKUP($A363,'09'!$G$3:$G$100,'09'!$R$3:$R$100,"-")</f>
        <v/>
      </c>
      <c r="L363" s="68">
        <f>_xlfn.XLOOKUP($A363,'10'!$G$3:$G$100,'10'!$R$3:$R$100,"-")</f>
        <v/>
      </c>
      <c r="M363" s="68">
        <f>_xlfn.XLOOKUP($A363,'11'!$G$3:$G$100,'11'!$R$3:$R$100,"-")</f>
        <v/>
      </c>
      <c r="N363" s="68">
        <f>_xlfn.XLOOKUP($A363,'12'!$G$3:$G$100,'12'!$R$3:$R$100,"-")</f>
        <v/>
      </c>
      <c r="O363" s="79">
        <f>SUM(C363:N363)</f>
        <v/>
      </c>
      <c r="P363" s="74" t="n"/>
      <c r="Q363" s="82" t="n">
        <v>361</v>
      </c>
      <c r="R363" s="38" t="n"/>
      <c r="S363" s="61" t="n">
        <v>0</v>
      </c>
      <c r="T363" s="68" t="n">
        <v>0</v>
      </c>
      <c r="U363" s="68" t="n">
        <v>0</v>
      </c>
      <c r="V363" s="68" t="n">
        <v>0</v>
      </c>
      <c r="W363" s="68" t="n">
        <v>0</v>
      </c>
      <c r="X363" s="68" t="n">
        <v>0</v>
      </c>
      <c r="Y363" s="68" t="n">
        <v>0</v>
      </c>
      <c r="Z363" s="68" t="n">
        <v>0</v>
      </c>
      <c r="AA363" s="68" t="n">
        <v>0</v>
      </c>
      <c r="AB363" s="68" t="n">
        <v>0</v>
      </c>
      <c r="AC363" s="68" t="n">
        <v>0</v>
      </c>
      <c r="AD363" s="68" t="n">
        <v>0</v>
      </c>
      <c r="AE363" s="68" t="n">
        <v>0</v>
      </c>
      <c r="AF363" s="79" t="n">
        <v>0</v>
      </c>
      <c r="AG363" s="74" t="n">
        <v>0</v>
      </c>
      <c r="AH363" s="82" t="n">
        <v>361</v>
      </c>
    </row>
    <row r="364" ht="18" customHeight="1">
      <c r="C364" s="68">
        <f>_xlfn.XLOOKUP($A364,'01'!$G$3:$G$100,'01'!$R$3:$R$100,"-")</f>
        <v/>
      </c>
      <c r="D364" s="68">
        <f>_xlfn.XLOOKUP($A364,'02'!$G$3:$G$100,'02'!$R$3:$R$100,"-")</f>
        <v/>
      </c>
      <c r="E364" s="68">
        <f>_xlfn.XLOOKUP($A364,'03'!$G$3:$G$100,'03'!$R$3:$R$100,"-")</f>
        <v/>
      </c>
      <c r="F364" s="68">
        <f>_xlfn.XLOOKUP($A364,'04'!$G$3:$G$100,'04'!$R$3:$R$100,"-")</f>
        <v/>
      </c>
      <c r="G364" s="68">
        <f>_xlfn.XLOOKUP($A364,'05'!$G$3:$G$100,'05'!$R$3:$R$100,"-")</f>
        <v/>
      </c>
      <c r="H364" s="68">
        <f>_xlfn.XLOOKUP($A364,'06'!$G$3:$G$100,'06'!$R$3:$R$100,"-")</f>
        <v/>
      </c>
      <c r="I364" s="68">
        <f>_xlfn.XLOOKUP($A364,'07'!$G$3:$G$100,'07'!$R$3:$R$100,"-")</f>
        <v/>
      </c>
      <c r="J364" s="68">
        <f>_xlfn.XLOOKUP($A364,'08'!$G$3:$G$100,'08'!$R$3:$R$100,"-")</f>
        <v/>
      </c>
      <c r="K364" s="68">
        <f>_xlfn.XLOOKUP($A364,'09'!$G$3:$G$100,'09'!$R$3:$R$100,"-")</f>
        <v/>
      </c>
      <c r="L364" s="68">
        <f>_xlfn.XLOOKUP($A364,'10'!$G$3:$G$100,'10'!$R$3:$R$100,"-")</f>
        <v/>
      </c>
      <c r="M364" s="68">
        <f>_xlfn.XLOOKUP($A364,'11'!$G$3:$G$100,'11'!$R$3:$R$100,"-")</f>
        <v/>
      </c>
      <c r="N364" s="68">
        <f>_xlfn.XLOOKUP($A364,'12'!$G$3:$G$100,'12'!$R$3:$R$100,"-")</f>
        <v/>
      </c>
      <c r="O364" s="79">
        <f>SUM(C364:N364)</f>
        <v/>
      </c>
      <c r="P364" s="74" t="n"/>
      <c r="Q364" s="82" t="n">
        <v>362</v>
      </c>
      <c r="R364" s="38" t="n"/>
      <c r="S364" s="61" t="n">
        <v>0</v>
      </c>
      <c r="T364" s="68" t="n">
        <v>0</v>
      </c>
      <c r="U364" s="68" t="n">
        <v>0</v>
      </c>
      <c r="V364" s="68" t="n">
        <v>0</v>
      </c>
      <c r="W364" s="68" t="n">
        <v>0</v>
      </c>
      <c r="X364" s="68" t="n">
        <v>0</v>
      </c>
      <c r="Y364" s="68" t="n">
        <v>0</v>
      </c>
      <c r="Z364" s="68" t="n">
        <v>0</v>
      </c>
      <c r="AA364" s="68" t="n">
        <v>0</v>
      </c>
      <c r="AB364" s="68" t="n">
        <v>0</v>
      </c>
      <c r="AC364" s="68" t="n">
        <v>0</v>
      </c>
      <c r="AD364" s="68" t="n">
        <v>0</v>
      </c>
      <c r="AE364" s="68" t="n">
        <v>0</v>
      </c>
      <c r="AF364" s="79" t="n">
        <v>0</v>
      </c>
      <c r="AG364" s="74" t="n">
        <v>0</v>
      </c>
      <c r="AH364" s="82" t="n">
        <v>362</v>
      </c>
    </row>
    <row r="365" ht="18" customHeight="1">
      <c r="C365" s="68">
        <f>_xlfn.XLOOKUP($A365,'01'!$G$3:$G$100,'01'!$R$3:$R$100,"-")</f>
        <v/>
      </c>
      <c r="D365" s="68">
        <f>_xlfn.XLOOKUP($A365,'02'!$G$3:$G$100,'02'!$R$3:$R$100,"-")</f>
        <v/>
      </c>
      <c r="E365" s="68">
        <f>_xlfn.XLOOKUP($A365,'03'!$G$3:$G$100,'03'!$R$3:$R$100,"-")</f>
        <v/>
      </c>
      <c r="F365" s="68">
        <f>_xlfn.XLOOKUP($A365,'04'!$G$3:$G$100,'04'!$R$3:$R$100,"-")</f>
        <v/>
      </c>
      <c r="G365" s="68">
        <f>_xlfn.XLOOKUP($A365,'05'!$G$3:$G$100,'05'!$R$3:$R$100,"-")</f>
        <v/>
      </c>
      <c r="H365" s="68">
        <f>_xlfn.XLOOKUP($A365,'06'!$G$3:$G$100,'06'!$R$3:$R$100,"-")</f>
        <v/>
      </c>
      <c r="I365" s="68">
        <f>_xlfn.XLOOKUP($A365,'07'!$G$3:$G$100,'07'!$R$3:$R$100,"-")</f>
        <v/>
      </c>
      <c r="J365" s="68">
        <f>_xlfn.XLOOKUP($A365,'08'!$G$3:$G$100,'08'!$R$3:$R$100,"-")</f>
        <v/>
      </c>
      <c r="K365" s="68">
        <f>_xlfn.XLOOKUP($A365,'09'!$G$3:$G$100,'09'!$R$3:$R$100,"-")</f>
        <v/>
      </c>
      <c r="L365" s="68">
        <f>_xlfn.XLOOKUP($A365,'10'!$G$3:$G$100,'10'!$R$3:$R$100,"-")</f>
        <v/>
      </c>
      <c r="M365" s="68">
        <f>_xlfn.XLOOKUP($A365,'11'!$G$3:$G$100,'11'!$R$3:$R$100,"-")</f>
        <v/>
      </c>
      <c r="N365" s="68">
        <f>_xlfn.XLOOKUP($A365,'12'!$G$3:$G$100,'12'!$R$3:$R$100,"-")</f>
        <v/>
      </c>
      <c r="O365" s="79">
        <f>SUM(C365:N365)</f>
        <v/>
      </c>
      <c r="P365" s="74" t="n"/>
      <c r="Q365" s="82" t="n">
        <v>363</v>
      </c>
      <c r="R365" s="38" t="n"/>
      <c r="S365" s="61" t="n">
        <v>0</v>
      </c>
      <c r="T365" s="68" t="n">
        <v>0</v>
      </c>
      <c r="U365" s="68" t="n">
        <v>0</v>
      </c>
      <c r="V365" s="68" t="n">
        <v>0</v>
      </c>
      <c r="W365" s="68" t="n">
        <v>0</v>
      </c>
      <c r="X365" s="68" t="n">
        <v>0</v>
      </c>
      <c r="Y365" s="68" t="n">
        <v>0</v>
      </c>
      <c r="Z365" s="68" t="n">
        <v>0</v>
      </c>
      <c r="AA365" s="68" t="n">
        <v>0</v>
      </c>
      <c r="AB365" s="68" t="n">
        <v>0</v>
      </c>
      <c r="AC365" s="68" t="n">
        <v>0</v>
      </c>
      <c r="AD365" s="68" t="n">
        <v>0</v>
      </c>
      <c r="AE365" s="68" t="n">
        <v>0</v>
      </c>
      <c r="AF365" s="79" t="n">
        <v>0</v>
      </c>
      <c r="AG365" s="74" t="n">
        <v>0</v>
      </c>
      <c r="AH365" s="82" t="n">
        <v>363</v>
      </c>
    </row>
    <row r="366" ht="18" customHeight="1">
      <c r="C366" s="68">
        <f>_xlfn.XLOOKUP($A366,'01'!$G$3:$G$100,'01'!$R$3:$R$100,"-")</f>
        <v/>
      </c>
      <c r="D366" s="68">
        <f>_xlfn.XLOOKUP($A366,'02'!$G$3:$G$100,'02'!$R$3:$R$100,"-")</f>
        <v/>
      </c>
      <c r="E366" s="68">
        <f>_xlfn.XLOOKUP($A366,'03'!$G$3:$G$100,'03'!$R$3:$R$100,"-")</f>
        <v/>
      </c>
      <c r="F366" s="68">
        <f>_xlfn.XLOOKUP($A366,'04'!$G$3:$G$100,'04'!$R$3:$R$100,"-")</f>
        <v/>
      </c>
      <c r="G366" s="68">
        <f>_xlfn.XLOOKUP($A366,'05'!$G$3:$G$100,'05'!$R$3:$R$100,"-")</f>
        <v/>
      </c>
      <c r="H366" s="68">
        <f>_xlfn.XLOOKUP($A366,'06'!$G$3:$G$100,'06'!$R$3:$R$100,"-")</f>
        <v/>
      </c>
      <c r="I366" s="68">
        <f>_xlfn.XLOOKUP($A366,'07'!$G$3:$G$100,'07'!$R$3:$R$100,"-")</f>
        <v/>
      </c>
      <c r="J366" s="68">
        <f>_xlfn.XLOOKUP($A366,'08'!$G$3:$G$100,'08'!$R$3:$R$100,"-")</f>
        <v/>
      </c>
      <c r="K366" s="68">
        <f>_xlfn.XLOOKUP($A366,'09'!$G$3:$G$100,'09'!$R$3:$R$100,"-")</f>
        <v/>
      </c>
      <c r="L366" s="68">
        <f>_xlfn.XLOOKUP($A366,'10'!$G$3:$G$100,'10'!$R$3:$R$100,"-")</f>
        <v/>
      </c>
      <c r="M366" s="68">
        <f>_xlfn.XLOOKUP($A366,'11'!$G$3:$G$100,'11'!$R$3:$R$100,"-")</f>
        <v/>
      </c>
      <c r="N366" s="68">
        <f>_xlfn.XLOOKUP($A366,'12'!$G$3:$G$100,'12'!$R$3:$R$100,"-")</f>
        <v/>
      </c>
      <c r="O366" s="79">
        <f>SUM(C366:N366)</f>
        <v/>
      </c>
      <c r="P366" s="74" t="n"/>
      <c r="Q366" s="82" t="n">
        <v>364</v>
      </c>
      <c r="R366" s="38" t="n"/>
      <c r="S366" s="61" t="n">
        <v>0</v>
      </c>
      <c r="T366" s="68" t="n">
        <v>0</v>
      </c>
      <c r="U366" s="68" t="n">
        <v>0</v>
      </c>
      <c r="V366" s="68" t="n">
        <v>0</v>
      </c>
      <c r="W366" s="68" t="n">
        <v>0</v>
      </c>
      <c r="X366" s="68" t="n">
        <v>0</v>
      </c>
      <c r="Y366" s="68" t="n">
        <v>0</v>
      </c>
      <c r="Z366" s="68" t="n">
        <v>0</v>
      </c>
      <c r="AA366" s="68" t="n">
        <v>0</v>
      </c>
      <c r="AB366" s="68" t="n">
        <v>0</v>
      </c>
      <c r="AC366" s="68" t="n">
        <v>0</v>
      </c>
      <c r="AD366" s="68" t="n">
        <v>0</v>
      </c>
      <c r="AE366" s="68" t="n">
        <v>0</v>
      </c>
      <c r="AF366" s="79" t="n">
        <v>0</v>
      </c>
      <c r="AG366" s="74" t="n">
        <v>0</v>
      </c>
      <c r="AH366" s="82" t="n">
        <v>364</v>
      </c>
    </row>
    <row r="367" ht="18" customHeight="1">
      <c r="C367" s="68">
        <f>_xlfn.XLOOKUP($A367,'01'!$G$3:$G$100,'01'!$R$3:$R$100,"-")</f>
        <v/>
      </c>
      <c r="D367" s="68">
        <f>_xlfn.XLOOKUP($A367,'02'!$G$3:$G$100,'02'!$R$3:$R$100,"-")</f>
        <v/>
      </c>
      <c r="E367" s="68">
        <f>_xlfn.XLOOKUP($A367,'03'!$G$3:$G$100,'03'!$R$3:$R$100,"-")</f>
        <v/>
      </c>
      <c r="F367" s="68">
        <f>_xlfn.XLOOKUP($A367,'04'!$G$3:$G$100,'04'!$R$3:$R$100,"-")</f>
        <v/>
      </c>
      <c r="G367" s="68">
        <f>_xlfn.XLOOKUP($A367,'05'!$G$3:$G$100,'05'!$R$3:$R$100,"-")</f>
        <v/>
      </c>
      <c r="H367" s="68">
        <f>_xlfn.XLOOKUP($A367,'06'!$G$3:$G$100,'06'!$R$3:$R$100,"-")</f>
        <v/>
      </c>
      <c r="I367" s="68">
        <f>_xlfn.XLOOKUP($A367,'07'!$G$3:$G$100,'07'!$R$3:$R$100,"-")</f>
        <v/>
      </c>
      <c r="J367" s="68">
        <f>_xlfn.XLOOKUP($A367,'08'!$G$3:$G$100,'08'!$R$3:$R$100,"-")</f>
        <v/>
      </c>
      <c r="K367" s="68">
        <f>_xlfn.XLOOKUP($A367,'09'!$G$3:$G$100,'09'!$R$3:$R$100,"-")</f>
        <v/>
      </c>
      <c r="L367" s="68">
        <f>_xlfn.XLOOKUP($A367,'10'!$G$3:$G$100,'10'!$R$3:$R$100,"-")</f>
        <v/>
      </c>
      <c r="M367" s="68">
        <f>_xlfn.XLOOKUP($A367,'11'!$G$3:$G$100,'11'!$R$3:$R$100,"-")</f>
        <v/>
      </c>
      <c r="N367" s="68">
        <f>_xlfn.XLOOKUP($A367,'12'!$G$3:$G$100,'12'!$R$3:$R$100,"-")</f>
        <v/>
      </c>
      <c r="O367" s="79">
        <f>SUM(C367:N367)</f>
        <v/>
      </c>
      <c r="P367" s="74" t="n"/>
      <c r="Q367" s="83" t="n">
        <v>365</v>
      </c>
      <c r="R367" s="38" t="n"/>
      <c r="S367" s="61" t="n">
        <v>0</v>
      </c>
      <c r="T367" s="68" t="n">
        <v>0</v>
      </c>
      <c r="U367" s="68" t="n">
        <v>0</v>
      </c>
      <c r="V367" s="68" t="n">
        <v>0</v>
      </c>
      <c r="W367" s="68" t="n">
        <v>0</v>
      </c>
      <c r="X367" s="68" t="n">
        <v>0</v>
      </c>
      <c r="Y367" s="68" t="n">
        <v>0</v>
      </c>
      <c r="Z367" s="68" t="n">
        <v>0</v>
      </c>
      <c r="AA367" s="68" t="n">
        <v>0</v>
      </c>
      <c r="AB367" s="68" t="n">
        <v>0</v>
      </c>
      <c r="AC367" s="68" t="n">
        <v>0</v>
      </c>
      <c r="AD367" s="68" t="n">
        <v>0</v>
      </c>
      <c r="AE367" s="68" t="n">
        <v>0</v>
      </c>
      <c r="AF367" s="79" t="n">
        <v>0</v>
      </c>
      <c r="AG367" s="74" t="n">
        <v>0</v>
      </c>
      <c r="AH367" s="83" t="n">
        <v>365</v>
      </c>
    </row>
    <row r="368" ht="18" customHeight="1">
      <c r="C368" s="68">
        <f>_xlfn.XLOOKUP($A368,'01'!$G$3:$G$100,'01'!$R$3:$R$100,"-")</f>
        <v/>
      </c>
      <c r="D368" s="68">
        <f>_xlfn.XLOOKUP($A368,'02'!$G$3:$G$100,'02'!$R$3:$R$100,"-")</f>
        <v/>
      </c>
      <c r="E368" s="68">
        <f>_xlfn.XLOOKUP($A368,'03'!$G$3:$G$100,'03'!$R$3:$R$100,"-")</f>
        <v/>
      </c>
      <c r="F368" s="68">
        <f>_xlfn.XLOOKUP($A368,'04'!$G$3:$G$100,'04'!$R$3:$R$100,"-")</f>
        <v/>
      </c>
      <c r="G368" s="68">
        <f>_xlfn.XLOOKUP($A368,'05'!$G$3:$G$100,'05'!$R$3:$R$100,"-")</f>
        <v/>
      </c>
      <c r="H368" s="68">
        <f>_xlfn.XLOOKUP($A368,'06'!$G$3:$G$100,'06'!$R$3:$R$100,"-")</f>
        <v/>
      </c>
      <c r="I368" s="68">
        <f>_xlfn.XLOOKUP($A368,'07'!$G$3:$G$100,'07'!$R$3:$R$100,"-")</f>
        <v/>
      </c>
      <c r="J368" s="68">
        <f>_xlfn.XLOOKUP($A368,'08'!$G$3:$G$100,'08'!$R$3:$R$100,"-")</f>
        <v/>
      </c>
      <c r="K368" s="68">
        <f>_xlfn.XLOOKUP($A368,'09'!$G$3:$G$100,'09'!$R$3:$R$100,"-")</f>
        <v/>
      </c>
      <c r="L368" s="68">
        <f>_xlfn.XLOOKUP($A368,'10'!$G$3:$G$100,'10'!$R$3:$R$100,"-")</f>
        <v/>
      </c>
      <c r="M368" s="68">
        <f>_xlfn.XLOOKUP($A368,'11'!$G$3:$G$100,'11'!$R$3:$R$100,"-")</f>
        <v/>
      </c>
      <c r="N368" s="68">
        <f>_xlfn.XLOOKUP($A368,'12'!$G$3:$G$100,'12'!$R$3:$R$100,"-")</f>
        <v/>
      </c>
      <c r="O368" s="79">
        <f>SUM(C368:N368)</f>
        <v/>
      </c>
      <c r="P368" s="74" t="n"/>
      <c r="Q368" s="82" t="n">
        <v>366</v>
      </c>
      <c r="R368" s="38" t="n"/>
      <c r="S368" s="61" t="n">
        <v>0</v>
      </c>
      <c r="T368" s="68" t="n">
        <v>0</v>
      </c>
      <c r="U368" s="68" t="n">
        <v>0</v>
      </c>
      <c r="V368" s="68" t="n">
        <v>0</v>
      </c>
      <c r="W368" s="68" t="n">
        <v>0</v>
      </c>
      <c r="X368" s="68" t="n">
        <v>0</v>
      </c>
      <c r="Y368" s="68" t="n">
        <v>0</v>
      </c>
      <c r="Z368" s="68" t="n">
        <v>0</v>
      </c>
      <c r="AA368" s="68" t="n">
        <v>0</v>
      </c>
      <c r="AB368" s="68" t="n">
        <v>0</v>
      </c>
      <c r="AC368" s="68" t="n">
        <v>0</v>
      </c>
      <c r="AD368" s="68" t="n">
        <v>0</v>
      </c>
      <c r="AE368" s="68" t="n">
        <v>0</v>
      </c>
      <c r="AF368" s="79" t="n">
        <v>0</v>
      </c>
      <c r="AG368" s="74" t="n">
        <v>0</v>
      </c>
      <c r="AH368" s="82" t="n">
        <v>366</v>
      </c>
    </row>
    <row r="369" ht="18" customHeight="1">
      <c r="C369" s="68">
        <f>_xlfn.XLOOKUP($A369,'01'!$G$3:$G$100,'01'!$R$3:$R$100,"-")</f>
        <v/>
      </c>
      <c r="D369" s="68">
        <f>_xlfn.XLOOKUP($A369,'02'!$G$3:$G$100,'02'!$R$3:$R$100,"-")</f>
        <v/>
      </c>
      <c r="E369" s="68">
        <f>_xlfn.XLOOKUP($A369,'03'!$G$3:$G$100,'03'!$R$3:$R$100,"-")</f>
        <v/>
      </c>
      <c r="F369" s="68">
        <f>_xlfn.XLOOKUP($A369,'04'!$G$3:$G$100,'04'!$R$3:$R$100,"-")</f>
        <v/>
      </c>
      <c r="G369" s="68">
        <f>_xlfn.XLOOKUP($A369,'05'!$G$3:$G$100,'05'!$R$3:$R$100,"-")</f>
        <v/>
      </c>
      <c r="H369" s="68">
        <f>_xlfn.XLOOKUP($A369,'06'!$G$3:$G$100,'06'!$R$3:$R$100,"-")</f>
        <v/>
      </c>
      <c r="I369" s="68">
        <f>_xlfn.XLOOKUP($A369,'07'!$G$3:$G$100,'07'!$R$3:$R$100,"-")</f>
        <v/>
      </c>
      <c r="J369" s="68">
        <f>_xlfn.XLOOKUP($A369,'08'!$G$3:$G$100,'08'!$R$3:$R$100,"-")</f>
        <v/>
      </c>
      <c r="K369" s="68">
        <f>_xlfn.XLOOKUP($A369,'09'!$G$3:$G$100,'09'!$R$3:$R$100,"-")</f>
        <v/>
      </c>
      <c r="L369" s="68">
        <f>_xlfn.XLOOKUP($A369,'10'!$G$3:$G$100,'10'!$R$3:$R$100,"-")</f>
        <v/>
      </c>
      <c r="M369" s="68">
        <f>_xlfn.XLOOKUP($A369,'11'!$G$3:$G$100,'11'!$R$3:$R$100,"-")</f>
        <v/>
      </c>
      <c r="N369" s="68">
        <f>_xlfn.XLOOKUP($A369,'12'!$G$3:$G$100,'12'!$R$3:$R$100,"-")</f>
        <v/>
      </c>
      <c r="O369" s="79">
        <f>SUM(C369:N369)</f>
        <v/>
      </c>
      <c r="P369" s="74" t="n"/>
      <c r="Q369" s="82" t="n">
        <v>367</v>
      </c>
      <c r="R369" s="38" t="n"/>
      <c r="S369" s="61" t="n">
        <v>0</v>
      </c>
      <c r="T369" s="68" t="n">
        <v>0</v>
      </c>
      <c r="U369" s="68" t="n">
        <v>0</v>
      </c>
      <c r="V369" s="68" t="n">
        <v>0</v>
      </c>
      <c r="W369" s="68" t="n">
        <v>0</v>
      </c>
      <c r="X369" s="68" t="n">
        <v>0</v>
      </c>
      <c r="Y369" s="68" t="n">
        <v>0</v>
      </c>
      <c r="Z369" s="68" t="n">
        <v>0</v>
      </c>
      <c r="AA369" s="68" t="n">
        <v>0</v>
      </c>
      <c r="AB369" s="68" t="n">
        <v>0</v>
      </c>
      <c r="AC369" s="68" t="n">
        <v>0</v>
      </c>
      <c r="AD369" s="68" t="n">
        <v>0</v>
      </c>
      <c r="AE369" s="68" t="n">
        <v>0</v>
      </c>
      <c r="AF369" s="79" t="n">
        <v>0</v>
      </c>
      <c r="AG369" s="74" t="n">
        <v>0</v>
      </c>
      <c r="AH369" s="82" t="n">
        <v>367</v>
      </c>
    </row>
    <row r="370" ht="18" customHeight="1">
      <c r="C370" s="68">
        <f>_xlfn.XLOOKUP($A370,'01'!$G$3:$G$100,'01'!$R$3:$R$100,"-")</f>
        <v/>
      </c>
      <c r="D370" s="68">
        <f>_xlfn.XLOOKUP($A370,'02'!$G$3:$G$100,'02'!$R$3:$R$100,"-")</f>
        <v/>
      </c>
      <c r="E370" s="68">
        <f>_xlfn.XLOOKUP($A370,'03'!$G$3:$G$100,'03'!$R$3:$R$100,"-")</f>
        <v/>
      </c>
      <c r="F370" s="68">
        <f>_xlfn.XLOOKUP($A370,'04'!$G$3:$G$100,'04'!$R$3:$R$100,"-")</f>
        <v/>
      </c>
      <c r="G370" s="68">
        <f>_xlfn.XLOOKUP($A370,'05'!$G$3:$G$100,'05'!$R$3:$R$100,"-")</f>
        <v/>
      </c>
      <c r="H370" s="68">
        <f>_xlfn.XLOOKUP($A370,'06'!$G$3:$G$100,'06'!$R$3:$R$100,"-")</f>
        <v/>
      </c>
      <c r="I370" s="68">
        <f>_xlfn.XLOOKUP($A370,'07'!$G$3:$G$100,'07'!$R$3:$R$100,"-")</f>
        <v/>
      </c>
      <c r="J370" s="68">
        <f>_xlfn.XLOOKUP($A370,'08'!$G$3:$G$100,'08'!$R$3:$R$100,"-")</f>
        <v/>
      </c>
      <c r="K370" s="68">
        <f>_xlfn.XLOOKUP($A370,'09'!$G$3:$G$100,'09'!$R$3:$R$100,"-")</f>
        <v/>
      </c>
      <c r="L370" s="68">
        <f>_xlfn.XLOOKUP($A370,'10'!$G$3:$G$100,'10'!$R$3:$R$100,"-")</f>
        <v/>
      </c>
      <c r="M370" s="68">
        <f>_xlfn.XLOOKUP($A370,'11'!$G$3:$G$100,'11'!$R$3:$R$100,"-")</f>
        <v/>
      </c>
      <c r="N370" s="68">
        <f>_xlfn.XLOOKUP($A370,'12'!$G$3:$G$100,'12'!$R$3:$R$100,"-")</f>
        <v/>
      </c>
      <c r="O370" s="79">
        <f>SUM(C370:N370)</f>
        <v/>
      </c>
      <c r="P370" s="74" t="n"/>
      <c r="Q370" s="82" t="n">
        <v>368</v>
      </c>
      <c r="R370" s="38" t="n"/>
      <c r="S370" s="61" t="n">
        <v>0</v>
      </c>
      <c r="T370" s="68" t="n">
        <v>0</v>
      </c>
      <c r="U370" s="68" t="n">
        <v>0</v>
      </c>
      <c r="V370" s="68" t="n">
        <v>0</v>
      </c>
      <c r="W370" s="68" t="n">
        <v>0</v>
      </c>
      <c r="X370" s="68" t="n">
        <v>0</v>
      </c>
      <c r="Y370" s="68" t="n">
        <v>0</v>
      </c>
      <c r="Z370" s="68" t="n">
        <v>0</v>
      </c>
      <c r="AA370" s="68" t="n">
        <v>0</v>
      </c>
      <c r="AB370" s="68" t="n">
        <v>0</v>
      </c>
      <c r="AC370" s="68" t="n">
        <v>0</v>
      </c>
      <c r="AD370" s="68" t="n">
        <v>0</v>
      </c>
      <c r="AE370" s="68" t="n">
        <v>0</v>
      </c>
      <c r="AF370" s="79" t="n">
        <v>0</v>
      </c>
      <c r="AG370" s="74" t="n">
        <v>0</v>
      </c>
      <c r="AH370" s="82" t="n">
        <v>368</v>
      </c>
    </row>
    <row r="371" ht="18" customHeight="1">
      <c r="C371" s="68">
        <f>_xlfn.XLOOKUP($A371,'01'!$G$3:$G$100,'01'!$R$3:$R$100,"-")</f>
        <v/>
      </c>
      <c r="D371" s="68">
        <f>_xlfn.XLOOKUP($A371,'02'!$G$3:$G$100,'02'!$R$3:$R$100,"-")</f>
        <v/>
      </c>
      <c r="E371" s="68">
        <f>_xlfn.XLOOKUP($A371,'03'!$G$3:$G$100,'03'!$R$3:$R$100,"-")</f>
        <v/>
      </c>
      <c r="F371" s="68">
        <f>_xlfn.XLOOKUP($A371,'04'!$G$3:$G$100,'04'!$R$3:$R$100,"-")</f>
        <v/>
      </c>
      <c r="G371" s="68">
        <f>_xlfn.XLOOKUP($A371,'05'!$G$3:$G$100,'05'!$R$3:$R$100,"-")</f>
        <v/>
      </c>
      <c r="H371" s="68">
        <f>_xlfn.XLOOKUP($A371,'06'!$G$3:$G$100,'06'!$R$3:$R$100,"-")</f>
        <v/>
      </c>
      <c r="I371" s="68">
        <f>_xlfn.XLOOKUP($A371,'07'!$G$3:$G$100,'07'!$R$3:$R$100,"-")</f>
        <v/>
      </c>
      <c r="J371" s="68">
        <f>_xlfn.XLOOKUP($A371,'08'!$G$3:$G$100,'08'!$R$3:$R$100,"-")</f>
        <v/>
      </c>
      <c r="K371" s="68">
        <f>_xlfn.XLOOKUP($A371,'09'!$G$3:$G$100,'09'!$R$3:$R$100,"-")</f>
        <v/>
      </c>
      <c r="L371" s="68">
        <f>_xlfn.XLOOKUP($A371,'10'!$G$3:$G$100,'10'!$R$3:$R$100,"-")</f>
        <v/>
      </c>
      <c r="M371" s="68">
        <f>_xlfn.XLOOKUP($A371,'11'!$G$3:$G$100,'11'!$R$3:$R$100,"-")</f>
        <v/>
      </c>
      <c r="N371" s="68">
        <f>_xlfn.XLOOKUP($A371,'12'!$G$3:$G$100,'12'!$R$3:$R$100,"-")</f>
        <v/>
      </c>
      <c r="O371" s="79">
        <f>SUM(C371:N371)</f>
        <v/>
      </c>
      <c r="P371" s="74" t="n"/>
      <c r="Q371" s="82" t="n">
        <v>369</v>
      </c>
      <c r="R371" s="38" t="n"/>
      <c r="S371" s="61" t="n">
        <v>0</v>
      </c>
      <c r="T371" s="68" t="n">
        <v>0</v>
      </c>
      <c r="U371" s="68" t="n">
        <v>0</v>
      </c>
      <c r="V371" s="68" t="n">
        <v>0</v>
      </c>
      <c r="W371" s="68" t="n">
        <v>0</v>
      </c>
      <c r="X371" s="68" t="n">
        <v>0</v>
      </c>
      <c r="Y371" s="68" t="n">
        <v>0</v>
      </c>
      <c r="Z371" s="68" t="n">
        <v>0</v>
      </c>
      <c r="AA371" s="68" t="n">
        <v>0</v>
      </c>
      <c r="AB371" s="68" t="n">
        <v>0</v>
      </c>
      <c r="AC371" s="68" t="n">
        <v>0</v>
      </c>
      <c r="AD371" s="68" t="n">
        <v>0</v>
      </c>
      <c r="AE371" s="68" t="n">
        <v>0</v>
      </c>
      <c r="AF371" s="79" t="n">
        <v>0</v>
      </c>
      <c r="AG371" s="74" t="n">
        <v>0</v>
      </c>
      <c r="AH371" s="82" t="n">
        <v>369</v>
      </c>
    </row>
    <row r="372" ht="18" customHeight="1">
      <c r="C372" s="68">
        <f>_xlfn.XLOOKUP($A372,'01'!$G$3:$G$100,'01'!$R$3:$R$100,"-")</f>
        <v/>
      </c>
      <c r="D372" s="68">
        <f>_xlfn.XLOOKUP($A372,'02'!$G$3:$G$100,'02'!$R$3:$R$100,"-")</f>
        <v/>
      </c>
      <c r="E372" s="68">
        <f>_xlfn.XLOOKUP($A372,'03'!$G$3:$G$100,'03'!$R$3:$R$100,"-")</f>
        <v/>
      </c>
      <c r="F372" s="68">
        <f>_xlfn.XLOOKUP($A372,'04'!$G$3:$G$100,'04'!$R$3:$R$100,"-")</f>
        <v/>
      </c>
      <c r="G372" s="68">
        <f>_xlfn.XLOOKUP($A372,'05'!$G$3:$G$100,'05'!$R$3:$R$100,"-")</f>
        <v/>
      </c>
      <c r="H372" s="68">
        <f>_xlfn.XLOOKUP($A372,'06'!$G$3:$G$100,'06'!$R$3:$R$100,"-")</f>
        <v/>
      </c>
      <c r="I372" s="68">
        <f>_xlfn.XLOOKUP($A372,'07'!$G$3:$G$100,'07'!$R$3:$R$100,"-")</f>
        <v/>
      </c>
      <c r="J372" s="68">
        <f>_xlfn.XLOOKUP($A372,'08'!$G$3:$G$100,'08'!$R$3:$R$100,"-")</f>
        <v/>
      </c>
      <c r="K372" s="68">
        <f>_xlfn.XLOOKUP($A372,'09'!$G$3:$G$100,'09'!$R$3:$R$100,"-")</f>
        <v/>
      </c>
      <c r="L372" s="68">
        <f>_xlfn.XLOOKUP($A372,'10'!$G$3:$G$100,'10'!$R$3:$R$100,"-")</f>
        <v/>
      </c>
      <c r="M372" s="68">
        <f>_xlfn.XLOOKUP($A372,'11'!$G$3:$G$100,'11'!$R$3:$R$100,"-")</f>
        <v/>
      </c>
      <c r="N372" s="68">
        <f>_xlfn.XLOOKUP($A372,'12'!$G$3:$G$100,'12'!$R$3:$R$100,"-")</f>
        <v/>
      </c>
      <c r="O372" s="79">
        <f>SUM(C372:N372)</f>
        <v/>
      </c>
      <c r="P372" s="74" t="n"/>
      <c r="Q372" s="82" t="n">
        <v>370</v>
      </c>
      <c r="R372" s="38" t="n"/>
      <c r="S372" s="61" t="n">
        <v>0</v>
      </c>
      <c r="T372" s="68" t="n">
        <v>0</v>
      </c>
      <c r="U372" s="68" t="n">
        <v>0</v>
      </c>
      <c r="V372" s="68" t="n">
        <v>0</v>
      </c>
      <c r="W372" s="68" t="n">
        <v>0</v>
      </c>
      <c r="X372" s="68" t="n">
        <v>0</v>
      </c>
      <c r="Y372" s="68" t="n">
        <v>0</v>
      </c>
      <c r="Z372" s="68" t="n">
        <v>0</v>
      </c>
      <c r="AA372" s="68" t="n">
        <v>0</v>
      </c>
      <c r="AB372" s="68" t="n">
        <v>0</v>
      </c>
      <c r="AC372" s="68" t="n">
        <v>0</v>
      </c>
      <c r="AD372" s="68" t="n">
        <v>0</v>
      </c>
      <c r="AE372" s="68" t="n">
        <v>0</v>
      </c>
      <c r="AF372" s="79" t="n">
        <v>0</v>
      </c>
      <c r="AG372" s="74" t="n">
        <v>0</v>
      </c>
      <c r="AH372" s="82" t="n">
        <v>370</v>
      </c>
    </row>
    <row r="373" ht="18" customHeight="1">
      <c r="C373" s="68">
        <f>_xlfn.XLOOKUP($A373,'01'!$G$3:$G$100,'01'!$R$3:$R$100,"-")</f>
        <v/>
      </c>
      <c r="D373" s="68">
        <f>_xlfn.XLOOKUP($A373,'02'!$G$3:$G$100,'02'!$R$3:$R$100,"-")</f>
        <v/>
      </c>
      <c r="E373" s="68">
        <f>_xlfn.XLOOKUP($A373,'03'!$G$3:$G$100,'03'!$R$3:$R$100,"-")</f>
        <v/>
      </c>
      <c r="F373" s="68">
        <f>_xlfn.XLOOKUP($A373,'04'!$G$3:$G$100,'04'!$R$3:$R$100,"-")</f>
        <v/>
      </c>
      <c r="G373" s="68">
        <f>_xlfn.XLOOKUP($A373,'05'!$G$3:$G$100,'05'!$R$3:$R$100,"-")</f>
        <v/>
      </c>
      <c r="H373" s="68">
        <f>_xlfn.XLOOKUP($A373,'06'!$G$3:$G$100,'06'!$R$3:$R$100,"-")</f>
        <v/>
      </c>
      <c r="I373" s="68">
        <f>_xlfn.XLOOKUP($A373,'07'!$G$3:$G$100,'07'!$R$3:$R$100,"-")</f>
        <v/>
      </c>
      <c r="J373" s="68">
        <f>_xlfn.XLOOKUP($A373,'08'!$G$3:$G$100,'08'!$R$3:$R$100,"-")</f>
        <v/>
      </c>
      <c r="K373" s="68">
        <f>_xlfn.XLOOKUP($A373,'09'!$G$3:$G$100,'09'!$R$3:$R$100,"-")</f>
        <v/>
      </c>
      <c r="L373" s="68">
        <f>_xlfn.XLOOKUP($A373,'10'!$G$3:$G$100,'10'!$R$3:$R$100,"-")</f>
        <v/>
      </c>
      <c r="M373" s="68">
        <f>_xlfn.XLOOKUP($A373,'11'!$G$3:$G$100,'11'!$R$3:$R$100,"-")</f>
        <v/>
      </c>
      <c r="N373" s="68">
        <f>_xlfn.XLOOKUP($A373,'12'!$G$3:$G$100,'12'!$R$3:$R$100,"-")</f>
        <v/>
      </c>
      <c r="O373" s="79">
        <f>SUM(C373:N373)</f>
        <v/>
      </c>
      <c r="P373" s="74" t="n"/>
      <c r="Q373" s="82" t="n">
        <v>371</v>
      </c>
      <c r="R373" s="38" t="n"/>
      <c r="S373" s="61" t="n">
        <v>0</v>
      </c>
      <c r="T373" s="68" t="n">
        <v>0</v>
      </c>
      <c r="U373" s="68" t="n">
        <v>0</v>
      </c>
      <c r="V373" s="68" t="n">
        <v>0</v>
      </c>
      <c r="W373" s="68" t="n">
        <v>0</v>
      </c>
      <c r="X373" s="68" t="n">
        <v>0</v>
      </c>
      <c r="Y373" s="68" t="n">
        <v>0</v>
      </c>
      <c r="Z373" s="68" t="n">
        <v>0</v>
      </c>
      <c r="AA373" s="68" t="n">
        <v>0</v>
      </c>
      <c r="AB373" s="68" t="n">
        <v>0</v>
      </c>
      <c r="AC373" s="68" t="n">
        <v>0</v>
      </c>
      <c r="AD373" s="68" t="n">
        <v>0</v>
      </c>
      <c r="AE373" s="68" t="n">
        <v>0</v>
      </c>
      <c r="AF373" s="79" t="n">
        <v>0</v>
      </c>
      <c r="AG373" s="74" t="n">
        <v>0</v>
      </c>
      <c r="AH373" s="82" t="n">
        <v>371</v>
      </c>
    </row>
    <row r="374" ht="18" customHeight="1">
      <c r="C374" s="68">
        <f>_xlfn.XLOOKUP($A374,'01'!$G$3:$G$100,'01'!$R$3:$R$100,"-")</f>
        <v/>
      </c>
      <c r="D374" s="68">
        <f>_xlfn.XLOOKUP($A374,'02'!$G$3:$G$100,'02'!$R$3:$R$100,"-")</f>
        <v/>
      </c>
      <c r="E374" s="68">
        <f>_xlfn.XLOOKUP($A374,'03'!$G$3:$G$100,'03'!$R$3:$R$100,"-")</f>
        <v/>
      </c>
      <c r="F374" s="68">
        <f>_xlfn.XLOOKUP($A374,'04'!$G$3:$G$100,'04'!$R$3:$R$100,"-")</f>
        <v/>
      </c>
      <c r="G374" s="68">
        <f>_xlfn.XLOOKUP($A374,'05'!$G$3:$G$100,'05'!$R$3:$R$100,"-")</f>
        <v/>
      </c>
      <c r="H374" s="68">
        <f>_xlfn.XLOOKUP($A374,'06'!$G$3:$G$100,'06'!$R$3:$R$100,"-")</f>
        <v/>
      </c>
      <c r="I374" s="68">
        <f>_xlfn.XLOOKUP($A374,'07'!$G$3:$G$100,'07'!$R$3:$R$100,"-")</f>
        <v/>
      </c>
      <c r="J374" s="68">
        <f>_xlfn.XLOOKUP($A374,'08'!$G$3:$G$100,'08'!$R$3:$R$100,"-")</f>
        <v/>
      </c>
      <c r="K374" s="68">
        <f>_xlfn.XLOOKUP($A374,'09'!$G$3:$G$100,'09'!$R$3:$R$100,"-")</f>
        <v/>
      </c>
      <c r="L374" s="68">
        <f>_xlfn.XLOOKUP($A374,'10'!$G$3:$G$100,'10'!$R$3:$R$100,"-")</f>
        <v/>
      </c>
      <c r="M374" s="68">
        <f>_xlfn.XLOOKUP($A374,'11'!$G$3:$G$100,'11'!$R$3:$R$100,"-")</f>
        <v/>
      </c>
      <c r="N374" s="68">
        <f>_xlfn.XLOOKUP($A374,'12'!$G$3:$G$100,'12'!$R$3:$R$100,"-")</f>
        <v/>
      </c>
      <c r="O374" s="79">
        <f>SUM(C374:N374)</f>
        <v/>
      </c>
      <c r="P374" s="74" t="n"/>
      <c r="Q374" s="82" t="n">
        <v>372</v>
      </c>
      <c r="R374" s="38" t="n"/>
      <c r="S374" s="61" t="n">
        <v>0</v>
      </c>
      <c r="T374" s="68" t="n">
        <v>0</v>
      </c>
      <c r="U374" s="68" t="n">
        <v>0</v>
      </c>
      <c r="V374" s="68" t="n">
        <v>0</v>
      </c>
      <c r="W374" s="68" t="n">
        <v>0</v>
      </c>
      <c r="X374" s="68" t="n">
        <v>0</v>
      </c>
      <c r="Y374" s="68" t="n">
        <v>0</v>
      </c>
      <c r="Z374" s="68" t="n">
        <v>0</v>
      </c>
      <c r="AA374" s="68" t="n">
        <v>0</v>
      </c>
      <c r="AB374" s="68" t="n">
        <v>0</v>
      </c>
      <c r="AC374" s="68" t="n">
        <v>0</v>
      </c>
      <c r="AD374" s="68" t="n">
        <v>0</v>
      </c>
      <c r="AE374" s="68" t="n">
        <v>0</v>
      </c>
      <c r="AF374" s="79" t="n">
        <v>0</v>
      </c>
      <c r="AG374" s="74" t="n">
        <v>0</v>
      </c>
      <c r="AH374" s="82" t="n">
        <v>372</v>
      </c>
    </row>
    <row r="375" ht="18" customHeight="1">
      <c r="C375" s="68">
        <f>_xlfn.XLOOKUP($A375,'01'!$G$3:$G$100,'01'!$R$3:$R$100,"-")</f>
        <v/>
      </c>
      <c r="D375" s="68">
        <f>_xlfn.XLOOKUP($A375,'02'!$G$3:$G$100,'02'!$R$3:$R$100,"-")</f>
        <v/>
      </c>
      <c r="E375" s="68">
        <f>_xlfn.XLOOKUP($A375,'03'!$G$3:$G$100,'03'!$R$3:$R$100,"-")</f>
        <v/>
      </c>
      <c r="F375" s="68">
        <f>_xlfn.XLOOKUP($A375,'04'!$G$3:$G$100,'04'!$R$3:$R$100,"-")</f>
        <v/>
      </c>
      <c r="G375" s="68">
        <f>_xlfn.XLOOKUP($A375,'05'!$G$3:$G$100,'05'!$R$3:$R$100,"-")</f>
        <v/>
      </c>
      <c r="H375" s="68">
        <f>_xlfn.XLOOKUP($A375,'06'!$G$3:$G$100,'06'!$R$3:$R$100,"-")</f>
        <v/>
      </c>
      <c r="I375" s="68">
        <f>_xlfn.XLOOKUP($A375,'07'!$G$3:$G$100,'07'!$R$3:$R$100,"-")</f>
        <v/>
      </c>
      <c r="J375" s="68">
        <f>_xlfn.XLOOKUP($A375,'08'!$G$3:$G$100,'08'!$R$3:$R$100,"-")</f>
        <v/>
      </c>
      <c r="K375" s="68">
        <f>_xlfn.XLOOKUP($A375,'09'!$G$3:$G$100,'09'!$R$3:$R$100,"-")</f>
        <v/>
      </c>
      <c r="L375" s="68">
        <f>_xlfn.XLOOKUP($A375,'10'!$G$3:$G$100,'10'!$R$3:$R$100,"-")</f>
        <v/>
      </c>
      <c r="M375" s="68">
        <f>_xlfn.XLOOKUP($A375,'11'!$G$3:$G$100,'11'!$R$3:$R$100,"-")</f>
        <v/>
      </c>
      <c r="N375" s="68">
        <f>_xlfn.XLOOKUP($A375,'12'!$G$3:$G$100,'12'!$R$3:$R$100,"-")</f>
        <v/>
      </c>
      <c r="O375" s="79">
        <f>SUM(C375:N375)</f>
        <v/>
      </c>
      <c r="P375" s="74" t="n"/>
      <c r="Q375" s="82" t="n">
        <v>373</v>
      </c>
      <c r="R375" s="38" t="n"/>
      <c r="S375" s="61" t="n">
        <v>0</v>
      </c>
      <c r="T375" s="68" t="n">
        <v>0</v>
      </c>
      <c r="U375" s="68" t="n">
        <v>0</v>
      </c>
      <c r="V375" s="68" t="n">
        <v>0</v>
      </c>
      <c r="W375" s="68" t="n">
        <v>0</v>
      </c>
      <c r="X375" s="68" t="n">
        <v>0</v>
      </c>
      <c r="Y375" s="68" t="n">
        <v>0</v>
      </c>
      <c r="Z375" s="68" t="n">
        <v>0</v>
      </c>
      <c r="AA375" s="68" t="n">
        <v>0</v>
      </c>
      <c r="AB375" s="68" t="n">
        <v>0</v>
      </c>
      <c r="AC375" s="68" t="n">
        <v>0</v>
      </c>
      <c r="AD375" s="68" t="n">
        <v>0</v>
      </c>
      <c r="AE375" s="68" t="n">
        <v>0</v>
      </c>
      <c r="AF375" s="79" t="n">
        <v>0</v>
      </c>
      <c r="AG375" s="74" t="n">
        <v>0</v>
      </c>
      <c r="AH375" s="82" t="n">
        <v>373</v>
      </c>
    </row>
    <row r="376" ht="18" customHeight="1">
      <c r="C376" s="68">
        <f>_xlfn.XLOOKUP($A376,'01'!$G$3:$G$100,'01'!$R$3:$R$100,"-")</f>
        <v/>
      </c>
      <c r="D376" s="68">
        <f>_xlfn.XLOOKUP($A376,'02'!$G$3:$G$100,'02'!$R$3:$R$100,"-")</f>
        <v/>
      </c>
      <c r="E376" s="68">
        <f>_xlfn.XLOOKUP($A376,'03'!$G$3:$G$100,'03'!$R$3:$R$100,"-")</f>
        <v/>
      </c>
      <c r="F376" s="68">
        <f>_xlfn.XLOOKUP($A376,'04'!$G$3:$G$100,'04'!$R$3:$R$100,"-")</f>
        <v/>
      </c>
      <c r="G376" s="68">
        <f>_xlfn.XLOOKUP($A376,'05'!$G$3:$G$100,'05'!$R$3:$R$100,"-")</f>
        <v/>
      </c>
      <c r="H376" s="68">
        <f>_xlfn.XLOOKUP($A376,'06'!$G$3:$G$100,'06'!$R$3:$R$100,"-")</f>
        <v/>
      </c>
      <c r="I376" s="68">
        <f>_xlfn.XLOOKUP($A376,'07'!$G$3:$G$100,'07'!$R$3:$R$100,"-")</f>
        <v/>
      </c>
      <c r="J376" s="68">
        <f>_xlfn.XLOOKUP($A376,'08'!$G$3:$G$100,'08'!$R$3:$R$100,"-")</f>
        <v/>
      </c>
      <c r="K376" s="68">
        <f>_xlfn.XLOOKUP($A376,'09'!$G$3:$G$100,'09'!$R$3:$R$100,"-")</f>
        <v/>
      </c>
      <c r="L376" s="68">
        <f>_xlfn.XLOOKUP($A376,'10'!$G$3:$G$100,'10'!$R$3:$R$100,"-")</f>
        <v/>
      </c>
      <c r="M376" s="68">
        <f>_xlfn.XLOOKUP($A376,'11'!$G$3:$G$100,'11'!$R$3:$R$100,"-")</f>
        <v/>
      </c>
      <c r="N376" s="68">
        <f>_xlfn.XLOOKUP($A376,'12'!$G$3:$G$100,'12'!$R$3:$R$100,"-")</f>
        <v/>
      </c>
      <c r="O376" s="79">
        <f>SUM(C376:N376)</f>
        <v/>
      </c>
      <c r="P376" s="74" t="n"/>
      <c r="Q376" s="82" t="n">
        <v>374</v>
      </c>
      <c r="R376" s="38" t="n"/>
      <c r="S376" s="61" t="n">
        <v>0</v>
      </c>
      <c r="T376" s="68" t="n">
        <v>0</v>
      </c>
      <c r="U376" s="68" t="n">
        <v>0</v>
      </c>
      <c r="V376" s="68" t="n">
        <v>0</v>
      </c>
      <c r="W376" s="68" t="n">
        <v>0</v>
      </c>
      <c r="X376" s="68" t="n">
        <v>0</v>
      </c>
      <c r="Y376" s="68" t="n">
        <v>0</v>
      </c>
      <c r="Z376" s="68" t="n">
        <v>0</v>
      </c>
      <c r="AA376" s="68" t="n">
        <v>0</v>
      </c>
      <c r="AB376" s="68" t="n">
        <v>0</v>
      </c>
      <c r="AC376" s="68" t="n">
        <v>0</v>
      </c>
      <c r="AD376" s="68" t="n">
        <v>0</v>
      </c>
      <c r="AE376" s="68" t="n">
        <v>0</v>
      </c>
      <c r="AF376" s="79" t="n">
        <v>0</v>
      </c>
      <c r="AG376" s="74" t="n">
        <v>0</v>
      </c>
      <c r="AH376" s="82" t="n">
        <v>374</v>
      </c>
    </row>
    <row r="377" ht="18" customHeight="1">
      <c r="C377" s="68">
        <f>_xlfn.XLOOKUP($A377,'01'!$G$3:$G$100,'01'!$R$3:$R$100,"-")</f>
        <v/>
      </c>
      <c r="D377" s="68">
        <f>_xlfn.XLOOKUP($A377,'02'!$G$3:$G$100,'02'!$R$3:$R$100,"-")</f>
        <v/>
      </c>
      <c r="E377" s="68">
        <f>_xlfn.XLOOKUP($A377,'03'!$G$3:$G$100,'03'!$R$3:$R$100,"-")</f>
        <v/>
      </c>
      <c r="F377" s="68">
        <f>_xlfn.XLOOKUP($A377,'04'!$G$3:$G$100,'04'!$R$3:$R$100,"-")</f>
        <v/>
      </c>
      <c r="G377" s="68">
        <f>_xlfn.XLOOKUP($A377,'05'!$G$3:$G$100,'05'!$R$3:$R$100,"-")</f>
        <v/>
      </c>
      <c r="H377" s="68">
        <f>_xlfn.XLOOKUP($A377,'06'!$G$3:$G$100,'06'!$R$3:$R$100,"-")</f>
        <v/>
      </c>
      <c r="I377" s="68">
        <f>_xlfn.XLOOKUP($A377,'07'!$G$3:$G$100,'07'!$R$3:$R$100,"-")</f>
        <v/>
      </c>
      <c r="J377" s="68">
        <f>_xlfn.XLOOKUP($A377,'08'!$G$3:$G$100,'08'!$R$3:$R$100,"-")</f>
        <v/>
      </c>
      <c r="K377" s="68">
        <f>_xlfn.XLOOKUP($A377,'09'!$G$3:$G$100,'09'!$R$3:$R$100,"-")</f>
        <v/>
      </c>
      <c r="L377" s="68">
        <f>_xlfn.XLOOKUP($A377,'10'!$G$3:$G$100,'10'!$R$3:$R$100,"-")</f>
        <v/>
      </c>
      <c r="M377" s="68">
        <f>_xlfn.XLOOKUP($A377,'11'!$G$3:$G$100,'11'!$R$3:$R$100,"-")</f>
        <v/>
      </c>
      <c r="N377" s="68">
        <f>_xlfn.XLOOKUP($A377,'12'!$G$3:$G$100,'12'!$R$3:$R$100,"-")</f>
        <v/>
      </c>
      <c r="O377" s="79">
        <f>SUM(C377:N377)</f>
        <v/>
      </c>
      <c r="P377" s="74" t="n"/>
      <c r="Q377" s="83" t="n">
        <v>375</v>
      </c>
      <c r="R377" s="38" t="n"/>
      <c r="S377" s="61" t="n">
        <v>0</v>
      </c>
      <c r="T377" s="68" t="n">
        <v>0</v>
      </c>
      <c r="U377" s="68" t="n">
        <v>0</v>
      </c>
      <c r="V377" s="68" t="n">
        <v>0</v>
      </c>
      <c r="W377" s="68" t="n">
        <v>0</v>
      </c>
      <c r="X377" s="68" t="n">
        <v>0</v>
      </c>
      <c r="Y377" s="68" t="n">
        <v>0</v>
      </c>
      <c r="Z377" s="68" t="n">
        <v>0</v>
      </c>
      <c r="AA377" s="68" t="n">
        <v>0</v>
      </c>
      <c r="AB377" s="68" t="n">
        <v>0</v>
      </c>
      <c r="AC377" s="68" t="n">
        <v>0</v>
      </c>
      <c r="AD377" s="68" t="n">
        <v>0</v>
      </c>
      <c r="AE377" s="68" t="n">
        <v>0</v>
      </c>
      <c r="AF377" s="79" t="n">
        <v>0</v>
      </c>
      <c r="AG377" s="74" t="n">
        <v>0</v>
      </c>
      <c r="AH377" s="83" t="n">
        <v>375</v>
      </c>
    </row>
    <row r="378" ht="18" customHeight="1">
      <c r="C378" s="68">
        <f>_xlfn.XLOOKUP($A378,'01'!$G$3:$G$100,'01'!$R$3:$R$100,"-")</f>
        <v/>
      </c>
      <c r="D378" s="68">
        <f>_xlfn.XLOOKUP($A378,'02'!$G$3:$G$100,'02'!$R$3:$R$100,"-")</f>
        <v/>
      </c>
      <c r="E378" s="68">
        <f>_xlfn.XLOOKUP($A378,'03'!$G$3:$G$100,'03'!$R$3:$R$100,"-")</f>
        <v/>
      </c>
      <c r="F378" s="68">
        <f>_xlfn.XLOOKUP($A378,'04'!$G$3:$G$100,'04'!$R$3:$R$100,"-")</f>
        <v/>
      </c>
      <c r="G378" s="68">
        <f>_xlfn.XLOOKUP($A378,'05'!$G$3:$G$100,'05'!$R$3:$R$100,"-")</f>
        <v/>
      </c>
      <c r="H378" s="68">
        <f>_xlfn.XLOOKUP($A378,'06'!$G$3:$G$100,'06'!$R$3:$R$100,"-")</f>
        <v/>
      </c>
      <c r="I378" s="68">
        <f>_xlfn.XLOOKUP($A378,'07'!$G$3:$G$100,'07'!$R$3:$R$100,"-")</f>
        <v/>
      </c>
      <c r="J378" s="68">
        <f>_xlfn.XLOOKUP($A378,'08'!$G$3:$G$100,'08'!$R$3:$R$100,"-")</f>
        <v/>
      </c>
      <c r="K378" s="68">
        <f>_xlfn.XLOOKUP($A378,'09'!$G$3:$G$100,'09'!$R$3:$R$100,"-")</f>
        <v/>
      </c>
      <c r="L378" s="68">
        <f>_xlfn.XLOOKUP($A378,'10'!$G$3:$G$100,'10'!$R$3:$R$100,"-")</f>
        <v/>
      </c>
      <c r="M378" s="68">
        <f>_xlfn.XLOOKUP($A378,'11'!$G$3:$G$100,'11'!$R$3:$R$100,"-")</f>
        <v/>
      </c>
      <c r="N378" s="68">
        <f>_xlfn.XLOOKUP($A378,'12'!$G$3:$G$100,'12'!$R$3:$R$100,"-")</f>
        <v/>
      </c>
      <c r="O378" s="79">
        <f>SUM(C378:N378)</f>
        <v/>
      </c>
      <c r="P378" s="74" t="n"/>
      <c r="Q378" s="82" t="n">
        <v>376</v>
      </c>
      <c r="R378" s="38" t="n"/>
      <c r="S378" s="61" t="n">
        <v>0</v>
      </c>
      <c r="T378" s="68" t="n">
        <v>0</v>
      </c>
      <c r="U378" s="68" t="n">
        <v>0</v>
      </c>
      <c r="V378" s="68" t="n">
        <v>0</v>
      </c>
      <c r="W378" s="68" t="n">
        <v>0</v>
      </c>
      <c r="X378" s="68" t="n">
        <v>0</v>
      </c>
      <c r="Y378" s="68" t="n">
        <v>0</v>
      </c>
      <c r="Z378" s="68" t="n">
        <v>0</v>
      </c>
      <c r="AA378" s="68" t="n">
        <v>0</v>
      </c>
      <c r="AB378" s="68" t="n">
        <v>0</v>
      </c>
      <c r="AC378" s="68" t="n">
        <v>0</v>
      </c>
      <c r="AD378" s="68" t="n">
        <v>0</v>
      </c>
      <c r="AE378" s="68" t="n">
        <v>0</v>
      </c>
      <c r="AF378" s="79" t="n">
        <v>0</v>
      </c>
      <c r="AG378" s="74" t="n">
        <v>0</v>
      </c>
      <c r="AH378" s="82" t="n">
        <v>376</v>
      </c>
    </row>
    <row r="379" ht="18" customHeight="1">
      <c r="C379" s="68">
        <f>_xlfn.XLOOKUP($A379,'01'!$G$3:$G$100,'01'!$R$3:$R$100,"-")</f>
        <v/>
      </c>
      <c r="D379" s="68">
        <f>_xlfn.XLOOKUP($A379,'02'!$G$3:$G$100,'02'!$R$3:$R$100,"-")</f>
        <v/>
      </c>
      <c r="E379" s="68">
        <f>_xlfn.XLOOKUP($A379,'03'!$G$3:$G$100,'03'!$R$3:$R$100,"-")</f>
        <v/>
      </c>
      <c r="F379" s="68">
        <f>_xlfn.XLOOKUP($A379,'04'!$G$3:$G$100,'04'!$R$3:$R$100,"-")</f>
        <v/>
      </c>
      <c r="G379" s="68">
        <f>_xlfn.XLOOKUP($A379,'05'!$G$3:$G$100,'05'!$R$3:$R$100,"-")</f>
        <v/>
      </c>
      <c r="H379" s="68">
        <f>_xlfn.XLOOKUP($A379,'06'!$G$3:$G$100,'06'!$R$3:$R$100,"-")</f>
        <v/>
      </c>
      <c r="I379" s="68">
        <f>_xlfn.XLOOKUP($A379,'07'!$G$3:$G$100,'07'!$R$3:$R$100,"-")</f>
        <v/>
      </c>
      <c r="J379" s="68">
        <f>_xlfn.XLOOKUP($A379,'08'!$G$3:$G$100,'08'!$R$3:$R$100,"-")</f>
        <v/>
      </c>
      <c r="K379" s="68">
        <f>_xlfn.XLOOKUP($A379,'09'!$G$3:$G$100,'09'!$R$3:$R$100,"-")</f>
        <v/>
      </c>
      <c r="L379" s="68">
        <f>_xlfn.XLOOKUP($A379,'10'!$G$3:$G$100,'10'!$R$3:$R$100,"-")</f>
        <v/>
      </c>
      <c r="M379" s="68">
        <f>_xlfn.XLOOKUP($A379,'11'!$G$3:$G$100,'11'!$R$3:$R$100,"-")</f>
        <v/>
      </c>
      <c r="N379" s="68">
        <f>_xlfn.XLOOKUP($A379,'12'!$G$3:$G$100,'12'!$R$3:$R$100,"-")</f>
        <v/>
      </c>
      <c r="O379" s="79">
        <f>SUM(C379:N379)</f>
        <v/>
      </c>
      <c r="P379" s="74" t="n"/>
      <c r="Q379" s="82" t="n">
        <v>377</v>
      </c>
      <c r="R379" s="38" t="n"/>
      <c r="S379" s="61" t="n">
        <v>0</v>
      </c>
      <c r="T379" s="68" t="n">
        <v>0</v>
      </c>
      <c r="U379" s="68" t="n">
        <v>0</v>
      </c>
      <c r="V379" s="68" t="n">
        <v>0</v>
      </c>
      <c r="W379" s="68" t="n">
        <v>0</v>
      </c>
      <c r="X379" s="68" t="n">
        <v>0</v>
      </c>
      <c r="Y379" s="68" t="n">
        <v>0</v>
      </c>
      <c r="Z379" s="68" t="n">
        <v>0</v>
      </c>
      <c r="AA379" s="68" t="n">
        <v>0</v>
      </c>
      <c r="AB379" s="68" t="n">
        <v>0</v>
      </c>
      <c r="AC379" s="68" t="n">
        <v>0</v>
      </c>
      <c r="AD379" s="68" t="n">
        <v>0</v>
      </c>
      <c r="AE379" s="68" t="n">
        <v>0</v>
      </c>
      <c r="AF379" s="79" t="n">
        <v>0</v>
      </c>
      <c r="AG379" s="74" t="n">
        <v>0</v>
      </c>
      <c r="AH379" s="82" t="n">
        <v>377</v>
      </c>
    </row>
    <row r="380" ht="18" customHeight="1">
      <c r="C380" s="68">
        <f>_xlfn.XLOOKUP($A380,'01'!$G$3:$G$100,'01'!$R$3:$R$100,"-")</f>
        <v/>
      </c>
      <c r="D380" s="68">
        <f>_xlfn.XLOOKUP($A380,'02'!$G$3:$G$100,'02'!$R$3:$R$100,"-")</f>
        <v/>
      </c>
      <c r="E380" s="68">
        <f>_xlfn.XLOOKUP($A380,'03'!$G$3:$G$100,'03'!$R$3:$R$100,"-")</f>
        <v/>
      </c>
      <c r="F380" s="68">
        <f>_xlfn.XLOOKUP($A380,'04'!$G$3:$G$100,'04'!$R$3:$R$100,"-")</f>
        <v/>
      </c>
      <c r="G380" s="68">
        <f>_xlfn.XLOOKUP($A380,'05'!$G$3:$G$100,'05'!$R$3:$R$100,"-")</f>
        <v/>
      </c>
      <c r="H380" s="68">
        <f>_xlfn.XLOOKUP($A380,'06'!$G$3:$G$100,'06'!$R$3:$R$100,"-")</f>
        <v/>
      </c>
      <c r="I380" s="68">
        <f>_xlfn.XLOOKUP($A380,'07'!$G$3:$G$100,'07'!$R$3:$R$100,"-")</f>
        <v/>
      </c>
      <c r="J380" s="68">
        <f>_xlfn.XLOOKUP($A380,'08'!$G$3:$G$100,'08'!$R$3:$R$100,"-")</f>
        <v/>
      </c>
      <c r="K380" s="68">
        <f>_xlfn.XLOOKUP($A380,'09'!$G$3:$G$100,'09'!$R$3:$R$100,"-")</f>
        <v/>
      </c>
      <c r="L380" s="68">
        <f>_xlfn.XLOOKUP($A380,'10'!$G$3:$G$100,'10'!$R$3:$R$100,"-")</f>
        <v/>
      </c>
      <c r="M380" s="68">
        <f>_xlfn.XLOOKUP($A380,'11'!$G$3:$G$100,'11'!$R$3:$R$100,"-")</f>
        <v/>
      </c>
      <c r="N380" s="68">
        <f>_xlfn.XLOOKUP($A380,'12'!$G$3:$G$100,'12'!$R$3:$R$100,"-")</f>
        <v/>
      </c>
      <c r="O380" s="79">
        <f>SUM(C380:N380)</f>
        <v/>
      </c>
      <c r="P380" s="74" t="n"/>
      <c r="Q380" s="82" t="n">
        <v>378</v>
      </c>
      <c r="R380" s="38" t="n"/>
      <c r="S380" s="61" t="n">
        <v>0</v>
      </c>
      <c r="T380" s="68" t="n">
        <v>0</v>
      </c>
      <c r="U380" s="68" t="n">
        <v>0</v>
      </c>
      <c r="V380" s="68" t="n">
        <v>0</v>
      </c>
      <c r="W380" s="68" t="n">
        <v>0</v>
      </c>
      <c r="X380" s="68" t="n">
        <v>0</v>
      </c>
      <c r="Y380" s="68" t="n">
        <v>0</v>
      </c>
      <c r="Z380" s="68" t="n">
        <v>0</v>
      </c>
      <c r="AA380" s="68" t="n">
        <v>0</v>
      </c>
      <c r="AB380" s="68" t="n">
        <v>0</v>
      </c>
      <c r="AC380" s="68" t="n">
        <v>0</v>
      </c>
      <c r="AD380" s="68" t="n">
        <v>0</v>
      </c>
      <c r="AE380" s="68" t="n">
        <v>0</v>
      </c>
      <c r="AF380" s="79" t="n">
        <v>0</v>
      </c>
      <c r="AG380" s="74" t="n">
        <v>0</v>
      </c>
      <c r="AH380" s="82" t="n">
        <v>378</v>
      </c>
    </row>
    <row r="381" ht="18" customHeight="1">
      <c r="C381" s="68">
        <f>_xlfn.XLOOKUP($A381,'01'!$G$3:$G$100,'01'!$R$3:$R$100,"-")</f>
        <v/>
      </c>
      <c r="D381" s="68">
        <f>_xlfn.XLOOKUP($A381,'02'!$G$3:$G$100,'02'!$R$3:$R$100,"-")</f>
        <v/>
      </c>
      <c r="E381" s="68">
        <f>_xlfn.XLOOKUP($A381,'03'!$G$3:$G$100,'03'!$R$3:$R$100,"-")</f>
        <v/>
      </c>
      <c r="F381" s="68">
        <f>_xlfn.XLOOKUP($A381,'04'!$G$3:$G$100,'04'!$R$3:$R$100,"-")</f>
        <v/>
      </c>
      <c r="G381" s="68">
        <f>_xlfn.XLOOKUP($A381,'05'!$G$3:$G$100,'05'!$R$3:$R$100,"-")</f>
        <v/>
      </c>
      <c r="H381" s="68">
        <f>_xlfn.XLOOKUP($A381,'06'!$G$3:$G$100,'06'!$R$3:$R$100,"-")</f>
        <v/>
      </c>
      <c r="I381" s="68">
        <f>_xlfn.XLOOKUP($A381,'07'!$G$3:$G$100,'07'!$R$3:$R$100,"-")</f>
        <v/>
      </c>
      <c r="J381" s="68">
        <f>_xlfn.XLOOKUP($A381,'08'!$G$3:$G$100,'08'!$R$3:$R$100,"-")</f>
        <v/>
      </c>
      <c r="K381" s="68">
        <f>_xlfn.XLOOKUP($A381,'09'!$G$3:$G$100,'09'!$R$3:$R$100,"-")</f>
        <v/>
      </c>
      <c r="L381" s="68">
        <f>_xlfn.XLOOKUP($A381,'10'!$G$3:$G$100,'10'!$R$3:$R$100,"-")</f>
        <v/>
      </c>
      <c r="M381" s="68">
        <f>_xlfn.XLOOKUP($A381,'11'!$G$3:$G$100,'11'!$R$3:$R$100,"-")</f>
        <v/>
      </c>
      <c r="N381" s="68">
        <f>_xlfn.XLOOKUP($A381,'12'!$G$3:$G$100,'12'!$R$3:$R$100,"-")</f>
        <v/>
      </c>
      <c r="O381" s="79">
        <f>SUM(C381:N381)</f>
        <v/>
      </c>
      <c r="P381" s="74" t="n"/>
      <c r="Q381" s="82" t="n">
        <v>379</v>
      </c>
      <c r="R381" s="38" t="n"/>
      <c r="S381" s="61" t="n">
        <v>0</v>
      </c>
      <c r="T381" s="68" t="n">
        <v>0</v>
      </c>
      <c r="U381" s="68" t="n">
        <v>0</v>
      </c>
      <c r="V381" s="68" t="n">
        <v>0</v>
      </c>
      <c r="W381" s="68" t="n">
        <v>0</v>
      </c>
      <c r="X381" s="68" t="n">
        <v>0</v>
      </c>
      <c r="Y381" s="68" t="n">
        <v>0</v>
      </c>
      <c r="Z381" s="68" t="n">
        <v>0</v>
      </c>
      <c r="AA381" s="68" t="n">
        <v>0</v>
      </c>
      <c r="AB381" s="68" t="n">
        <v>0</v>
      </c>
      <c r="AC381" s="68" t="n">
        <v>0</v>
      </c>
      <c r="AD381" s="68" t="n">
        <v>0</v>
      </c>
      <c r="AE381" s="68" t="n">
        <v>0</v>
      </c>
      <c r="AF381" s="79" t="n">
        <v>0</v>
      </c>
      <c r="AG381" s="74" t="n">
        <v>0</v>
      </c>
      <c r="AH381" s="82" t="n">
        <v>379</v>
      </c>
    </row>
    <row r="382" ht="18" customHeight="1">
      <c r="C382" s="68">
        <f>_xlfn.XLOOKUP($A382,'01'!$G$3:$G$100,'01'!$R$3:$R$100,"-")</f>
        <v/>
      </c>
      <c r="D382" s="68">
        <f>_xlfn.XLOOKUP($A382,'02'!$G$3:$G$100,'02'!$R$3:$R$100,"-")</f>
        <v/>
      </c>
      <c r="E382" s="68">
        <f>_xlfn.XLOOKUP($A382,'03'!$G$3:$G$100,'03'!$R$3:$R$100,"-")</f>
        <v/>
      </c>
      <c r="F382" s="68">
        <f>_xlfn.XLOOKUP($A382,'04'!$G$3:$G$100,'04'!$R$3:$R$100,"-")</f>
        <v/>
      </c>
      <c r="G382" s="68">
        <f>_xlfn.XLOOKUP($A382,'05'!$G$3:$G$100,'05'!$R$3:$R$100,"-")</f>
        <v/>
      </c>
      <c r="H382" s="68">
        <f>_xlfn.XLOOKUP($A382,'06'!$G$3:$G$100,'06'!$R$3:$R$100,"-")</f>
        <v/>
      </c>
      <c r="I382" s="68">
        <f>_xlfn.XLOOKUP($A382,'07'!$G$3:$G$100,'07'!$R$3:$R$100,"-")</f>
        <v/>
      </c>
      <c r="J382" s="68">
        <f>_xlfn.XLOOKUP($A382,'08'!$G$3:$G$100,'08'!$R$3:$R$100,"-")</f>
        <v/>
      </c>
      <c r="K382" s="68">
        <f>_xlfn.XLOOKUP($A382,'09'!$G$3:$G$100,'09'!$R$3:$R$100,"-")</f>
        <v/>
      </c>
      <c r="L382" s="68">
        <f>_xlfn.XLOOKUP($A382,'10'!$G$3:$G$100,'10'!$R$3:$R$100,"-")</f>
        <v/>
      </c>
      <c r="M382" s="68">
        <f>_xlfn.XLOOKUP($A382,'11'!$G$3:$G$100,'11'!$R$3:$R$100,"-")</f>
        <v/>
      </c>
      <c r="N382" s="68">
        <f>_xlfn.XLOOKUP($A382,'12'!$G$3:$G$100,'12'!$R$3:$R$100,"-")</f>
        <v/>
      </c>
      <c r="O382" s="79">
        <f>SUM(C382:N382)</f>
        <v/>
      </c>
      <c r="P382" s="74" t="n"/>
      <c r="Q382" s="82" t="n">
        <v>380</v>
      </c>
      <c r="R382" s="38" t="n"/>
      <c r="S382" s="61" t="n">
        <v>0</v>
      </c>
      <c r="T382" s="68" t="n">
        <v>0</v>
      </c>
      <c r="U382" s="68" t="n">
        <v>0</v>
      </c>
      <c r="V382" s="68" t="n">
        <v>0</v>
      </c>
      <c r="W382" s="68" t="n">
        <v>0</v>
      </c>
      <c r="X382" s="68" t="n">
        <v>0</v>
      </c>
      <c r="Y382" s="68" t="n">
        <v>0</v>
      </c>
      <c r="Z382" s="68" t="n">
        <v>0</v>
      </c>
      <c r="AA382" s="68" t="n">
        <v>0</v>
      </c>
      <c r="AB382" s="68" t="n">
        <v>0</v>
      </c>
      <c r="AC382" s="68" t="n">
        <v>0</v>
      </c>
      <c r="AD382" s="68" t="n">
        <v>0</v>
      </c>
      <c r="AE382" s="68" t="n">
        <v>0</v>
      </c>
      <c r="AF382" s="79" t="n">
        <v>0</v>
      </c>
      <c r="AG382" s="74" t="n">
        <v>0</v>
      </c>
      <c r="AH382" s="82" t="n">
        <v>380</v>
      </c>
    </row>
    <row r="383" ht="18" customHeight="1">
      <c r="C383" s="68">
        <f>_xlfn.XLOOKUP($A383,'01'!$G$3:$G$100,'01'!$R$3:$R$100,"-")</f>
        <v/>
      </c>
      <c r="D383" s="68">
        <f>_xlfn.XLOOKUP($A383,'02'!$G$3:$G$100,'02'!$R$3:$R$100,"-")</f>
        <v/>
      </c>
      <c r="E383" s="68">
        <f>_xlfn.XLOOKUP($A383,'03'!$G$3:$G$100,'03'!$R$3:$R$100,"-")</f>
        <v/>
      </c>
      <c r="F383" s="68">
        <f>_xlfn.XLOOKUP($A383,'04'!$G$3:$G$100,'04'!$R$3:$R$100,"-")</f>
        <v/>
      </c>
      <c r="G383" s="68">
        <f>_xlfn.XLOOKUP($A383,'05'!$G$3:$G$100,'05'!$R$3:$R$100,"-")</f>
        <v/>
      </c>
      <c r="H383" s="68">
        <f>_xlfn.XLOOKUP($A383,'06'!$G$3:$G$100,'06'!$R$3:$R$100,"-")</f>
        <v/>
      </c>
      <c r="I383" s="68">
        <f>_xlfn.XLOOKUP($A383,'07'!$G$3:$G$100,'07'!$R$3:$R$100,"-")</f>
        <v/>
      </c>
      <c r="J383" s="68">
        <f>_xlfn.XLOOKUP($A383,'08'!$G$3:$G$100,'08'!$R$3:$R$100,"-")</f>
        <v/>
      </c>
      <c r="K383" s="68">
        <f>_xlfn.XLOOKUP($A383,'09'!$G$3:$G$100,'09'!$R$3:$R$100,"-")</f>
        <v/>
      </c>
      <c r="L383" s="68">
        <f>_xlfn.XLOOKUP($A383,'10'!$G$3:$G$100,'10'!$R$3:$R$100,"-")</f>
        <v/>
      </c>
      <c r="M383" s="68">
        <f>_xlfn.XLOOKUP($A383,'11'!$G$3:$G$100,'11'!$R$3:$R$100,"-")</f>
        <v/>
      </c>
      <c r="N383" s="68">
        <f>_xlfn.XLOOKUP($A383,'12'!$G$3:$G$100,'12'!$R$3:$R$100,"-")</f>
        <v/>
      </c>
      <c r="O383" s="79">
        <f>SUM(C383:N383)</f>
        <v/>
      </c>
      <c r="P383" s="74" t="n"/>
      <c r="Q383" s="82" t="n">
        <v>381</v>
      </c>
      <c r="R383" s="38" t="n"/>
      <c r="S383" s="61" t="n">
        <v>0</v>
      </c>
      <c r="T383" s="68" t="n">
        <v>0</v>
      </c>
      <c r="U383" s="68" t="n">
        <v>0</v>
      </c>
      <c r="V383" s="68" t="n">
        <v>0</v>
      </c>
      <c r="W383" s="68" t="n">
        <v>0</v>
      </c>
      <c r="X383" s="68" t="n">
        <v>0</v>
      </c>
      <c r="Y383" s="68" t="n">
        <v>0</v>
      </c>
      <c r="Z383" s="68" t="n">
        <v>0</v>
      </c>
      <c r="AA383" s="68" t="n">
        <v>0</v>
      </c>
      <c r="AB383" s="68" t="n">
        <v>0</v>
      </c>
      <c r="AC383" s="68" t="n">
        <v>0</v>
      </c>
      <c r="AD383" s="68" t="n">
        <v>0</v>
      </c>
      <c r="AE383" s="68" t="n">
        <v>0</v>
      </c>
      <c r="AF383" s="79" t="n">
        <v>0</v>
      </c>
      <c r="AG383" s="74" t="n">
        <v>0</v>
      </c>
      <c r="AH383" s="82" t="n">
        <v>381</v>
      </c>
    </row>
    <row r="384" ht="18" customHeight="1">
      <c r="C384" s="68">
        <f>_xlfn.XLOOKUP($A384,'01'!$G$3:$G$100,'01'!$R$3:$R$100,"-")</f>
        <v/>
      </c>
      <c r="D384" s="68">
        <f>_xlfn.XLOOKUP($A384,'02'!$G$3:$G$100,'02'!$R$3:$R$100,"-")</f>
        <v/>
      </c>
      <c r="E384" s="68">
        <f>_xlfn.XLOOKUP($A384,'03'!$G$3:$G$100,'03'!$R$3:$R$100,"-")</f>
        <v/>
      </c>
      <c r="F384" s="68">
        <f>_xlfn.XLOOKUP($A384,'04'!$G$3:$G$100,'04'!$R$3:$R$100,"-")</f>
        <v/>
      </c>
      <c r="G384" s="68">
        <f>_xlfn.XLOOKUP($A384,'05'!$G$3:$G$100,'05'!$R$3:$R$100,"-")</f>
        <v/>
      </c>
      <c r="H384" s="68">
        <f>_xlfn.XLOOKUP($A384,'06'!$G$3:$G$100,'06'!$R$3:$R$100,"-")</f>
        <v/>
      </c>
      <c r="I384" s="68">
        <f>_xlfn.XLOOKUP($A384,'07'!$G$3:$G$100,'07'!$R$3:$R$100,"-")</f>
        <v/>
      </c>
      <c r="J384" s="68">
        <f>_xlfn.XLOOKUP($A384,'08'!$G$3:$G$100,'08'!$R$3:$R$100,"-")</f>
        <v/>
      </c>
      <c r="K384" s="68">
        <f>_xlfn.XLOOKUP($A384,'09'!$G$3:$G$100,'09'!$R$3:$R$100,"-")</f>
        <v/>
      </c>
      <c r="L384" s="68">
        <f>_xlfn.XLOOKUP($A384,'10'!$G$3:$G$100,'10'!$R$3:$R$100,"-")</f>
        <v/>
      </c>
      <c r="M384" s="68">
        <f>_xlfn.XLOOKUP($A384,'11'!$G$3:$G$100,'11'!$R$3:$R$100,"-")</f>
        <v/>
      </c>
      <c r="N384" s="68">
        <f>_xlfn.XLOOKUP($A384,'12'!$G$3:$G$100,'12'!$R$3:$R$100,"-")</f>
        <v/>
      </c>
      <c r="O384" s="79">
        <f>SUM(C384:N384)</f>
        <v/>
      </c>
      <c r="P384" s="74" t="n"/>
      <c r="Q384" s="82" t="n">
        <v>382</v>
      </c>
      <c r="R384" s="38" t="n"/>
      <c r="S384" s="61" t="n">
        <v>0</v>
      </c>
      <c r="T384" s="68" t="n">
        <v>0</v>
      </c>
      <c r="U384" s="68" t="n">
        <v>0</v>
      </c>
      <c r="V384" s="68" t="n">
        <v>0</v>
      </c>
      <c r="W384" s="68" t="n">
        <v>0</v>
      </c>
      <c r="X384" s="68" t="n">
        <v>0</v>
      </c>
      <c r="Y384" s="68" t="n">
        <v>0</v>
      </c>
      <c r="Z384" s="68" t="n">
        <v>0</v>
      </c>
      <c r="AA384" s="68" t="n">
        <v>0</v>
      </c>
      <c r="AB384" s="68" t="n">
        <v>0</v>
      </c>
      <c r="AC384" s="68" t="n">
        <v>0</v>
      </c>
      <c r="AD384" s="68" t="n">
        <v>0</v>
      </c>
      <c r="AE384" s="68" t="n">
        <v>0</v>
      </c>
      <c r="AF384" s="79" t="n">
        <v>0</v>
      </c>
      <c r="AG384" s="74" t="n">
        <v>0</v>
      </c>
      <c r="AH384" s="82" t="n">
        <v>382</v>
      </c>
    </row>
    <row r="385" ht="18" customHeight="1">
      <c r="C385" s="68">
        <f>_xlfn.XLOOKUP($A385,'01'!$G$3:$G$100,'01'!$R$3:$R$100,"-")</f>
        <v/>
      </c>
      <c r="D385" s="68">
        <f>_xlfn.XLOOKUP($A385,'02'!$G$3:$G$100,'02'!$R$3:$R$100,"-")</f>
        <v/>
      </c>
      <c r="E385" s="68">
        <f>_xlfn.XLOOKUP($A385,'03'!$G$3:$G$100,'03'!$R$3:$R$100,"-")</f>
        <v/>
      </c>
      <c r="F385" s="68">
        <f>_xlfn.XLOOKUP($A385,'04'!$G$3:$G$100,'04'!$R$3:$R$100,"-")</f>
        <v/>
      </c>
      <c r="G385" s="68">
        <f>_xlfn.XLOOKUP($A385,'05'!$G$3:$G$100,'05'!$R$3:$R$100,"-")</f>
        <v/>
      </c>
      <c r="H385" s="68">
        <f>_xlfn.XLOOKUP($A385,'06'!$G$3:$G$100,'06'!$R$3:$R$100,"-")</f>
        <v/>
      </c>
      <c r="I385" s="68">
        <f>_xlfn.XLOOKUP($A385,'07'!$G$3:$G$100,'07'!$R$3:$R$100,"-")</f>
        <v/>
      </c>
      <c r="J385" s="68">
        <f>_xlfn.XLOOKUP($A385,'08'!$G$3:$G$100,'08'!$R$3:$R$100,"-")</f>
        <v/>
      </c>
      <c r="K385" s="68">
        <f>_xlfn.XLOOKUP($A385,'09'!$G$3:$G$100,'09'!$R$3:$R$100,"-")</f>
        <v/>
      </c>
      <c r="L385" s="68">
        <f>_xlfn.XLOOKUP($A385,'10'!$G$3:$G$100,'10'!$R$3:$R$100,"-")</f>
        <v/>
      </c>
      <c r="M385" s="68">
        <f>_xlfn.XLOOKUP($A385,'11'!$G$3:$G$100,'11'!$R$3:$R$100,"-")</f>
        <v/>
      </c>
      <c r="N385" s="68">
        <f>_xlfn.XLOOKUP($A385,'12'!$G$3:$G$100,'12'!$R$3:$R$100,"-")</f>
        <v/>
      </c>
      <c r="O385" s="79">
        <f>SUM(C385:N385)</f>
        <v/>
      </c>
      <c r="P385" s="74" t="n"/>
      <c r="Q385" s="82" t="n">
        <v>383</v>
      </c>
      <c r="R385" s="38" t="n"/>
      <c r="S385" s="61" t="n">
        <v>0</v>
      </c>
      <c r="T385" s="68" t="n">
        <v>0</v>
      </c>
      <c r="U385" s="68" t="n">
        <v>0</v>
      </c>
      <c r="V385" s="68" t="n">
        <v>0</v>
      </c>
      <c r="W385" s="68" t="n">
        <v>0</v>
      </c>
      <c r="X385" s="68" t="n">
        <v>0</v>
      </c>
      <c r="Y385" s="68" t="n">
        <v>0</v>
      </c>
      <c r="Z385" s="68" t="n">
        <v>0</v>
      </c>
      <c r="AA385" s="68" t="n">
        <v>0</v>
      </c>
      <c r="AB385" s="68" t="n">
        <v>0</v>
      </c>
      <c r="AC385" s="68" t="n">
        <v>0</v>
      </c>
      <c r="AD385" s="68" t="n">
        <v>0</v>
      </c>
      <c r="AE385" s="68" t="n">
        <v>0</v>
      </c>
      <c r="AF385" s="79" t="n">
        <v>0</v>
      </c>
      <c r="AG385" s="74" t="n">
        <v>0</v>
      </c>
      <c r="AH385" s="82" t="n">
        <v>383</v>
      </c>
    </row>
    <row r="386" ht="18" customHeight="1">
      <c r="C386" s="68">
        <f>_xlfn.XLOOKUP($A386,'01'!$G$3:$G$100,'01'!$R$3:$R$100,"-")</f>
        <v/>
      </c>
      <c r="D386" s="68">
        <f>_xlfn.XLOOKUP($A386,'02'!$G$3:$G$100,'02'!$R$3:$R$100,"-")</f>
        <v/>
      </c>
      <c r="E386" s="68">
        <f>_xlfn.XLOOKUP($A386,'03'!$G$3:$G$100,'03'!$R$3:$R$100,"-")</f>
        <v/>
      </c>
      <c r="F386" s="68">
        <f>_xlfn.XLOOKUP($A386,'04'!$G$3:$G$100,'04'!$R$3:$R$100,"-")</f>
        <v/>
      </c>
      <c r="G386" s="68">
        <f>_xlfn.XLOOKUP($A386,'05'!$G$3:$G$100,'05'!$R$3:$R$100,"-")</f>
        <v/>
      </c>
      <c r="H386" s="68">
        <f>_xlfn.XLOOKUP($A386,'06'!$G$3:$G$100,'06'!$R$3:$R$100,"-")</f>
        <v/>
      </c>
      <c r="I386" s="68">
        <f>_xlfn.XLOOKUP($A386,'07'!$G$3:$G$100,'07'!$R$3:$R$100,"-")</f>
        <v/>
      </c>
      <c r="J386" s="68">
        <f>_xlfn.XLOOKUP($A386,'08'!$G$3:$G$100,'08'!$R$3:$R$100,"-")</f>
        <v/>
      </c>
      <c r="K386" s="68">
        <f>_xlfn.XLOOKUP($A386,'09'!$G$3:$G$100,'09'!$R$3:$R$100,"-")</f>
        <v/>
      </c>
      <c r="L386" s="68">
        <f>_xlfn.XLOOKUP($A386,'10'!$G$3:$G$100,'10'!$R$3:$R$100,"-")</f>
        <v/>
      </c>
      <c r="M386" s="68">
        <f>_xlfn.XLOOKUP($A386,'11'!$G$3:$G$100,'11'!$R$3:$R$100,"-")</f>
        <v/>
      </c>
      <c r="N386" s="68">
        <f>_xlfn.XLOOKUP($A386,'12'!$G$3:$G$100,'12'!$R$3:$R$100,"-")</f>
        <v/>
      </c>
      <c r="O386" s="79">
        <f>SUM(C386:N386)</f>
        <v/>
      </c>
      <c r="P386" s="74" t="n"/>
      <c r="Q386" s="82" t="n">
        <v>384</v>
      </c>
      <c r="R386" s="38" t="n"/>
      <c r="S386" s="61" t="n">
        <v>0</v>
      </c>
      <c r="T386" s="68" t="n">
        <v>0</v>
      </c>
      <c r="U386" s="68" t="n">
        <v>0</v>
      </c>
      <c r="V386" s="68" t="n">
        <v>0</v>
      </c>
      <c r="W386" s="68" t="n">
        <v>0</v>
      </c>
      <c r="X386" s="68" t="n">
        <v>0</v>
      </c>
      <c r="Y386" s="68" t="n">
        <v>0</v>
      </c>
      <c r="Z386" s="68" t="n">
        <v>0</v>
      </c>
      <c r="AA386" s="68" t="n">
        <v>0</v>
      </c>
      <c r="AB386" s="68" t="n">
        <v>0</v>
      </c>
      <c r="AC386" s="68" t="n">
        <v>0</v>
      </c>
      <c r="AD386" s="68" t="n">
        <v>0</v>
      </c>
      <c r="AE386" s="68" t="n">
        <v>0</v>
      </c>
      <c r="AF386" s="79" t="n">
        <v>0</v>
      </c>
      <c r="AG386" s="74" t="n">
        <v>0</v>
      </c>
      <c r="AH386" s="82" t="n">
        <v>384</v>
      </c>
    </row>
    <row r="387" ht="18" customHeight="1">
      <c r="C387" s="68">
        <f>_xlfn.XLOOKUP($A387,'01'!$G$3:$G$100,'01'!$R$3:$R$100,"-")</f>
        <v/>
      </c>
      <c r="D387" s="68">
        <f>_xlfn.XLOOKUP($A387,'02'!$G$3:$G$100,'02'!$R$3:$R$100,"-")</f>
        <v/>
      </c>
      <c r="E387" s="68">
        <f>_xlfn.XLOOKUP($A387,'03'!$G$3:$G$100,'03'!$R$3:$R$100,"-")</f>
        <v/>
      </c>
      <c r="F387" s="68">
        <f>_xlfn.XLOOKUP($A387,'04'!$G$3:$G$100,'04'!$R$3:$R$100,"-")</f>
        <v/>
      </c>
      <c r="G387" s="68">
        <f>_xlfn.XLOOKUP($A387,'05'!$G$3:$G$100,'05'!$R$3:$R$100,"-")</f>
        <v/>
      </c>
      <c r="H387" s="68">
        <f>_xlfn.XLOOKUP($A387,'06'!$G$3:$G$100,'06'!$R$3:$R$100,"-")</f>
        <v/>
      </c>
      <c r="I387" s="68">
        <f>_xlfn.XLOOKUP($A387,'07'!$G$3:$G$100,'07'!$R$3:$R$100,"-")</f>
        <v/>
      </c>
      <c r="J387" s="68">
        <f>_xlfn.XLOOKUP($A387,'08'!$G$3:$G$100,'08'!$R$3:$R$100,"-")</f>
        <v/>
      </c>
      <c r="K387" s="68">
        <f>_xlfn.XLOOKUP($A387,'09'!$G$3:$G$100,'09'!$R$3:$R$100,"-")</f>
        <v/>
      </c>
      <c r="L387" s="68">
        <f>_xlfn.XLOOKUP($A387,'10'!$G$3:$G$100,'10'!$R$3:$R$100,"-")</f>
        <v/>
      </c>
      <c r="M387" s="68">
        <f>_xlfn.XLOOKUP($A387,'11'!$G$3:$G$100,'11'!$R$3:$R$100,"-")</f>
        <v/>
      </c>
      <c r="N387" s="68">
        <f>_xlfn.XLOOKUP($A387,'12'!$G$3:$G$100,'12'!$R$3:$R$100,"-")</f>
        <v/>
      </c>
      <c r="O387" s="79">
        <f>SUM(C387:N387)</f>
        <v/>
      </c>
      <c r="P387" s="74" t="n"/>
      <c r="Q387" s="83" t="n">
        <v>385</v>
      </c>
      <c r="R387" s="38" t="n"/>
      <c r="S387" s="61" t="n">
        <v>0</v>
      </c>
      <c r="T387" s="68" t="n">
        <v>0</v>
      </c>
      <c r="U387" s="68" t="n">
        <v>0</v>
      </c>
      <c r="V387" s="68" t="n">
        <v>0</v>
      </c>
      <c r="W387" s="68" t="n">
        <v>0</v>
      </c>
      <c r="X387" s="68" t="n">
        <v>0</v>
      </c>
      <c r="Y387" s="68" t="n">
        <v>0</v>
      </c>
      <c r="Z387" s="68" t="n">
        <v>0</v>
      </c>
      <c r="AA387" s="68" t="n">
        <v>0</v>
      </c>
      <c r="AB387" s="68" t="n">
        <v>0</v>
      </c>
      <c r="AC387" s="68" t="n">
        <v>0</v>
      </c>
      <c r="AD387" s="68" t="n">
        <v>0</v>
      </c>
      <c r="AE387" s="68" t="n">
        <v>0</v>
      </c>
      <c r="AF387" s="79" t="n">
        <v>0</v>
      </c>
      <c r="AG387" s="74" t="n">
        <v>0</v>
      </c>
      <c r="AH387" s="83" t="n">
        <v>385</v>
      </c>
    </row>
    <row r="388" ht="18" customHeight="1">
      <c r="C388" s="68">
        <f>_xlfn.XLOOKUP($A388,'01'!$G$3:$G$100,'01'!$R$3:$R$100,"-")</f>
        <v/>
      </c>
      <c r="D388" s="68">
        <f>_xlfn.XLOOKUP($A388,'02'!$G$3:$G$100,'02'!$R$3:$R$100,"-")</f>
        <v/>
      </c>
      <c r="E388" s="68">
        <f>_xlfn.XLOOKUP($A388,'03'!$G$3:$G$100,'03'!$R$3:$R$100,"-")</f>
        <v/>
      </c>
      <c r="F388" s="68">
        <f>_xlfn.XLOOKUP($A388,'04'!$G$3:$G$100,'04'!$R$3:$R$100,"-")</f>
        <v/>
      </c>
      <c r="G388" s="68">
        <f>_xlfn.XLOOKUP($A388,'05'!$G$3:$G$100,'05'!$R$3:$R$100,"-")</f>
        <v/>
      </c>
      <c r="H388" s="68">
        <f>_xlfn.XLOOKUP($A388,'06'!$G$3:$G$100,'06'!$R$3:$R$100,"-")</f>
        <v/>
      </c>
      <c r="I388" s="68">
        <f>_xlfn.XLOOKUP($A388,'07'!$G$3:$G$100,'07'!$R$3:$R$100,"-")</f>
        <v/>
      </c>
      <c r="J388" s="68">
        <f>_xlfn.XLOOKUP($A388,'08'!$G$3:$G$100,'08'!$R$3:$R$100,"-")</f>
        <v/>
      </c>
      <c r="K388" s="68">
        <f>_xlfn.XLOOKUP($A388,'09'!$G$3:$G$100,'09'!$R$3:$R$100,"-")</f>
        <v/>
      </c>
      <c r="L388" s="68">
        <f>_xlfn.XLOOKUP($A388,'10'!$G$3:$G$100,'10'!$R$3:$R$100,"-")</f>
        <v/>
      </c>
      <c r="M388" s="68">
        <f>_xlfn.XLOOKUP($A388,'11'!$G$3:$G$100,'11'!$R$3:$R$100,"-")</f>
        <v/>
      </c>
      <c r="N388" s="68">
        <f>_xlfn.XLOOKUP($A388,'12'!$G$3:$G$100,'12'!$R$3:$R$100,"-")</f>
        <v/>
      </c>
      <c r="O388" s="79">
        <f>SUM(C388:N388)</f>
        <v/>
      </c>
      <c r="P388" s="74" t="n"/>
      <c r="Q388" s="82" t="n">
        <v>386</v>
      </c>
      <c r="R388" s="38" t="n"/>
      <c r="S388" s="61" t="n">
        <v>0</v>
      </c>
      <c r="T388" s="68" t="n">
        <v>0</v>
      </c>
      <c r="U388" s="68" t="n">
        <v>0</v>
      </c>
      <c r="V388" s="68" t="n">
        <v>0</v>
      </c>
      <c r="W388" s="68" t="n">
        <v>0</v>
      </c>
      <c r="X388" s="68" t="n">
        <v>0</v>
      </c>
      <c r="Y388" s="68" t="n">
        <v>0</v>
      </c>
      <c r="Z388" s="68" t="n">
        <v>0</v>
      </c>
      <c r="AA388" s="68" t="n">
        <v>0</v>
      </c>
      <c r="AB388" s="68" t="n">
        <v>0</v>
      </c>
      <c r="AC388" s="68" t="n">
        <v>0</v>
      </c>
      <c r="AD388" s="68" t="n">
        <v>0</v>
      </c>
      <c r="AE388" s="68" t="n">
        <v>0</v>
      </c>
      <c r="AF388" s="79" t="n">
        <v>0</v>
      </c>
      <c r="AG388" s="74" t="n">
        <v>0</v>
      </c>
      <c r="AH388" s="82" t="n">
        <v>386</v>
      </c>
    </row>
    <row r="389" ht="18" customHeight="1">
      <c r="C389" s="68">
        <f>_xlfn.XLOOKUP($A389,'01'!$G$3:$G$100,'01'!$R$3:$R$100,"-")</f>
        <v/>
      </c>
      <c r="D389" s="68">
        <f>_xlfn.XLOOKUP($A389,'02'!$G$3:$G$100,'02'!$R$3:$R$100,"-")</f>
        <v/>
      </c>
      <c r="E389" s="68">
        <f>_xlfn.XLOOKUP($A389,'03'!$G$3:$G$100,'03'!$R$3:$R$100,"-")</f>
        <v/>
      </c>
      <c r="F389" s="68">
        <f>_xlfn.XLOOKUP($A389,'04'!$G$3:$G$100,'04'!$R$3:$R$100,"-")</f>
        <v/>
      </c>
      <c r="G389" s="68">
        <f>_xlfn.XLOOKUP($A389,'05'!$G$3:$G$100,'05'!$R$3:$R$100,"-")</f>
        <v/>
      </c>
      <c r="H389" s="68">
        <f>_xlfn.XLOOKUP($A389,'06'!$G$3:$G$100,'06'!$R$3:$R$100,"-")</f>
        <v/>
      </c>
      <c r="I389" s="68">
        <f>_xlfn.XLOOKUP($A389,'07'!$G$3:$G$100,'07'!$R$3:$R$100,"-")</f>
        <v/>
      </c>
      <c r="J389" s="68">
        <f>_xlfn.XLOOKUP($A389,'08'!$G$3:$G$100,'08'!$R$3:$R$100,"-")</f>
        <v/>
      </c>
      <c r="K389" s="68">
        <f>_xlfn.XLOOKUP($A389,'09'!$G$3:$G$100,'09'!$R$3:$R$100,"-")</f>
        <v/>
      </c>
      <c r="L389" s="68">
        <f>_xlfn.XLOOKUP($A389,'10'!$G$3:$G$100,'10'!$R$3:$R$100,"-")</f>
        <v/>
      </c>
      <c r="M389" s="68">
        <f>_xlfn.XLOOKUP($A389,'11'!$G$3:$G$100,'11'!$R$3:$R$100,"-")</f>
        <v/>
      </c>
      <c r="N389" s="68">
        <f>_xlfn.XLOOKUP($A389,'12'!$G$3:$G$100,'12'!$R$3:$R$100,"-")</f>
        <v/>
      </c>
      <c r="O389" s="79">
        <f>SUM(C389:N389)</f>
        <v/>
      </c>
      <c r="P389" s="74" t="n"/>
      <c r="Q389" s="82" t="n">
        <v>387</v>
      </c>
      <c r="R389" s="38" t="n"/>
      <c r="S389" s="61" t="n">
        <v>0</v>
      </c>
      <c r="T389" s="68" t="n">
        <v>0</v>
      </c>
      <c r="U389" s="68" t="n">
        <v>0</v>
      </c>
      <c r="V389" s="68" t="n">
        <v>0</v>
      </c>
      <c r="W389" s="68" t="n">
        <v>0</v>
      </c>
      <c r="X389" s="68" t="n">
        <v>0</v>
      </c>
      <c r="Y389" s="68" t="n">
        <v>0</v>
      </c>
      <c r="Z389" s="68" t="n">
        <v>0</v>
      </c>
      <c r="AA389" s="68" t="n">
        <v>0</v>
      </c>
      <c r="AB389" s="68" t="n">
        <v>0</v>
      </c>
      <c r="AC389" s="68" t="n">
        <v>0</v>
      </c>
      <c r="AD389" s="68" t="n">
        <v>0</v>
      </c>
      <c r="AE389" s="68" t="n">
        <v>0</v>
      </c>
      <c r="AF389" s="79" t="n">
        <v>0</v>
      </c>
      <c r="AG389" s="74" t="n">
        <v>0</v>
      </c>
      <c r="AH389" s="82" t="n">
        <v>387</v>
      </c>
    </row>
    <row r="390" ht="18" customHeight="1">
      <c r="C390" s="68">
        <f>_xlfn.XLOOKUP($A390,'01'!$G$3:$G$100,'01'!$R$3:$R$100,"-")</f>
        <v/>
      </c>
      <c r="D390" s="68">
        <f>_xlfn.XLOOKUP($A390,'02'!$G$3:$G$100,'02'!$R$3:$R$100,"-")</f>
        <v/>
      </c>
      <c r="E390" s="68">
        <f>_xlfn.XLOOKUP($A390,'03'!$G$3:$G$100,'03'!$R$3:$R$100,"-")</f>
        <v/>
      </c>
      <c r="F390" s="68">
        <f>_xlfn.XLOOKUP($A390,'04'!$G$3:$G$100,'04'!$R$3:$R$100,"-")</f>
        <v/>
      </c>
      <c r="G390" s="68">
        <f>_xlfn.XLOOKUP($A390,'05'!$G$3:$G$100,'05'!$R$3:$R$100,"-")</f>
        <v/>
      </c>
      <c r="H390" s="68">
        <f>_xlfn.XLOOKUP($A390,'06'!$G$3:$G$100,'06'!$R$3:$R$100,"-")</f>
        <v/>
      </c>
      <c r="I390" s="68">
        <f>_xlfn.XLOOKUP($A390,'07'!$G$3:$G$100,'07'!$R$3:$R$100,"-")</f>
        <v/>
      </c>
      <c r="J390" s="68">
        <f>_xlfn.XLOOKUP($A390,'08'!$G$3:$G$100,'08'!$R$3:$R$100,"-")</f>
        <v/>
      </c>
      <c r="K390" s="68">
        <f>_xlfn.XLOOKUP($A390,'09'!$G$3:$G$100,'09'!$R$3:$R$100,"-")</f>
        <v/>
      </c>
      <c r="L390" s="68">
        <f>_xlfn.XLOOKUP($A390,'10'!$G$3:$G$100,'10'!$R$3:$R$100,"-")</f>
        <v/>
      </c>
      <c r="M390" s="68">
        <f>_xlfn.XLOOKUP($A390,'11'!$G$3:$G$100,'11'!$R$3:$R$100,"-")</f>
        <v/>
      </c>
      <c r="N390" s="68">
        <f>_xlfn.XLOOKUP($A390,'12'!$G$3:$G$100,'12'!$R$3:$R$100,"-")</f>
        <v/>
      </c>
      <c r="O390" s="79">
        <f>SUM(C390:N390)</f>
        <v/>
      </c>
      <c r="P390" s="74" t="n"/>
      <c r="Q390" s="82" t="n">
        <v>388</v>
      </c>
      <c r="R390" s="38" t="n"/>
      <c r="S390" s="61" t="n">
        <v>0</v>
      </c>
      <c r="T390" s="68" t="n">
        <v>0</v>
      </c>
      <c r="U390" s="68" t="n">
        <v>0</v>
      </c>
      <c r="V390" s="68" t="n">
        <v>0</v>
      </c>
      <c r="W390" s="68" t="n">
        <v>0</v>
      </c>
      <c r="X390" s="68" t="n">
        <v>0</v>
      </c>
      <c r="Y390" s="68" t="n">
        <v>0</v>
      </c>
      <c r="Z390" s="68" t="n">
        <v>0</v>
      </c>
      <c r="AA390" s="68" t="n">
        <v>0</v>
      </c>
      <c r="AB390" s="68" t="n">
        <v>0</v>
      </c>
      <c r="AC390" s="68" t="n">
        <v>0</v>
      </c>
      <c r="AD390" s="68" t="n">
        <v>0</v>
      </c>
      <c r="AE390" s="68" t="n">
        <v>0</v>
      </c>
      <c r="AF390" s="79" t="n">
        <v>0</v>
      </c>
      <c r="AG390" s="74" t="n">
        <v>0</v>
      </c>
      <c r="AH390" s="82" t="n">
        <v>388</v>
      </c>
    </row>
    <row r="391" ht="18" customHeight="1">
      <c r="C391" s="68">
        <f>_xlfn.XLOOKUP($A391,'01'!$G$3:$G$100,'01'!$R$3:$R$100,"-")</f>
        <v/>
      </c>
      <c r="D391" s="68">
        <f>_xlfn.XLOOKUP($A391,'02'!$G$3:$G$100,'02'!$R$3:$R$100,"-")</f>
        <v/>
      </c>
      <c r="E391" s="68">
        <f>_xlfn.XLOOKUP($A391,'03'!$G$3:$G$100,'03'!$R$3:$R$100,"-")</f>
        <v/>
      </c>
      <c r="F391" s="68">
        <f>_xlfn.XLOOKUP($A391,'04'!$G$3:$G$100,'04'!$R$3:$R$100,"-")</f>
        <v/>
      </c>
      <c r="G391" s="68">
        <f>_xlfn.XLOOKUP($A391,'05'!$G$3:$G$100,'05'!$R$3:$R$100,"-")</f>
        <v/>
      </c>
      <c r="H391" s="68">
        <f>_xlfn.XLOOKUP($A391,'06'!$G$3:$G$100,'06'!$R$3:$R$100,"-")</f>
        <v/>
      </c>
      <c r="I391" s="68">
        <f>_xlfn.XLOOKUP($A391,'07'!$G$3:$G$100,'07'!$R$3:$R$100,"-")</f>
        <v/>
      </c>
      <c r="J391" s="68">
        <f>_xlfn.XLOOKUP($A391,'08'!$G$3:$G$100,'08'!$R$3:$R$100,"-")</f>
        <v/>
      </c>
      <c r="K391" s="68">
        <f>_xlfn.XLOOKUP($A391,'09'!$G$3:$G$100,'09'!$R$3:$R$100,"-")</f>
        <v/>
      </c>
      <c r="L391" s="68">
        <f>_xlfn.XLOOKUP($A391,'10'!$G$3:$G$100,'10'!$R$3:$R$100,"-")</f>
        <v/>
      </c>
      <c r="M391" s="68">
        <f>_xlfn.XLOOKUP($A391,'11'!$G$3:$G$100,'11'!$R$3:$R$100,"-")</f>
        <v/>
      </c>
      <c r="N391" s="68">
        <f>_xlfn.XLOOKUP($A391,'12'!$G$3:$G$100,'12'!$R$3:$R$100,"-")</f>
        <v/>
      </c>
      <c r="O391" s="79">
        <f>SUM(C391:N391)</f>
        <v/>
      </c>
      <c r="P391" s="74" t="n"/>
      <c r="Q391" s="82" t="n">
        <v>389</v>
      </c>
      <c r="R391" s="38" t="n"/>
      <c r="S391" s="61" t="n">
        <v>0</v>
      </c>
      <c r="T391" s="68" t="n">
        <v>0</v>
      </c>
      <c r="U391" s="68" t="n">
        <v>0</v>
      </c>
      <c r="V391" s="68" t="n">
        <v>0</v>
      </c>
      <c r="W391" s="68" t="n">
        <v>0</v>
      </c>
      <c r="X391" s="68" t="n">
        <v>0</v>
      </c>
      <c r="Y391" s="68" t="n">
        <v>0</v>
      </c>
      <c r="Z391" s="68" t="n">
        <v>0</v>
      </c>
      <c r="AA391" s="68" t="n">
        <v>0</v>
      </c>
      <c r="AB391" s="68" t="n">
        <v>0</v>
      </c>
      <c r="AC391" s="68" t="n">
        <v>0</v>
      </c>
      <c r="AD391" s="68" t="n">
        <v>0</v>
      </c>
      <c r="AE391" s="68" t="n">
        <v>0</v>
      </c>
      <c r="AF391" s="79" t="n">
        <v>0</v>
      </c>
      <c r="AG391" s="74" t="n">
        <v>0</v>
      </c>
      <c r="AH391" s="82" t="n">
        <v>389</v>
      </c>
    </row>
    <row r="392" ht="18" customHeight="1">
      <c r="C392" s="68">
        <f>_xlfn.XLOOKUP($A392,'01'!$G$3:$G$100,'01'!$R$3:$R$100,"-")</f>
        <v/>
      </c>
      <c r="D392" s="68">
        <f>_xlfn.XLOOKUP($A392,'02'!$G$3:$G$100,'02'!$R$3:$R$100,"-")</f>
        <v/>
      </c>
      <c r="E392" s="68">
        <f>_xlfn.XLOOKUP($A392,'03'!$G$3:$G$100,'03'!$R$3:$R$100,"-")</f>
        <v/>
      </c>
      <c r="F392" s="68">
        <f>_xlfn.XLOOKUP($A392,'04'!$G$3:$G$100,'04'!$R$3:$R$100,"-")</f>
        <v/>
      </c>
      <c r="G392" s="68">
        <f>_xlfn.XLOOKUP($A392,'05'!$G$3:$G$100,'05'!$R$3:$R$100,"-")</f>
        <v/>
      </c>
      <c r="H392" s="68">
        <f>_xlfn.XLOOKUP($A392,'06'!$G$3:$G$100,'06'!$R$3:$R$100,"-")</f>
        <v/>
      </c>
      <c r="I392" s="68">
        <f>_xlfn.XLOOKUP($A392,'07'!$G$3:$G$100,'07'!$R$3:$R$100,"-")</f>
        <v/>
      </c>
      <c r="J392" s="68">
        <f>_xlfn.XLOOKUP($A392,'08'!$G$3:$G$100,'08'!$R$3:$R$100,"-")</f>
        <v/>
      </c>
      <c r="K392" s="68">
        <f>_xlfn.XLOOKUP($A392,'09'!$G$3:$G$100,'09'!$R$3:$R$100,"-")</f>
        <v/>
      </c>
      <c r="L392" s="68">
        <f>_xlfn.XLOOKUP($A392,'10'!$G$3:$G$100,'10'!$R$3:$R$100,"-")</f>
        <v/>
      </c>
      <c r="M392" s="68">
        <f>_xlfn.XLOOKUP($A392,'11'!$G$3:$G$100,'11'!$R$3:$R$100,"-")</f>
        <v/>
      </c>
      <c r="N392" s="68">
        <f>_xlfn.XLOOKUP($A392,'12'!$G$3:$G$100,'12'!$R$3:$R$100,"-")</f>
        <v/>
      </c>
      <c r="O392" s="79">
        <f>SUM(C392:N392)</f>
        <v/>
      </c>
      <c r="P392" s="74" t="n"/>
      <c r="Q392" s="82" t="n">
        <v>390</v>
      </c>
      <c r="R392" s="38" t="n"/>
      <c r="S392" s="61" t="n">
        <v>0</v>
      </c>
      <c r="T392" s="68" t="n">
        <v>0</v>
      </c>
      <c r="U392" s="68" t="n">
        <v>0</v>
      </c>
      <c r="V392" s="68" t="n">
        <v>0</v>
      </c>
      <c r="W392" s="68" t="n">
        <v>0</v>
      </c>
      <c r="X392" s="68" t="n">
        <v>0</v>
      </c>
      <c r="Y392" s="68" t="n">
        <v>0</v>
      </c>
      <c r="Z392" s="68" t="n">
        <v>0</v>
      </c>
      <c r="AA392" s="68" t="n">
        <v>0</v>
      </c>
      <c r="AB392" s="68" t="n">
        <v>0</v>
      </c>
      <c r="AC392" s="68" t="n">
        <v>0</v>
      </c>
      <c r="AD392" s="68" t="n">
        <v>0</v>
      </c>
      <c r="AE392" s="68" t="n">
        <v>0</v>
      </c>
      <c r="AF392" s="79" t="n">
        <v>0</v>
      </c>
      <c r="AG392" s="74" t="n">
        <v>0</v>
      </c>
      <c r="AH392" s="82" t="n">
        <v>390</v>
      </c>
    </row>
    <row r="393" ht="18" customHeight="1">
      <c r="C393" s="68">
        <f>_xlfn.XLOOKUP($A393,'01'!$G$3:$G$100,'01'!$R$3:$R$100,"-")</f>
        <v/>
      </c>
      <c r="D393" s="68">
        <f>_xlfn.XLOOKUP($A393,'02'!$G$3:$G$100,'02'!$R$3:$R$100,"-")</f>
        <v/>
      </c>
      <c r="E393" s="68">
        <f>_xlfn.XLOOKUP($A393,'03'!$G$3:$G$100,'03'!$R$3:$R$100,"-")</f>
        <v/>
      </c>
      <c r="F393" s="68">
        <f>_xlfn.XLOOKUP($A393,'04'!$G$3:$G$100,'04'!$R$3:$R$100,"-")</f>
        <v/>
      </c>
      <c r="G393" s="68">
        <f>_xlfn.XLOOKUP($A393,'05'!$G$3:$G$100,'05'!$R$3:$R$100,"-")</f>
        <v/>
      </c>
      <c r="H393" s="68">
        <f>_xlfn.XLOOKUP($A393,'06'!$G$3:$G$100,'06'!$R$3:$R$100,"-")</f>
        <v/>
      </c>
      <c r="I393" s="68">
        <f>_xlfn.XLOOKUP($A393,'07'!$G$3:$G$100,'07'!$R$3:$R$100,"-")</f>
        <v/>
      </c>
      <c r="J393" s="68">
        <f>_xlfn.XLOOKUP($A393,'08'!$G$3:$G$100,'08'!$R$3:$R$100,"-")</f>
        <v/>
      </c>
      <c r="K393" s="68">
        <f>_xlfn.XLOOKUP($A393,'09'!$G$3:$G$100,'09'!$R$3:$R$100,"-")</f>
        <v/>
      </c>
      <c r="L393" s="68">
        <f>_xlfn.XLOOKUP($A393,'10'!$G$3:$G$100,'10'!$R$3:$R$100,"-")</f>
        <v/>
      </c>
      <c r="M393" s="68">
        <f>_xlfn.XLOOKUP($A393,'11'!$G$3:$G$100,'11'!$R$3:$R$100,"-")</f>
        <v/>
      </c>
      <c r="N393" s="68">
        <f>_xlfn.XLOOKUP($A393,'12'!$G$3:$G$100,'12'!$R$3:$R$100,"-")</f>
        <v/>
      </c>
      <c r="O393" s="79">
        <f>SUM(C393:N393)</f>
        <v/>
      </c>
      <c r="P393" s="74" t="n"/>
      <c r="Q393" s="82" t="n">
        <v>391</v>
      </c>
      <c r="R393" s="38" t="n"/>
      <c r="S393" s="61" t="n">
        <v>0</v>
      </c>
      <c r="T393" s="68" t="n">
        <v>0</v>
      </c>
      <c r="U393" s="68" t="n">
        <v>0</v>
      </c>
      <c r="V393" s="68" t="n">
        <v>0</v>
      </c>
      <c r="W393" s="68" t="n">
        <v>0</v>
      </c>
      <c r="X393" s="68" t="n">
        <v>0</v>
      </c>
      <c r="Y393" s="68" t="n">
        <v>0</v>
      </c>
      <c r="Z393" s="68" t="n">
        <v>0</v>
      </c>
      <c r="AA393" s="68" t="n">
        <v>0</v>
      </c>
      <c r="AB393" s="68" t="n">
        <v>0</v>
      </c>
      <c r="AC393" s="68" t="n">
        <v>0</v>
      </c>
      <c r="AD393" s="68" t="n">
        <v>0</v>
      </c>
      <c r="AE393" s="68" t="n">
        <v>0</v>
      </c>
      <c r="AF393" s="79" t="n">
        <v>0</v>
      </c>
      <c r="AG393" s="74" t="n">
        <v>0</v>
      </c>
      <c r="AH393" s="82" t="n">
        <v>391</v>
      </c>
    </row>
    <row r="394" ht="18" customHeight="1">
      <c r="C394" s="68">
        <f>_xlfn.XLOOKUP($A394,'01'!$G$3:$G$100,'01'!$R$3:$R$100,"-")</f>
        <v/>
      </c>
      <c r="D394" s="68">
        <f>_xlfn.XLOOKUP($A394,'02'!$G$3:$G$100,'02'!$R$3:$R$100,"-")</f>
        <v/>
      </c>
      <c r="E394" s="68">
        <f>_xlfn.XLOOKUP($A394,'03'!$G$3:$G$100,'03'!$R$3:$R$100,"-")</f>
        <v/>
      </c>
      <c r="F394" s="68">
        <f>_xlfn.XLOOKUP($A394,'04'!$G$3:$G$100,'04'!$R$3:$R$100,"-")</f>
        <v/>
      </c>
      <c r="G394" s="68">
        <f>_xlfn.XLOOKUP($A394,'05'!$G$3:$G$100,'05'!$R$3:$R$100,"-")</f>
        <v/>
      </c>
      <c r="H394" s="68">
        <f>_xlfn.XLOOKUP($A394,'06'!$G$3:$G$100,'06'!$R$3:$R$100,"-")</f>
        <v/>
      </c>
      <c r="I394" s="68">
        <f>_xlfn.XLOOKUP($A394,'07'!$G$3:$G$100,'07'!$R$3:$R$100,"-")</f>
        <v/>
      </c>
      <c r="J394" s="68">
        <f>_xlfn.XLOOKUP($A394,'08'!$G$3:$G$100,'08'!$R$3:$R$100,"-")</f>
        <v/>
      </c>
      <c r="K394" s="68">
        <f>_xlfn.XLOOKUP($A394,'09'!$G$3:$G$100,'09'!$R$3:$R$100,"-")</f>
        <v/>
      </c>
      <c r="L394" s="68">
        <f>_xlfn.XLOOKUP($A394,'10'!$G$3:$G$100,'10'!$R$3:$R$100,"-")</f>
        <v/>
      </c>
      <c r="M394" s="68">
        <f>_xlfn.XLOOKUP($A394,'11'!$G$3:$G$100,'11'!$R$3:$R$100,"-")</f>
        <v/>
      </c>
      <c r="N394" s="68">
        <f>_xlfn.XLOOKUP($A394,'12'!$G$3:$G$100,'12'!$R$3:$R$100,"-")</f>
        <v/>
      </c>
      <c r="O394" s="79">
        <f>SUM(C394:N394)</f>
        <v/>
      </c>
      <c r="P394" s="74" t="n"/>
      <c r="Q394" s="82" t="n">
        <v>392</v>
      </c>
      <c r="R394" s="38" t="n"/>
      <c r="S394" s="61" t="n">
        <v>0</v>
      </c>
      <c r="T394" s="68" t="n">
        <v>0</v>
      </c>
      <c r="U394" s="68" t="n">
        <v>0</v>
      </c>
      <c r="V394" s="68" t="n">
        <v>0</v>
      </c>
      <c r="W394" s="68" t="n">
        <v>0</v>
      </c>
      <c r="X394" s="68" t="n">
        <v>0</v>
      </c>
      <c r="Y394" s="68" t="n">
        <v>0</v>
      </c>
      <c r="Z394" s="68" t="n">
        <v>0</v>
      </c>
      <c r="AA394" s="68" t="n">
        <v>0</v>
      </c>
      <c r="AB394" s="68" t="n">
        <v>0</v>
      </c>
      <c r="AC394" s="68" t="n">
        <v>0</v>
      </c>
      <c r="AD394" s="68" t="n">
        <v>0</v>
      </c>
      <c r="AE394" s="68" t="n">
        <v>0</v>
      </c>
      <c r="AF394" s="79" t="n">
        <v>0</v>
      </c>
      <c r="AG394" s="74" t="n">
        <v>0</v>
      </c>
      <c r="AH394" s="82" t="n">
        <v>392</v>
      </c>
    </row>
    <row r="395" ht="18" customHeight="1">
      <c r="C395" s="68">
        <f>_xlfn.XLOOKUP($A395,'01'!$G$3:$G$100,'01'!$R$3:$R$100,"-")</f>
        <v/>
      </c>
      <c r="D395" s="68">
        <f>_xlfn.XLOOKUP($A395,'02'!$G$3:$G$100,'02'!$R$3:$R$100,"-")</f>
        <v/>
      </c>
      <c r="E395" s="68">
        <f>_xlfn.XLOOKUP($A395,'03'!$G$3:$G$100,'03'!$R$3:$R$100,"-")</f>
        <v/>
      </c>
      <c r="F395" s="68">
        <f>_xlfn.XLOOKUP($A395,'04'!$G$3:$G$100,'04'!$R$3:$R$100,"-")</f>
        <v/>
      </c>
      <c r="G395" s="68">
        <f>_xlfn.XLOOKUP($A395,'05'!$G$3:$G$100,'05'!$R$3:$R$100,"-")</f>
        <v/>
      </c>
      <c r="H395" s="68">
        <f>_xlfn.XLOOKUP($A395,'06'!$G$3:$G$100,'06'!$R$3:$R$100,"-")</f>
        <v/>
      </c>
      <c r="I395" s="68">
        <f>_xlfn.XLOOKUP($A395,'07'!$G$3:$G$100,'07'!$R$3:$R$100,"-")</f>
        <v/>
      </c>
      <c r="J395" s="68">
        <f>_xlfn.XLOOKUP($A395,'08'!$G$3:$G$100,'08'!$R$3:$R$100,"-")</f>
        <v/>
      </c>
      <c r="K395" s="68">
        <f>_xlfn.XLOOKUP($A395,'09'!$G$3:$G$100,'09'!$R$3:$R$100,"-")</f>
        <v/>
      </c>
      <c r="L395" s="68">
        <f>_xlfn.XLOOKUP($A395,'10'!$G$3:$G$100,'10'!$R$3:$R$100,"-")</f>
        <v/>
      </c>
      <c r="M395" s="68">
        <f>_xlfn.XLOOKUP($A395,'11'!$G$3:$G$100,'11'!$R$3:$R$100,"-")</f>
        <v/>
      </c>
      <c r="N395" s="68">
        <f>_xlfn.XLOOKUP($A395,'12'!$G$3:$G$100,'12'!$R$3:$R$100,"-")</f>
        <v/>
      </c>
      <c r="O395" s="79">
        <f>SUM(C395:N395)</f>
        <v/>
      </c>
      <c r="P395" s="74" t="n"/>
      <c r="Q395" s="82" t="n">
        <v>393</v>
      </c>
      <c r="R395" s="38" t="n"/>
      <c r="S395" s="61" t="n">
        <v>0</v>
      </c>
      <c r="T395" s="68" t="n">
        <v>0</v>
      </c>
      <c r="U395" s="68" t="n">
        <v>0</v>
      </c>
      <c r="V395" s="68" t="n">
        <v>0</v>
      </c>
      <c r="W395" s="68" t="n">
        <v>0</v>
      </c>
      <c r="X395" s="68" t="n">
        <v>0</v>
      </c>
      <c r="Y395" s="68" t="n">
        <v>0</v>
      </c>
      <c r="Z395" s="68" t="n">
        <v>0</v>
      </c>
      <c r="AA395" s="68" t="n">
        <v>0</v>
      </c>
      <c r="AB395" s="68" t="n">
        <v>0</v>
      </c>
      <c r="AC395" s="68" t="n">
        <v>0</v>
      </c>
      <c r="AD395" s="68" t="n">
        <v>0</v>
      </c>
      <c r="AE395" s="68" t="n">
        <v>0</v>
      </c>
      <c r="AF395" s="79" t="n">
        <v>0</v>
      </c>
      <c r="AG395" s="74" t="n">
        <v>0</v>
      </c>
      <c r="AH395" s="82" t="n">
        <v>393</v>
      </c>
    </row>
    <row r="396" ht="18" customHeight="1">
      <c r="C396" s="68">
        <f>_xlfn.XLOOKUP($A396,'01'!$G$3:$G$100,'01'!$R$3:$R$100,"-")</f>
        <v/>
      </c>
      <c r="D396" s="68">
        <f>_xlfn.XLOOKUP($A396,'02'!$G$3:$G$100,'02'!$R$3:$R$100,"-")</f>
        <v/>
      </c>
      <c r="E396" s="68">
        <f>_xlfn.XLOOKUP($A396,'03'!$G$3:$G$100,'03'!$R$3:$R$100,"-")</f>
        <v/>
      </c>
      <c r="F396" s="68">
        <f>_xlfn.XLOOKUP($A396,'04'!$G$3:$G$100,'04'!$R$3:$R$100,"-")</f>
        <v/>
      </c>
      <c r="G396" s="68">
        <f>_xlfn.XLOOKUP($A396,'05'!$G$3:$G$100,'05'!$R$3:$R$100,"-")</f>
        <v/>
      </c>
      <c r="H396" s="68">
        <f>_xlfn.XLOOKUP($A396,'06'!$G$3:$G$100,'06'!$R$3:$R$100,"-")</f>
        <v/>
      </c>
      <c r="I396" s="68">
        <f>_xlfn.XLOOKUP($A396,'07'!$G$3:$G$100,'07'!$R$3:$R$100,"-")</f>
        <v/>
      </c>
      <c r="J396" s="68">
        <f>_xlfn.XLOOKUP($A396,'08'!$G$3:$G$100,'08'!$R$3:$R$100,"-")</f>
        <v/>
      </c>
      <c r="K396" s="68">
        <f>_xlfn.XLOOKUP($A396,'09'!$G$3:$G$100,'09'!$R$3:$R$100,"-")</f>
        <v/>
      </c>
      <c r="L396" s="68">
        <f>_xlfn.XLOOKUP($A396,'10'!$G$3:$G$100,'10'!$R$3:$R$100,"-")</f>
        <v/>
      </c>
      <c r="M396" s="68">
        <f>_xlfn.XLOOKUP($A396,'11'!$G$3:$G$100,'11'!$R$3:$R$100,"-")</f>
        <v/>
      </c>
      <c r="N396" s="68">
        <f>_xlfn.XLOOKUP($A396,'12'!$G$3:$G$100,'12'!$R$3:$R$100,"-")</f>
        <v/>
      </c>
      <c r="O396" s="79">
        <f>SUM(C396:N396)</f>
        <v/>
      </c>
      <c r="P396" s="74" t="n"/>
      <c r="Q396" s="82" t="n">
        <v>394</v>
      </c>
      <c r="R396" s="38" t="n"/>
      <c r="S396" s="61" t="n">
        <v>0</v>
      </c>
      <c r="T396" s="68" t="n">
        <v>0</v>
      </c>
      <c r="U396" s="68" t="n">
        <v>0</v>
      </c>
      <c r="V396" s="68" t="n">
        <v>0</v>
      </c>
      <c r="W396" s="68" t="n">
        <v>0</v>
      </c>
      <c r="X396" s="68" t="n">
        <v>0</v>
      </c>
      <c r="Y396" s="68" t="n">
        <v>0</v>
      </c>
      <c r="Z396" s="68" t="n">
        <v>0</v>
      </c>
      <c r="AA396" s="68" t="n">
        <v>0</v>
      </c>
      <c r="AB396" s="68" t="n">
        <v>0</v>
      </c>
      <c r="AC396" s="68" t="n">
        <v>0</v>
      </c>
      <c r="AD396" s="68" t="n">
        <v>0</v>
      </c>
      <c r="AE396" s="68" t="n">
        <v>0</v>
      </c>
      <c r="AF396" s="79" t="n">
        <v>0</v>
      </c>
      <c r="AG396" s="74" t="n">
        <v>0</v>
      </c>
      <c r="AH396" s="82" t="n">
        <v>394</v>
      </c>
    </row>
    <row r="397" ht="18" customHeight="1">
      <c r="C397" s="68">
        <f>_xlfn.XLOOKUP($A397,'01'!$G$3:$G$100,'01'!$R$3:$R$100,"-")</f>
        <v/>
      </c>
      <c r="D397" s="68">
        <f>_xlfn.XLOOKUP($A397,'02'!$G$3:$G$100,'02'!$R$3:$R$100,"-")</f>
        <v/>
      </c>
      <c r="E397" s="68">
        <f>_xlfn.XLOOKUP($A397,'03'!$G$3:$G$100,'03'!$R$3:$R$100,"-")</f>
        <v/>
      </c>
      <c r="F397" s="68">
        <f>_xlfn.XLOOKUP($A397,'04'!$G$3:$G$100,'04'!$R$3:$R$100,"-")</f>
        <v/>
      </c>
      <c r="G397" s="68">
        <f>_xlfn.XLOOKUP($A397,'05'!$G$3:$G$100,'05'!$R$3:$R$100,"-")</f>
        <v/>
      </c>
      <c r="H397" s="68">
        <f>_xlfn.XLOOKUP($A397,'06'!$G$3:$G$100,'06'!$R$3:$R$100,"-")</f>
        <v/>
      </c>
      <c r="I397" s="68">
        <f>_xlfn.XLOOKUP($A397,'07'!$G$3:$G$100,'07'!$R$3:$R$100,"-")</f>
        <v/>
      </c>
      <c r="J397" s="68">
        <f>_xlfn.XLOOKUP($A397,'08'!$G$3:$G$100,'08'!$R$3:$R$100,"-")</f>
        <v/>
      </c>
      <c r="K397" s="68">
        <f>_xlfn.XLOOKUP($A397,'09'!$G$3:$G$100,'09'!$R$3:$R$100,"-")</f>
        <v/>
      </c>
      <c r="L397" s="68">
        <f>_xlfn.XLOOKUP($A397,'10'!$G$3:$G$100,'10'!$R$3:$R$100,"-")</f>
        <v/>
      </c>
      <c r="M397" s="68">
        <f>_xlfn.XLOOKUP($A397,'11'!$G$3:$G$100,'11'!$R$3:$R$100,"-")</f>
        <v/>
      </c>
      <c r="N397" s="68">
        <f>_xlfn.XLOOKUP($A397,'12'!$G$3:$G$100,'12'!$R$3:$R$100,"-")</f>
        <v/>
      </c>
      <c r="O397" s="79">
        <f>SUM(C397:N397)</f>
        <v/>
      </c>
      <c r="P397" s="74" t="n"/>
      <c r="Q397" s="83" t="n">
        <v>395</v>
      </c>
      <c r="R397" s="38" t="n"/>
      <c r="S397" s="61" t="n">
        <v>0</v>
      </c>
      <c r="T397" s="68" t="n">
        <v>0</v>
      </c>
      <c r="U397" s="68" t="n">
        <v>0</v>
      </c>
      <c r="V397" s="68" t="n">
        <v>0</v>
      </c>
      <c r="W397" s="68" t="n">
        <v>0</v>
      </c>
      <c r="X397" s="68" t="n">
        <v>0</v>
      </c>
      <c r="Y397" s="68" t="n">
        <v>0</v>
      </c>
      <c r="Z397" s="68" t="n">
        <v>0</v>
      </c>
      <c r="AA397" s="68" t="n">
        <v>0</v>
      </c>
      <c r="AB397" s="68" t="n">
        <v>0</v>
      </c>
      <c r="AC397" s="68" t="n">
        <v>0</v>
      </c>
      <c r="AD397" s="68" t="n">
        <v>0</v>
      </c>
      <c r="AE397" s="68" t="n">
        <v>0</v>
      </c>
      <c r="AF397" s="79" t="n">
        <v>0</v>
      </c>
      <c r="AG397" s="74" t="n">
        <v>0</v>
      </c>
      <c r="AH397" s="83" t="n">
        <v>395</v>
      </c>
    </row>
    <row r="398" ht="18" customHeight="1">
      <c r="C398" s="68">
        <f>_xlfn.XLOOKUP($A398,'01'!$G$3:$G$100,'01'!$R$3:$R$100,"-")</f>
        <v/>
      </c>
      <c r="D398" s="68">
        <f>_xlfn.XLOOKUP($A398,'02'!$G$3:$G$100,'02'!$R$3:$R$100,"-")</f>
        <v/>
      </c>
      <c r="E398" s="68">
        <f>_xlfn.XLOOKUP($A398,'03'!$G$3:$G$100,'03'!$R$3:$R$100,"-")</f>
        <v/>
      </c>
      <c r="F398" s="68">
        <f>_xlfn.XLOOKUP($A398,'04'!$G$3:$G$100,'04'!$R$3:$R$100,"-")</f>
        <v/>
      </c>
      <c r="G398" s="68">
        <f>_xlfn.XLOOKUP($A398,'05'!$G$3:$G$100,'05'!$R$3:$R$100,"-")</f>
        <v/>
      </c>
      <c r="H398" s="68">
        <f>_xlfn.XLOOKUP($A398,'06'!$G$3:$G$100,'06'!$R$3:$R$100,"-")</f>
        <v/>
      </c>
      <c r="I398" s="68">
        <f>_xlfn.XLOOKUP($A398,'07'!$G$3:$G$100,'07'!$R$3:$R$100,"-")</f>
        <v/>
      </c>
      <c r="J398" s="68">
        <f>_xlfn.XLOOKUP($A398,'08'!$G$3:$G$100,'08'!$R$3:$R$100,"-")</f>
        <v/>
      </c>
      <c r="K398" s="68">
        <f>_xlfn.XLOOKUP($A398,'09'!$G$3:$G$100,'09'!$R$3:$R$100,"-")</f>
        <v/>
      </c>
      <c r="L398" s="68">
        <f>_xlfn.XLOOKUP($A398,'10'!$G$3:$G$100,'10'!$R$3:$R$100,"-")</f>
        <v/>
      </c>
      <c r="M398" s="68">
        <f>_xlfn.XLOOKUP($A398,'11'!$G$3:$G$100,'11'!$R$3:$R$100,"-")</f>
        <v/>
      </c>
      <c r="N398" s="68">
        <f>_xlfn.XLOOKUP($A398,'12'!$G$3:$G$100,'12'!$R$3:$R$100,"-")</f>
        <v/>
      </c>
      <c r="O398" s="79">
        <f>SUM(C398:N398)</f>
        <v/>
      </c>
      <c r="P398" s="74" t="n"/>
      <c r="Q398" s="82" t="n">
        <v>396</v>
      </c>
      <c r="R398" s="38" t="n"/>
      <c r="S398" s="61" t="n">
        <v>0</v>
      </c>
      <c r="T398" s="68" t="n">
        <v>0</v>
      </c>
      <c r="U398" s="68" t="n">
        <v>0</v>
      </c>
      <c r="V398" s="68" t="n">
        <v>0</v>
      </c>
      <c r="W398" s="68" t="n">
        <v>0</v>
      </c>
      <c r="X398" s="68" t="n">
        <v>0</v>
      </c>
      <c r="Y398" s="68" t="n">
        <v>0</v>
      </c>
      <c r="Z398" s="68" t="n">
        <v>0</v>
      </c>
      <c r="AA398" s="68" t="n">
        <v>0</v>
      </c>
      <c r="AB398" s="68" t="n">
        <v>0</v>
      </c>
      <c r="AC398" s="68" t="n">
        <v>0</v>
      </c>
      <c r="AD398" s="68" t="n">
        <v>0</v>
      </c>
      <c r="AE398" s="68" t="n">
        <v>0</v>
      </c>
      <c r="AF398" s="79" t="n">
        <v>0</v>
      </c>
      <c r="AG398" s="74" t="n">
        <v>0</v>
      </c>
      <c r="AH398" s="82" t="n">
        <v>396</v>
      </c>
    </row>
    <row r="399" ht="18" customHeight="1">
      <c r="C399" s="68">
        <f>_xlfn.XLOOKUP($A399,'01'!$G$3:$G$100,'01'!$R$3:$R$100,"-")</f>
        <v/>
      </c>
      <c r="D399" s="68">
        <f>_xlfn.XLOOKUP($A399,'02'!$G$3:$G$100,'02'!$R$3:$R$100,"-")</f>
        <v/>
      </c>
      <c r="E399" s="68">
        <f>_xlfn.XLOOKUP($A399,'03'!$G$3:$G$100,'03'!$R$3:$R$100,"-")</f>
        <v/>
      </c>
      <c r="F399" s="68">
        <f>_xlfn.XLOOKUP($A399,'04'!$G$3:$G$100,'04'!$R$3:$R$100,"-")</f>
        <v/>
      </c>
      <c r="G399" s="68">
        <f>_xlfn.XLOOKUP($A399,'05'!$G$3:$G$100,'05'!$R$3:$R$100,"-")</f>
        <v/>
      </c>
      <c r="H399" s="68">
        <f>_xlfn.XLOOKUP($A399,'06'!$G$3:$G$100,'06'!$R$3:$R$100,"-")</f>
        <v/>
      </c>
      <c r="I399" s="68">
        <f>_xlfn.XLOOKUP($A399,'07'!$G$3:$G$100,'07'!$R$3:$R$100,"-")</f>
        <v/>
      </c>
      <c r="J399" s="68">
        <f>_xlfn.XLOOKUP($A399,'08'!$G$3:$G$100,'08'!$R$3:$R$100,"-")</f>
        <v/>
      </c>
      <c r="K399" s="68">
        <f>_xlfn.XLOOKUP($A399,'09'!$G$3:$G$100,'09'!$R$3:$R$100,"-")</f>
        <v/>
      </c>
      <c r="L399" s="68">
        <f>_xlfn.XLOOKUP($A399,'10'!$G$3:$G$100,'10'!$R$3:$R$100,"-")</f>
        <v/>
      </c>
      <c r="M399" s="68">
        <f>_xlfn.XLOOKUP($A399,'11'!$G$3:$G$100,'11'!$R$3:$R$100,"-")</f>
        <v/>
      </c>
      <c r="N399" s="68">
        <f>_xlfn.XLOOKUP($A399,'12'!$G$3:$G$100,'12'!$R$3:$R$100,"-")</f>
        <v/>
      </c>
      <c r="O399" s="79">
        <f>SUM(C399:N399)</f>
        <v/>
      </c>
      <c r="P399" s="74" t="n"/>
      <c r="Q399" s="82" t="n">
        <v>397</v>
      </c>
      <c r="R399" s="38" t="n"/>
      <c r="S399" s="61" t="n">
        <v>0</v>
      </c>
      <c r="T399" s="68" t="n">
        <v>0</v>
      </c>
      <c r="U399" s="68" t="n">
        <v>0</v>
      </c>
      <c r="V399" s="68" t="n">
        <v>0</v>
      </c>
      <c r="W399" s="68" t="n">
        <v>0</v>
      </c>
      <c r="X399" s="68" t="n">
        <v>0</v>
      </c>
      <c r="Y399" s="68" t="n">
        <v>0</v>
      </c>
      <c r="Z399" s="68" t="n">
        <v>0</v>
      </c>
      <c r="AA399" s="68" t="n">
        <v>0</v>
      </c>
      <c r="AB399" s="68" t="n">
        <v>0</v>
      </c>
      <c r="AC399" s="68" t="n">
        <v>0</v>
      </c>
      <c r="AD399" s="68" t="n">
        <v>0</v>
      </c>
      <c r="AE399" s="68" t="n">
        <v>0</v>
      </c>
      <c r="AF399" s="79" t="n">
        <v>0</v>
      </c>
      <c r="AG399" s="74" t="n">
        <v>0</v>
      </c>
      <c r="AH399" s="82" t="n">
        <v>397</v>
      </c>
    </row>
    <row r="400" ht="18" customHeight="1">
      <c r="C400" s="68">
        <f>_xlfn.XLOOKUP($A400,'01'!$G$3:$G$100,'01'!$R$3:$R$100,"-")</f>
        <v/>
      </c>
      <c r="D400" s="68">
        <f>_xlfn.XLOOKUP($A400,'02'!$G$3:$G$100,'02'!$R$3:$R$100,"-")</f>
        <v/>
      </c>
      <c r="E400" s="68">
        <f>_xlfn.XLOOKUP($A400,'03'!$G$3:$G$100,'03'!$R$3:$R$100,"-")</f>
        <v/>
      </c>
      <c r="F400" s="68">
        <f>_xlfn.XLOOKUP($A400,'04'!$G$3:$G$100,'04'!$R$3:$R$100,"-")</f>
        <v/>
      </c>
      <c r="G400" s="68">
        <f>_xlfn.XLOOKUP($A400,'05'!$G$3:$G$100,'05'!$R$3:$R$100,"-")</f>
        <v/>
      </c>
      <c r="H400" s="68">
        <f>_xlfn.XLOOKUP($A400,'06'!$G$3:$G$100,'06'!$R$3:$R$100,"-")</f>
        <v/>
      </c>
      <c r="I400" s="68">
        <f>_xlfn.XLOOKUP($A400,'07'!$G$3:$G$100,'07'!$R$3:$R$100,"-")</f>
        <v/>
      </c>
      <c r="J400" s="68">
        <f>_xlfn.XLOOKUP($A400,'08'!$G$3:$G$100,'08'!$R$3:$R$100,"-")</f>
        <v/>
      </c>
      <c r="K400" s="68">
        <f>_xlfn.XLOOKUP($A400,'09'!$G$3:$G$100,'09'!$R$3:$R$100,"-")</f>
        <v/>
      </c>
      <c r="L400" s="68">
        <f>_xlfn.XLOOKUP($A400,'10'!$G$3:$G$100,'10'!$R$3:$R$100,"-")</f>
        <v/>
      </c>
      <c r="M400" s="68">
        <f>_xlfn.XLOOKUP($A400,'11'!$G$3:$G$100,'11'!$R$3:$R$100,"-")</f>
        <v/>
      </c>
      <c r="N400" s="68">
        <f>_xlfn.XLOOKUP($A400,'12'!$G$3:$G$100,'12'!$R$3:$R$100,"-")</f>
        <v/>
      </c>
      <c r="O400" s="79">
        <f>SUM(C400:N400)</f>
        <v/>
      </c>
      <c r="P400" s="74" t="n"/>
      <c r="Q400" s="82" t="n">
        <v>398</v>
      </c>
      <c r="R400" s="38" t="n"/>
      <c r="S400" s="61" t="n">
        <v>0</v>
      </c>
      <c r="T400" s="68" t="n">
        <v>0</v>
      </c>
      <c r="U400" s="68" t="n">
        <v>0</v>
      </c>
      <c r="V400" s="68" t="n">
        <v>0</v>
      </c>
      <c r="W400" s="68" t="n">
        <v>0</v>
      </c>
      <c r="X400" s="68" t="n">
        <v>0</v>
      </c>
      <c r="Y400" s="68" t="n">
        <v>0</v>
      </c>
      <c r="Z400" s="68" t="n">
        <v>0</v>
      </c>
      <c r="AA400" s="68" t="n">
        <v>0</v>
      </c>
      <c r="AB400" s="68" t="n">
        <v>0</v>
      </c>
      <c r="AC400" s="68" t="n">
        <v>0</v>
      </c>
      <c r="AD400" s="68" t="n">
        <v>0</v>
      </c>
      <c r="AE400" s="68" t="n">
        <v>0</v>
      </c>
      <c r="AF400" s="79" t="n">
        <v>0</v>
      </c>
      <c r="AG400" s="74" t="n">
        <v>0</v>
      </c>
      <c r="AH400" s="82" t="n">
        <v>398</v>
      </c>
    </row>
    <row r="401" ht="18" customHeight="1">
      <c r="C401" s="68">
        <f>_xlfn.XLOOKUP($A401,'01'!$G$3:$G$100,'01'!$R$3:$R$100,"-")</f>
        <v/>
      </c>
      <c r="D401" s="68">
        <f>_xlfn.XLOOKUP($A401,'02'!$G$3:$G$100,'02'!$R$3:$R$100,"-")</f>
        <v/>
      </c>
      <c r="E401" s="68">
        <f>_xlfn.XLOOKUP($A401,'03'!$G$3:$G$100,'03'!$R$3:$R$100,"-")</f>
        <v/>
      </c>
      <c r="F401" s="68">
        <f>_xlfn.XLOOKUP($A401,'04'!$G$3:$G$100,'04'!$R$3:$R$100,"-")</f>
        <v/>
      </c>
      <c r="G401" s="68">
        <f>_xlfn.XLOOKUP($A401,'05'!$G$3:$G$100,'05'!$R$3:$R$100,"-")</f>
        <v/>
      </c>
      <c r="H401" s="68">
        <f>_xlfn.XLOOKUP($A401,'06'!$G$3:$G$100,'06'!$R$3:$R$100,"-")</f>
        <v/>
      </c>
      <c r="I401" s="68">
        <f>_xlfn.XLOOKUP($A401,'07'!$G$3:$G$100,'07'!$R$3:$R$100,"-")</f>
        <v/>
      </c>
      <c r="J401" s="68">
        <f>_xlfn.XLOOKUP($A401,'08'!$G$3:$G$100,'08'!$R$3:$R$100,"-")</f>
        <v/>
      </c>
      <c r="K401" s="68">
        <f>_xlfn.XLOOKUP($A401,'09'!$G$3:$G$100,'09'!$R$3:$R$100,"-")</f>
        <v/>
      </c>
      <c r="L401" s="68">
        <f>_xlfn.XLOOKUP($A401,'10'!$G$3:$G$100,'10'!$R$3:$R$100,"-")</f>
        <v/>
      </c>
      <c r="M401" s="68">
        <f>_xlfn.XLOOKUP($A401,'11'!$G$3:$G$100,'11'!$R$3:$R$100,"-")</f>
        <v/>
      </c>
      <c r="N401" s="68">
        <f>_xlfn.XLOOKUP($A401,'12'!$G$3:$G$100,'12'!$R$3:$R$100,"-")</f>
        <v/>
      </c>
      <c r="O401" s="79">
        <f>SUM(C401:N401)</f>
        <v/>
      </c>
      <c r="P401" s="74" t="n"/>
      <c r="Q401" s="82" t="n">
        <v>399</v>
      </c>
      <c r="R401" s="38" t="n"/>
      <c r="S401" s="61" t="n">
        <v>0</v>
      </c>
      <c r="T401" s="68" t="n">
        <v>0</v>
      </c>
      <c r="U401" s="68" t="n">
        <v>0</v>
      </c>
      <c r="V401" s="68" t="n">
        <v>0</v>
      </c>
      <c r="W401" s="68" t="n">
        <v>0</v>
      </c>
      <c r="X401" s="68" t="n">
        <v>0</v>
      </c>
      <c r="Y401" s="68" t="n">
        <v>0</v>
      </c>
      <c r="Z401" s="68" t="n">
        <v>0</v>
      </c>
      <c r="AA401" s="68" t="n">
        <v>0</v>
      </c>
      <c r="AB401" s="68" t="n">
        <v>0</v>
      </c>
      <c r="AC401" s="68" t="n">
        <v>0</v>
      </c>
      <c r="AD401" s="68" t="n">
        <v>0</v>
      </c>
      <c r="AE401" s="68" t="n">
        <v>0</v>
      </c>
      <c r="AF401" s="79" t="n">
        <v>0</v>
      </c>
      <c r="AG401" s="74" t="n">
        <v>0</v>
      </c>
      <c r="AH401" s="82" t="n">
        <v>399</v>
      </c>
    </row>
    <row r="402" ht="18" customHeight="1">
      <c r="C402" s="68">
        <f>_xlfn.XLOOKUP($A402,'01'!$G$3:$G$100,'01'!$R$3:$R$100,"-")</f>
        <v/>
      </c>
      <c r="D402" s="68">
        <f>_xlfn.XLOOKUP($A402,'02'!$G$3:$G$100,'02'!$R$3:$R$100,"-")</f>
        <v/>
      </c>
      <c r="E402" s="68">
        <f>_xlfn.XLOOKUP($A402,'03'!$G$3:$G$100,'03'!$R$3:$R$100,"-")</f>
        <v/>
      </c>
      <c r="F402" s="68">
        <f>_xlfn.XLOOKUP($A402,'04'!$G$3:$G$100,'04'!$R$3:$R$100,"-")</f>
        <v/>
      </c>
      <c r="G402" s="68">
        <f>_xlfn.XLOOKUP($A402,'05'!$G$3:$G$100,'05'!$R$3:$R$100,"-")</f>
        <v/>
      </c>
      <c r="H402" s="68">
        <f>_xlfn.XLOOKUP($A402,'06'!$G$3:$G$100,'06'!$R$3:$R$100,"-")</f>
        <v/>
      </c>
      <c r="I402" s="68">
        <f>_xlfn.XLOOKUP($A402,'07'!$G$3:$G$100,'07'!$R$3:$R$100,"-")</f>
        <v/>
      </c>
      <c r="J402" s="68">
        <f>_xlfn.XLOOKUP($A402,'08'!$G$3:$G$100,'08'!$R$3:$R$100,"-")</f>
        <v/>
      </c>
      <c r="K402" s="68">
        <f>_xlfn.XLOOKUP($A402,'09'!$G$3:$G$100,'09'!$R$3:$R$100,"-")</f>
        <v/>
      </c>
      <c r="L402" s="68">
        <f>_xlfn.XLOOKUP($A402,'10'!$G$3:$G$100,'10'!$R$3:$R$100,"-")</f>
        <v/>
      </c>
      <c r="M402" s="68">
        <f>_xlfn.XLOOKUP($A402,'11'!$G$3:$G$100,'11'!$R$3:$R$100,"-")</f>
        <v/>
      </c>
      <c r="N402" s="68">
        <f>_xlfn.XLOOKUP($A402,'12'!$G$3:$G$100,'12'!$R$3:$R$100,"-")</f>
        <v/>
      </c>
      <c r="O402" s="79">
        <f>SUM(C402:N402)</f>
        <v/>
      </c>
      <c r="P402" s="74" t="n"/>
      <c r="Q402" s="82" t="n">
        <v>400</v>
      </c>
      <c r="R402" s="38" t="n"/>
      <c r="S402" s="61" t="n">
        <v>0</v>
      </c>
      <c r="T402" s="68" t="n">
        <v>0</v>
      </c>
      <c r="U402" s="68" t="n">
        <v>0</v>
      </c>
      <c r="V402" s="68" t="n">
        <v>0</v>
      </c>
      <c r="W402" s="68" t="n">
        <v>0</v>
      </c>
      <c r="X402" s="68" t="n">
        <v>0</v>
      </c>
      <c r="Y402" s="68" t="n">
        <v>0</v>
      </c>
      <c r="Z402" s="68" t="n">
        <v>0</v>
      </c>
      <c r="AA402" s="68" t="n">
        <v>0</v>
      </c>
      <c r="AB402" s="68" t="n">
        <v>0</v>
      </c>
      <c r="AC402" s="68" t="n">
        <v>0</v>
      </c>
      <c r="AD402" s="68" t="n">
        <v>0</v>
      </c>
      <c r="AE402" s="68" t="n">
        <v>0</v>
      </c>
      <c r="AF402" s="79" t="n">
        <v>0</v>
      </c>
      <c r="AG402" s="74" t="n">
        <v>0</v>
      </c>
      <c r="AH402" s="82" t="n">
        <v>400</v>
      </c>
    </row>
    <row r="403" ht="18" customHeight="1">
      <c r="C403" s="68">
        <f>_xlfn.XLOOKUP($A403,'01'!$G$3:$G$100,'01'!$R$3:$R$100,"-")</f>
        <v/>
      </c>
      <c r="D403" s="68">
        <f>_xlfn.XLOOKUP($A403,'02'!$G$3:$G$100,'02'!$R$3:$R$100,"-")</f>
        <v/>
      </c>
      <c r="E403" s="68">
        <f>_xlfn.XLOOKUP($A403,'03'!$G$3:$G$100,'03'!$R$3:$R$100,"-")</f>
        <v/>
      </c>
      <c r="F403" s="68">
        <f>_xlfn.XLOOKUP($A403,'04'!$G$3:$G$100,'04'!$R$3:$R$100,"-")</f>
        <v/>
      </c>
      <c r="G403" s="68">
        <f>_xlfn.XLOOKUP($A403,'05'!$G$3:$G$100,'05'!$R$3:$R$100,"-")</f>
        <v/>
      </c>
      <c r="H403" s="68">
        <f>_xlfn.XLOOKUP($A403,'06'!$G$3:$G$100,'06'!$R$3:$R$100,"-")</f>
        <v/>
      </c>
      <c r="I403" s="68">
        <f>_xlfn.XLOOKUP($A403,'07'!$G$3:$G$100,'07'!$R$3:$R$100,"-")</f>
        <v/>
      </c>
      <c r="J403" s="68">
        <f>_xlfn.XLOOKUP($A403,'08'!$G$3:$G$100,'08'!$R$3:$R$100,"-")</f>
        <v/>
      </c>
      <c r="K403" s="68">
        <f>_xlfn.XLOOKUP($A403,'09'!$G$3:$G$100,'09'!$R$3:$R$100,"-")</f>
        <v/>
      </c>
      <c r="L403" s="68">
        <f>_xlfn.XLOOKUP($A403,'10'!$G$3:$G$100,'10'!$R$3:$R$100,"-")</f>
        <v/>
      </c>
      <c r="M403" s="68">
        <f>_xlfn.XLOOKUP($A403,'11'!$G$3:$G$100,'11'!$R$3:$R$100,"-")</f>
        <v/>
      </c>
      <c r="N403" s="68">
        <f>_xlfn.XLOOKUP($A403,'12'!$G$3:$G$100,'12'!$R$3:$R$100,"-")</f>
        <v/>
      </c>
      <c r="O403" s="79">
        <f>SUM(C403:N403)</f>
        <v/>
      </c>
      <c r="P403" s="74" t="n"/>
      <c r="Q403" s="82" t="n">
        <v>401</v>
      </c>
      <c r="R403" s="38" t="n"/>
      <c r="S403" s="61" t="n">
        <v>0</v>
      </c>
      <c r="T403" s="68" t="n">
        <v>0</v>
      </c>
      <c r="U403" s="68" t="n">
        <v>0</v>
      </c>
      <c r="V403" s="68" t="n">
        <v>0</v>
      </c>
      <c r="W403" s="68" t="n">
        <v>0</v>
      </c>
      <c r="X403" s="68" t="n">
        <v>0</v>
      </c>
      <c r="Y403" s="68" t="n">
        <v>0</v>
      </c>
      <c r="Z403" s="68" t="n">
        <v>0</v>
      </c>
      <c r="AA403" s="68" t="n">
        <v>0</v>
      </c>
      <c r="AB403" s="68" t="n">
        <v>0</v>
      </c>
      <c r="AC403" s="68" t="n">
        <v>0</v>
      </c>
      <c r="AD403" s="68" t="n">
        <v>0</v>
      </c>
      <c r="AE403" s="68" t="n">
        <v>0</v>
      </c>
      <c r="AF403" s="79" t="n">
        <v>0</v>
      </c>
      <c r="AG403" s="74" t="n">
        <v>0</v>
      </c>
      <c r="AH403" s="82" t="n">
        <v>401</v>
      </c>
    </row>
    <row r="404" ht="18" customHeight="1">
      <c r="C404" s="68">
        <f>_xlfn.XLOOKUP($A404,'01'!$G$3:$G$100,'01'!$R$3:$R$100,"-")</f>
        <v/>
      </c>
      <c r="D404" s="68">
        <f>_xlfn.XLOOKUP($A404,'02'!$G$3:$G$100,'02'!$R$3:$R$100,"-")</f>
        <v/>
      </c>
      <c r="E404" s="68">
        <f>_xlfn.XLOOKUP($A404,'03'!$G$3:$G$100,'03'!$R$3:$R$100,"-")</f>
        <v/>
      </c>
      <c r="F404" s="68">
        <f>_xlfn.XLOOKUP($A404,'04'!$G$3:$G$100,'04'!$R$3:$R$100,"-")</f>
        <v/>
      </c>
      <c r="G404" s="68">
        <f>_xlfn.XLOOKUP($A404,'05'!$G$3:$G$100,'05'!$R$3:$R$100,"-")</f>
        <v/>
      </c>
      <c r="H404" s="68">
        <f>_xlfn.XLOOKUP($A404,'06'!$G$3:$G$100,'06'!$R$3:$R$100,"-")</f>
        <v/>
      </c>
      <c r="I404" s="68">
        <f>_xlfn.XLOOKUP($A404,'07'!$G$3:$G$100,'07'!$R$3:$R$100,"-")</f>
        <v/>
      </c>
      <c r="J404" s="68">
        <f>_xlfn.XLOOKUP($A404,'08'!$G$3:$G$100,'08'!$R$3:$R$100,"-")</f>
        <v/>
      </c>
      <c r="K404" s="68">
        <f>_xlfn.XLOOKUP($A404,'09'!$G$3:$G$100,'09'!$R$3:$R$100,"-")</f>
        <v/>
      </c>
      <c r="L404" s="68">
        <f>_xlfn.XLOOKUP($A404,'10'!$G$3:$G$100,'10'!$R$3:$R$100,"-")</f>
        <v/>
      </c>
      <c r="M404" s="68">
        <f>_xlfn.XLOOKUP($A404,'11'!$G$3:$G$100,'11'!$R$3:$R$100,"-")</f>
        <v/>
      </c>
      <c r="N404" s="68">
        <f>_xlfn.XLOOKUP($A404,'12'!$G$3:$G$100,'12'!$R$3:$R$100,"-")</f>
        <v/>
      </c>
      <c r="O404" s="79">
        <f>SUM(C404:N404)</f>
        <v/>
      </c>
      <c r="P404" s="74" t="n"/>
      <c r="Q404" s="82" t="n">
        <v>402</v>
      </c>
      <c r="R404" s="38" t="n"/>
      <c r="S404" s="61" t="n">
        <v>0</v>
      </c>
      <c r="T404" s="68" t="n">
        <v>0</v>
      </c>
      <c r="U404" s="68" t="n">
        <v>0</v>
      </c>
      <c r="V404" s="68" t="n">
        <v>0</v>
      </c>
      <c r="W404" s="68" t="n">
        <v>0</v>
      </c>
      <c r="X404" s="68" t="n">
        <v>0</v>
      </c>
      <c r="Y404" s="68" t="n">
        <v>0</v>
      </c>
      <c r="Z404" s="68" t="n">
        <v>0</v>
      </c>
      <c r="AA404" s="68" t="n">
        <v>0</v>
      </c>
      <c r="AB404" s="68" t="n">
        <v>0</v>
      </c>
      <c r="AC404" s="68" t="n">
        <v>0</v>
      </c>
      <c r="AD404" s="68" t="n">
        <v>0</v>
      </c>
      <c r="AE404" s="68" t="n">
        <v>0</v>
      </c>
      <c r="AF404" s="79" t="n">
        <v>0</v>
      </c>
      <c r="AG404" s="74" t="n">
        <v>0</v>
      </c>
      <c r="AH404" s="82" t="n">
        <v>402</v>
      </c>
    </row>
    <row r="405" ht="18" customHeight="1">
      <c r="C405" s="68">
        <f>_xlfn.XLOOKUP($A405,'01'!$G$3:$G$100,'01'!$R$3:$R$100,"-")</f>
        <v/>
      </c>
      <c r="D405" s="68">
        <f>_xlfn.XLOOKUP($A405,'02'!$G$3:$G$100,'02'!$R$3:$R$100,"-")</f>
        <v/>
      </c>
      <c r="E405" s="68">
        <f>_xlfn.XLOOKUP($A405,'03'!$G$3:$G$100,'03'!$R$3:$R$100,"-")</f>
        <v/>
      </c>
      <c r="F405" s="68">
        <f>_xlfn.XLOOKUP($A405,'04'!$G$3:$G$100,'04'!$R$3:$R$100,"-")</f>
        <v/>
      </c>
      <c r="G405" s="68">
        <f>_xlfn.XLOOKUP($A405,'05'!$G$3:$G$100,'05'!$R$3:$R$100,"-")</f>
        <v/>
      </c>
      <c r="H405" s="68">
        <f>_xlfn.XLOOKUP($A405,'06'!$G$3:$G$100,'06'!$R$3:$R$100,"-")</f>
        <v/>
      </c>
      <c r="I405" s="68">
        <f>_xlfn.XLOOKUP($A405,'07'!$G$3:$G$100,'07'!$R$3:$R$100,"-")</f>
        <v/>
      </c>
      <c r="J405" s="68">
        <f>_xlfn.XLOOKUP($A405,'08'!$G$3:$G$100,'08'!$R$3:$R$100,"-")</f>
        <v/>
      </c>
      <c r="K405" s="68">
        <f>_xlfn.XLOOKUP($A405,'09'!$G$3:$G$100,'09'!$R$3:$R$100,"-")</f>
        <v/>
      </c>
      <c r="L405" s="68">
        <f>_xlfn.XLOOKUP($A405,'10'!$G$3:$G$100,'10'!$R$3:$R$100,"-")</f>
        <v/>
      </c>
      <c r="M405" s="68">
        <f>_xlfn.XLOOKUP($A405,'11'!$G$3:$G$100,'11'!$R$3:$R$100,"-")</f>
        <v/>
      </c>
      <c r="N405" s="68">
        <f>_xlfn.XLOOKUP($A405,'12'!$G$3:$G$100,'12'!$R$3:$R$100,"-")</f>
        <v/>
      </c>
      <c r="O405" s="79">
        <f>SUM(C405:N405)</f>
        <v/>
      </c>
      <c r="P405" s="74" t="n"/>
      <c r="Q405" s="82" t="n">
        <v>403</v>
      </c>
      <c r="R405" s="38" t="n"/>
      <c r="S405" s="61" t="n">
        <v>0</v>
      </c>
      <c r="T405" s="68" t="n">
        <v>0</v>
      </c>
      <c r="U405" s="68" t="n">
        <v>0</v>
      </c>
      <c r="V405" s="68" t="n">
        <v>0</v>
      </c>
      <c r="W405" s="68" t="n">
        <v>0</v>
      </c>
      <c r="X405" s="68" t="n">
        <v>0</v>
      </c>
      <c r="Y405" s="68" t="n">
        <v>0</v>
      </c>
      <c r="Z405" s="68" t="n">
        <v>0</v>
      </c>
      <c r="AA405" s="68" t="n">
        <v>0</v>
      </c>
      <c r="AB405" s="68" t="n">
        <v>0</v>
      </c>
      <c r="AC405" s="68" t="n">
        <v>0</v>
      </c>
      <c r="AD405" s="68" t="n">
        <v>0</v>
      </c>
      <c r="AE405" s="68" t="n">
        <v>0</v>
      </c>
      <c r="AF405" s="79" t="n">
        <v>0</v>
      </c>
      <c r="AG405" s="74" t="n">
        <v>0</v>
      </c>
      <c r="AH405" s="82" t="n">
        <v>403</v>
      </c>
    </row>
    <row r="406" ht="18" customHeight="1">
      <c r="C406" s="68">
        <f>_xlfn.XLOOKUP($A406,'01'!$G$3:$G$100,'01'!$R$3:$R$100,"-")</f>
        <v/>
      </c>
      <c r="D406" s="68">
        <f>_xlfn.XLOOKUP($A406,'02'!$G$3:$G$100,'02'!$R$3:$R$100,"-")</f>
        <v/>
      </c>
      <c r="E406" s="68">
        <f>_xlfn.XLOOKUP($A406,'03'!$G$3:$G$100,'03'!$R$3:$R$100,"-")</f>
        <v/>
      </c>
      <c r="F406" s="68">
        <f>_xlfn.XLOOKUP($A406,'04'!$G$3:$G$100,'04'!$R$3:$R$100,"-")</f>
        <v/>
      </c>
      <c r="G406" s="68">
        <f>_xlfn.XLOOKUP($A406,'05'!$G$3:$G$100,'05'!$R$3:$R$100,"-")</f>
        <v/>
      </c>
      <c r="H406" s="68">
        <f>_xlfn.XLOOKUP($A406,'06'!$G$3:$G$100,'06'!$R$3:$R$100,"-")</f>
        <v/>
      </c>
      <c r="I406" s="68">
        <f>_xlfn.XLOOKUP($A406,'07'!$G$3:$G$100,'07'!$R$3:$R$100,"-")</f>
        <v/>
      </c>
      <c r="J406" s="68">
        <f>_xlfn.XLOOKUP($A406,'08'!$G$3:$G$100,'08'!$R$3:$R$100,"-")</f>
        <v/>
      </c>
      <c r="K406" s="68">
        <f>_xlfn.XLOOKUP($A406,'09'!$G$3:$G$100,'09'!$R$3:$R$100,"-")</f>
        <v/>
      </c>
      <c r="L406" s="68">
        <f>_xlfn.XLOOKUP($A406,'10'!$G$3:$G$100,'10'!$R$3:$R$100,"-")</f>
        <v/>
      </c>
      <c r="M406" s="68">
        <f>_xlfn.XLOOKUP($A406,'11'!$G$3:$G$100,'11'!$R$3:$R$100,"-")</f>
        <v/>
      </c>
      <c r="N406" s="68">
        <f>_xlfn.XLOOKUP($A406,'12'!$G$3:$G$100,'12'!$R$3:$R$100,"-")</f>
        <v/>
      </c>
      <c r="O406" s="79">
        <f>SUM(C406:N406)</f>
        <v/>
      </c>
      <c r="P406" s="74" t="n"/>
      <c r="Q406" s="82" t="n">
        <v>404</v>
      </c>
      <c r="R406" s="38" t="n"/>
      <c r="S406" s="61" t="n">
        <v>0</v>
      </c>
      <c r="T406" s="68" t="n">
        <v>0</v>
      </c>
      <c r="U406" s="68" t="n">
        <v>0</v>
      </c>
      <c r="V406" s="68" t="n">
        <v>0</v>
      </c>
      <c r="W406" s="68" t="n">
        <v>0</v>
      </c>
      <c r="X406" s="68" t="n">
        <v>0</v>
      </c>
      <c r="Y406" s="68" t="n">
        <v>0</v>
      </c>
      <c r="Z406" s="68" t="n">
        <v>0</v>
      </c>
      <c r="AA406" s="68" t="n">
        <v>0</v>
      </c>
      <c r="AB406" s="68" t="n">
        <v>0</v>
      </c>
      <c r="AC406" s="68" t="n">
        <v>0</v>
      </c>
      <c r="AD406" s="68" t="n">
        <v>0</v>
      </c>
      <c r="AE406" s="68" t="n">
        <v>0</v>
      </c>
      <c r="AF406" s="79" t="n">
        <v>0</v>
      </c>
      <c r="AG406" s="74" t="n">
        <v>0</v>
      </c>
      <c r="AH406" s="82" t="n">
        <v>404</v>
      </c>
    </row>
    <row r="407" ht="18" customHeight="1">
      <c r="C407" s="68">
        <f>_xlfn.XLOOKUP($A407,'01'!$G$3:$G$100,'01'!$R$3:$R$100,"-")</f>
        <v/>
      </c>
      <c r="D407" s="68">
        <f>_xlfn.XLOOKUP($A407,'02'!$G$3:$G$100,'02'!$R$3:$R$100,"-")</f>
        <v/>
      </c>
      <c r="E407" s="68">
        <f>_xlfn.XLOOKUP($A407,'03'!$G$3:$G$100,'03'!$R$3:$R$100,"-")</f>
        <v/>
      </c>
      <c r="F407" s="68">
        <f>_xlfn.XLOOKUP($A407,'04'!$G$3:$G$100,'04'!$R$3:$R$100,"-")</f>
        <v/>
      </c>
      <c r="G407" s="68">
        <f>_xlfn.XLOOKUP($A407,'05'!$G$3:$G$100,'05'!$R$3:$R$100,"-")</f>
        <v/>
      </c>
      <c r="H407" s="68">
        <f>_xlfn.XLOOKUP($A407,'06'!$G$3:$G$100,'06'!$R$3:$R$100,"-")</f>
        <v/>
      </c>
      <c r="I407" s="68">
        <f>_xlfn.XLOOKUP($A407,'07'!$G$3:$G$100,'07'!$R$3:$R$100,"-")</f>
        <v/>
      </c>
      <c r="J407" s="68">
        <f>_xlfn.XLOOKUP($A407,'08'!$G$3:$G$100,'08'!$R$3:$R$100,"-")</f>
        <v/>
      </c>
      <c r="K407" s="68">
        <f>_xlfn.XLOOKUP($A407,'09'!$G$3:$G$100,'09'!$R$3:$R$100,"-")</f>
        <v/>
      </c>
      <c r="L407" s="68">
        <f>_xlfn.XLOOKUP($A407,'10'!$G$3:$G$100,'10'!$R$3:$R$100,"-")</f>
        <v/>
      </c>
      <c r="M407" s="68">
        <f>_xlfn.XLOOKUP($A407,'11'!$G$3:$G$100,'11'!$R$3:$R$100,"-")</f>
        <v/>
      </c>
      <c r="N407" s="68">
        <f>_xlfn.XLOOKUP($A407,'12'!$G$3:$G$100,'12'!$R$3:$R$100,"-")</f>
        <v/>
      </c>
      <c r="O407" s="79">
        <f>SUM(C407:N407)</f>
        <v/>
      </c>
      <c r="P407" s="74" t="n"/>
      <c r="Q407" s="83" t="n">
        <v>405</v>
      </c>
      <c r="R407" s="38" t="n"/>
      <c r="S407" s="61" t="n">
        <v>0</v>
      </c>
      <c r="T407" s="68" t="n">
        <v>0</v>
      </c>
      <c r="U407" s="68" t="n">
        <v>0</v>
      </c>
      <c r="V407" s="68" t="n">
        <v>0</v>
      </c>
      <c r="W407" s="68" t="n">
        <v>0</v>
      </c>
      <c r="X407" s="68" t="n">
        <v>0</v>
      </c>
      <c r="Y407" s="68" t="n">
        <v>0</v>
      </c>
      <c r="Z407" s="68" t="n">
        <v>0</v>
      </c>
      <c r="AA407" s="68" t="n">
        <v>0</v>
      </c>
      <c r="AB407" s="68" t="n">
        <v>0</v>
      </c>
      <c r="AC407" s="68" t="n">
        <v>0</v>
      </c>
      <c r="AD407" s="68" t="n">
        <v>0</v>
      </c>
      <c r="AE407" s="68" t="n">
        <v>0</v>
      </c>
      <c r="AF407" s="79" t="n">
        <v>0</v>
      </c>
      <c r="AG407" s="74" t="n">
        <v>0</v>
      </c>
      <c r="AH407" s="83" t="n">
        <v>405</v>
      </c>
    </row>
    <row r="408" ht="18" customHeight="1">
      <c r="C408" s="68">
        <f>_xlfn.XLOOKUP($A408,'01'!$G$3:$G$100,'01'!$R$3:$R$100,"-")</f>
        <v/>
      </c>
      <c r="D408" s="68">
        <f>_xlfn.XLOOKUP($A408,'02'!$G$3:$G$100,'02'!$R$3:$R$100,"-")</f>
        <v/>
      </c>
      <c r="E408" s="68">
        <f>_xlfn.XLOOKUP($A408,'03'!$G$3:$G$100,'03'!$R$3:$R$100,"-")</f>
        <v/>
      </c>
      <c r="F408" s="68">
        <f>_xlfn.XLOOKUP($A408,'04'!$G$3:$G$100,'04'!$R$3:$R$100,"-")</f>
        <v/>
      </c>
      <c r="G408" s="68">
        <f>_xlfn.XLOOKUP($A408,'05'!$G$3:$G$100,'05'!$R$3:$R$100,"-")</f>
        <v/>
      </c>
      <c r="H408" s="68">
        <f>_xlfn.XLOOKUP($A408,'06'!$G$3:$G$100,'06'!$R$3:$R$100,"-")</f>
        <v/>
      </c>
      <c r="I408" s="68">
        <f>_xlfn.XLOOKUP($A408,'07'!$G$3:$G$100,'07'!$R$3:$R$100,"-")</f>
        <v/>
      </c>
      <c r="J408" s="68">
        <f>_xlfn.XLOOKUP($A408,'08'!$G$3:$G$100,'08'!$R$3:$R$100,"-")</f>
        <v/>
      </c>
      <c r="K408" s="68">
        <f>_xlfn.XLOOKUP($A408,'09'!$G$3:$G$100,'09'!$R$3:$R$100,"-")</f>
        <v/>
      </c>
      <c r="L408" s="68">
        <f>_xlfn.XLOOKUP($A408,'10'!$G$3:$G$100,'10'!$R$3:$R$100,"-")</f>
        <v/>
      </c>
      <c r="M408" s="68">
        <f>_xlfn.XLOOKUP($A408,'11'!$G$3:$G$100,'11'!$R$3:$R$100,"-")</f>
        <v/>
      </c>
      <c r="N408" s="68">
        <f>_xlfn.XLOOKUP($A408,'12'!$G$3:$G$100,'12'!$R$3:$R$100,"-")</f>
        <v/>
      </c>
      <c r="O408" s="79">
        <f>SUM(C408:N408)</f>
        <v/>
      </c>
      <c r="P408" s="74" t="n"/>
      <c r="Q408" s="82" t="n">
        <v>406</v>
      </c>
      <c r="R408" s="38" t="n"/>
      <c r="S408" s="61" t="n">
        <v>0</v>
      </c>
      <c r="T408" s="68" t="n">
        <v>0</v>
      </c>
      <c r="U408" s="68" t="n">
        <v>0</v>
      </c>
      <c r="V408" s="68" t="n">
        <v>0</v>
      </c>
      <c r="W408" s="68" t="n">
        <v>0</v>
      </c>
      <c r="X408" s="68" t="n">
        <v>0</v>
      </c>
      <c r="Y408" s="68" t="n">
        <v>0</v>
      </c>
      <c r="Z408" s="68" t="n">
        <v>0</v>
      </c>
      <c r="AA408" s="68" t="n">
        <v>0</v>
      </c>
      <c r="AB408" s="68" t="n">
        <v>0</v>
      </c>
      <c r="AC408" s="68" t="n">
        <v>0</v>
      </c>
      <c r="AD408" s="68" t="n">
        <v>0</v>
      </c>
      <c r="AE408" s="68" t="n">
        <v>0</v>
      </c>
      <c r="AF408" s="79" t="n">
        <v>0</v>
      </c>
      <c r="AG408" s="74" t="n">
        <v>0</v>
      </c>
      <c r="AH408" s="82" t="n">
        <v>406</v>
      </c>
    </row>
    <row r="409" ht="18" customHeight="1">
      <c r="C409" s="68">
        <f>_xlfn.XLOOKUP($A409,'01'!$G$3:$G$100,'01'!$R$3:$R$100,"-")</f>
        <v/>
      </c>
      <c r="D409" s="68">
        <f>_xlfn.XLOOKUP($A409,'02'!$G$3:$G$100,'02'!$R$3:$R$100,"-")</f>
        <v/>
      </c>
      <c r="E409" s="68">
        <f>_xlfn.XLOOKUP($A409,'03'!$G$3:$G$100,'03'!$R$3:$R$100,"-")</f>
        <v/>
      </c>
      <c r="F409" s="68">
        <f>_xlfn.XLOOKUP($A409,'04'!$G$3:$G$100,'04'!$R$3:$R$100,"-")</f>
        <v/>
      </c>
      <c r="G409" s="68">
        <f>_xlfn.XLOOKUP($A409,'05'!$G$3:$G$100,'05'!$R$3:$R$100,"-")</f>
        <v/>
      </c>
      <c r="H409" s="68">
        <f>_xlfn.XLOOKUP($A409,'06'!$G$3:$G$100,'06'!$R$3:$R$100,"-")</f>
        <v/>
      </c>
      <c r="I409" s="68">
        <f>_xlfn.XLOOKUP($A409,'07'!$G$3:$G$100,'07'!$R$3:$R$100,"-")</f>
        <v/>
      </c>
      <c r="J409" s="68">
        <f>_xlfn.XLOOKUP($A409,'08'!$G$3:$G$100,'08'!$R$3:$R$100,"-")</f>
        <v/>
      </c>
      <c r="K409" s="68">
        <f>_xlfn.XLOOKUP($A409,'09'!$G$3:$G$100,'09'!$R$3:$R$100,"-")</f>
        <v/>
      </c>
      <c r="L409" s="68">
        <f>_xlfn.XLOOKUP($A409,'10'!$G$3:$G$100,'10'!$R$3:$R$100,"-")</f>
        <v/>
      </c>
      <c r="M409" s="68">
        <f>_xlfn.XLOOKUP($A409,'11'!$G$3:$G$100,'11'!$R$3:$R$100,"-")</f>
        <v/>
      </c>
      <c r="N409" s="68">
        <f>_xlfn.XLOOKUP($A409,'12'!$G$3:$G$100,'12'!$R$3:$R$100,"-")</f>
        <v/>
      </c>
      <c r="O409" s="79">
        <f>SUM(C409:N409)</f>
        <v/>
      </c>
      <c r="P409" s="74" t="n"/>
      <c r="Q409" s="82" t="n">
        <v>407</v>
      </c>
      <c r="R409" s="38" t="n"/>
      <c r="S409" s="61" t="n">
        <v>0</v>
      </c>
      <c r="T409" s="68" t="n">
        <v>0</v>
      </c>
      <c r="U409" s="68" t="n">
        <v>0</v>
      </c>
      <c r="V409" s="68" t="n">
        <v>0</v>
      </c>
      <c r="W409" s="68" t="n">
        <v>0</v>
      </c>
      <c r="X409" s="68" t="n">
        <v>0</v>
      </c>
      <c r="Y409" s="68" t="n">
        <v>0</v>
      </c>
      <c r="Z409" s="68" t="n">
        <v>0</v>
      </c>
      <c r="AA409" s="68" t="n">
        <v>0</v>
      </c>
      <c r="AB409" s="68" t="n">
        <v>0</v>
      </c>
      <c r="AC409" s="68" t="n">
        <v>0</v>
      </c>
      <c r="AD409" s="68" t="n">
        <v>0</v>
      </c>
      <c r="AE409" s="68" t="n">
        <v>0</v>
      </c>
      <c r="AF409" s="79" t="n">
        <v>0</v>
      </c>
      <c r="AG409" s="74" t="n">
        <v>0</v>
      </c>
      <c r="AH409" s="82" t="n">
        <v>407</v>
      </c>
    </row>
    <row r="410" ht="18" customHeight="1">
      <c r="C410" s="68">
        <f>_xlfn.XLOOKUP($A410,'01'!$G$3:$G$100,'01'!$R$3:$R$100,"-")</f>
        <v/>
      </c>
      <c r="D410" s="68">
        <f>_xlfn.XLOOKUP($A410,'02'!$G$3:$G$100,'02'!$R$3:$R$100,"-")</f>
        <v/>
      </c>
      <c r="E410" s="68">
        <f>_xlfn.XLOOKUP($A410,'03'!$G$3:$G$100,'03'!$R$3:$R$100,"-")</f>
        <v/>
      </c>
      <c r="F410" s="68">
        <f>_xlfn.XLOOKUP($A410,'04'!$G$3:$G$100,'04'!$R$3:$R$100,"-")</f>
        <v/>
      </c>
      <c r="G410" s="68">
        <f>_xlfn.XLOOKUP($A410,'05'!$G$3:$G$100,'05'!$R$3:$R$100,"-")</f>
        <v/>
      </c>
      <c r="H410" s="68">
        <f>_xlfn.XLOOKUP($A410,'06'!$G$3:$G$100,'06'!$R$3:$R$100,"-")</f>
        <v/>
      </c>
      <c r="I410" s="68">
        <f>_xlfn.XLOOKUP($A410,'07'!$G$3:$G$100,'07'!$R$3:$R$100,"-")</f>
        <v/>
      </c>
      <c r="J410" s="68">
        <f>_xlfn.XLOOKUP($A410,'08'!$G$3:$G$100,'08'!$R$3:$R$100,"-")</f>
        <v/>
      </c>
      <c r="K410" s="68">
        <f>_xlfn.XLOOKUP($A410,'09'!$G$3:$G$100,'09'!$R$3:$R$100,"-")</f>
        <v/>
      </c>
      <c r="L410" s="68">
        <f>_xlfn.XLOOKUP($A410,'10'!$G$3:$G$100,'10'!$R$3:$R$100,"-")</f>
        <v/>
      </c>
      <c r="M410" s="68">
        <f>_xlfn.XLOOKUP($A410,'11'!$G$3:$G$100,'11'!$R$3:$R$100,"-")</f>
        <v/>
      </c>
      <c r="N410" s="68">
        <f>_xlfn.XLOOKUP($A410,'12'!$G$3:$G$100,'12'!$R$3:$R$100,"-")</f>
        <v/>
      </c>
      <c r="O410" s="79">
        <f>SUM(C410:N410)</f>
        <v/>
      </c>
      <c r="P410" s="74" t="n"/>
      <c r="Q410" s="82" t="n">
        <v>408</v>
      </c>
      <c r="R410" s="38" t="n"/>
      <c r="S410" s="61" t="n">
        <v>0</v>
      </c>
      <c r="T410" s="68" t="n">
        <v>0</v>
      </c>
      <c r="U410" s="68" t="n">
        <v>0</v>
      </c>
      <c r="V410" s="68" t="n">
        <v>0</v>
      </c>
      <c r="W410" s="68" t="n">
        <v>0</v>
      </c>
      <c r="X410" s="68" t="n">
        <v>0</v>
      </c>
      <c r="Y410" s="68" t="n">
        <v>0</v>
      </c>
      <c r="Z410" s="68" t="n">
        <v>0</v>
      </c>
      <c r="AA410" s="68" t="n">
        <v>0</v>
      </c>
      <c r="AB410" s="68" t="n">
        <v>0</v>
      </c>
      <c r="AC410" s="68" t="n">
        <v>0</v>
      </c>
      <c r="AD410" s="68" t="n">
        <v>0</v>
      </c>
      <c r="AE410" s="68" t="n">
        <v>0</v>
      </c>
      <c r="AF410" s="79" t="n">
        <v>0</v>
      </c>
      <c r="AG410" s="74" t="n">
        <v>0</v>
      </c>
      <c r="AH410" s="82" t="n">
        <v>408</v>
      </c>
    </row>
    <row r="411" ht="18" customHeight="1">
      <c r="C411" s="68">
        <f>_xlfn.XLOOKUP($A411,'01'!$G$3:$G$100,'01'!$R$3:$R$100,"-")</f>
        <v/>
      </c>
      <c r="D411" s="68">
        <f>_xlfn.XLOOKUP($A411,'02'!$G$3:$G$100,'02'!$R$3:$R$100,"-")</f>
        <v/>
      </c>
      <c r="E411" s="68">
        <f>_xlfn.XLOOKUP($A411,'03'!$G$3:$G$100,'03'!$R$3:$R$100,"-")</f>
        <v/>
      </c>
      <c r="F411" s="68">
        <f>_xlfn.XLOOKUP($A411,'04'!$G$3:$G$100,'04'!$R$3:$R$100,"-")</f>
        <v/>
      </c>
      <c r="G411" s="68">
        <f>_xlfn.XLOOKUP($A411,'05'!$G$3:$G$100,'05'!$R$3:$R$100,"-")</f>
        <v/>
      </c>
      <c r="H411" s="68">
        <f>_xlfn.XLOOKUP($A411,'06'!$G$3:$G$100,'06'!$R$3:$R$100,"-")</f>
        <v/>
      </c>
      <c r="I411" s="68">
        <f>_xlfn.XLOOKUP($A411,'07'!$G$3:$G$100,'07'!$R$3:$R$100,"-")</f>
        <v/>
      </c>
      <c r="J411" s="68">
        <f>_xlfn.XLOOKUP($A411,'08'!$G$3:$G$100,'08'!$R$3:$R$100,"-")</f>
        <v/>
      </c>
      <c r="K411" s="68">
        <f>_xlfn.XLOOKUP($A411,'09'!$G$3:$G$100,'09'!$R$3:$R$100,"-")</f>
        <v/>
      </c>
      <c r="L411" s="68">
        <f>_xlfn.XLOOKUP($A411,'10'!$G$3:$G$100,'10'!$R$3:$R$100,"-")</f>
        <v/>
      </c>
      <c r="M411" s="68">
        <f>_xlfn.XLOOKUP($A411,'11'!$G$3:$G$100,'11'!$R$3:$R$100,"-")</f>
        <v/>
      </c>
      <c r="N411" s="68">
        <f>_xlfn.XLOOKUP($A411,'12'!$G$3:$G$100,'12'!$R$3:$R$100,"-")</f>
        <v/>
      </c>
      <c r="O411" s="79">
        <f>SUM(C411:N411)</f>
        <v/>
      </c>
      <c r="P411" s="74" t="n"/>
      <c r="Q411" s="82" t="n">
        <v>409</v>
      </c>
      <c r="R411" s="38" t="n"/>
      <c r="S411" s="61" t="n">
        <v>0</v>
      </c>
      <c r="T411" s="68" t="n">
        <v>0</v>
      </c>
      <c r="U411" s="68" t="n">
        <v>0</v>
      </c>
      <c r="V411" s="68" t="n">
        <v>0</v>
      </c>
      <c r="W411" s="68" t="n">
        <v>0</v>
      </c>
      <c r="X411" s="68" t="n">
        <v>0</v>
      </c>
      <c r="Y411" s="68" t="n">
        <v>0</v>
      </c>
      <c r="Z411" s="68" t="n">
        <v>0</v>
      </c>
      <c r="AA411" s="68" t="n">
        <v>0</v>
      </c>
      <c r="AB411" s="68" t="n">
        <v>0</v>
      </c>
      <c r="AC411" s="68" t="n">
        <v>0</v>
      </c>
      <c r="AD411" s="68" t="n">
        <v>0</v>
      </c>
      <c r="AE411" s="68" t="n">
        <v>0</v>
      </c>
      <c r="AF411" s="79" t="n">
        <v>0</v>
      </c>
      <c r="AG411" s="74" t="n">
        <v>0</v>
      </c>
      <c r="AH411" s="82" t="n">
        <v>409</v>
      </c>
    </row>
    <row r="412" ht="18" customHeight="1">
      <c r="C412" s="68">
        <f>_xlfn.XLOOKUP($A412,'01'!$G$3:$G$100,'01'!$R$3:$R$100,"-")</f>
        <v/>
      </c>
      <c r="D412" s="68">
        <f>_xlfn.XLOOKUP($A412,'02'!$G$3:$G$100,'02'!$R$3:$R$100,"-")</f>
        <v/>
      </c>
      <c r="E412" s="68">
        <f>_xlfn.XLOOKUP($A412,'03'!$G$3:$G$100,'03'!$R$3:$R$100,"-")</f>
        <v/>
      </c>
      <c r="F412" s="68">
        <f>_xlfn.XLOOKUP($A412,'04'!$G$3:$G$100,'04'!$R$3:$R$100,"-")</f>
        <v/>
      </c>
      <c r="G412" s="68">
        <f>_xlfn.XLOOKUP($A412,'05'!$G$3:$G$100,'05'!$R$3:$R$100,"-")</f>
        <v/>
      </c>
      <c r="H412" s="68">
        <f>_xlfn.XLOOKUP($A412,'06'!$G$3:$G$100,'06'!$R$3:$R$100,"-")</f>
        <v/>
      </c>
      <c r="I412" s="68">
        <f>_xlfn.XLOOKUP($A412,'07'!$G$3:$G$100,'07'!$R$3:$R$100,"-")</f>
        <v/>
      </c>
      <c r="J412" s="68">
        <f>_xlfn.XLOOKUP($A412,'08'!$G$3:$G$100,'08'!$R$3:$R$100,"-")</f>
        <v/>
      </c>
      <c r="K412" s="68">
        <f>_xlfn.XLOOKUP($A412,'09'!$G$3:$G$100,'09'!$R$3:$R$100,"-")</f>
        <v/>
      </c>
      <c r="L412" s="68">
        <f>_xlfn.XLOOKUP($A412,'10'!$G$3:$G$100,'10'!$R$3:$R$100,"-")</f>
        <v/>
      </c>
      <c r="M412" s="68">
        <f>_xlfn.XLOOKUP($A412,'11'!$G$3:$G$100,'11'!$R$3:$R$100,"-")</f>
        <v/>
      </c>
      <c r="N412" s="68">
        <f>_xlfn.XLOOKUP($A412,'12'!$G$3:$G$100,'12'!$R$3:$R$100,"-")</f>
        <v/>
      </c>
      <c r="O412" s="79">
        <f>SUM(C412:N412)</f>
        <v/>
      </c>
      <c r="P412" s="74" t="n"/>
      <c r="Q412" s="82" t="n">
        <v>410</v>
      </c>
      <c r="R412" s="38" t="n"/>
      <c r="S412" s="61" t="n">
        <v>0</v>
      </c>
      <c r="T412" s="68" t="n">
        <v>0</v>
      </c>
      <c r="U412" s="68" t="n">
        <v>0</v>
      </c>
      <c r="V412" s="68" t="n">
        <v>0</v>
      </c>
      <c r="W412" s="68" t="n">
        <v>0</v>
      </c>
      <c r="X412" s="68" t="n">
        <v>0</v>
      </c>
      <c r="Y412" s="68" t="n">
        <v>0</v>
      </c>
      <c r="Z412" s="68" t="n">
        <v>0</v>
      </c>
      <c r="AA412" s="68" t="n">
        <v>0</v>
      </c>
      <c r="AB412" s="68" t="n">
        <v>0</v>
      </c>
      <c r="AC412" s="68" t="n">
        <v>0</v>
      </c>
      <c r="AD412" s="68" t="n">
        <v>0</v>
      </c>
      <c r="AE412" s="68" t="n">
        <v>0</v>
      </c>
      <c r="AF412" s="79" t="n">
        <v>0</v>
      </c>
      <c r="AG412" s="74" t="n">
        <v>0</v>
      </c>
      <c r="AH412" s="82" t="n">
        <v>410</v>
      </c>
    </row>
    <row r="413" ht="18" customHeight="1">
      <c r="C413" s="68">
        <f>_xlfn.XLOOKUP($A413,'01'!$G$3:$G$100,'01'!$R$3:$R$100,"-")</f>
        <v/>
      </c>
      <c r="D413" s="68">
        <f>_xlfn.XLOOKUP($A413,'02'!$G$3:$G$100,'02'!$R$3:$R$100,"-")</f>
        <v/>
      </c>
      <c r="E413" s="68">
        <f>_xlfn.XLOOKUP($A413,'03'!$G$3:$G$100,'03'!$R$3:$R$100,"-")</f>
        <v/>
      </c>
      <c r="F413" s="68">
        <f>_xlfn.XLOOKUP($A413,'04'!$G$3:$G$100,'04'!$R$3:$R$100,"-")</f>
        <v/>
      </c>
      <c r="G413" s="68">
        <f>_xlfn.XLOOKUP($A413,'05'!$G$3:$G$100,'05'!$R$3:$R$100,"-")</f>
        <v/>
      </c>
      <c r="H413" s="68">
        <f>_xlfn.XLOOKUP($A413,'06'!$G$3:$G$100,'06'!$R$3:$R$100,"-")</f>
        <v/>
      </c>
      <c r="I413" s="68">
        <f>_xlfn.XLOOKUP($A413,'07'!$G$3:$G$100,'07'!$R$3:$R$100,"-")</f>
        <v/>
      </c>
      <c r="J413" s="68">
        <f>_xlfn.XLOOKUP($A413,'08'!$G$3:$G$100,'08'!$R$3:$R$100,"-")</f>
        <v/>
      </c>
      <c r="K413" s="68">
        <f>_xlfn.XLOOKUP($A413,'09'!$G$3:$G$100,'09'!$R$3:$R$100,"-")</f>
        <v/>
      </c>
      <c r="L413" s="68">
        <f>_xlfn.XLOOKUP($A413,'10'!$G$3:$G$100,'10'!$R$3:$R$100,"-")</f>
        <v/>
      </c>
      <c r="M413" s="68">
        <f>_xlfn.XLOOKUP($A413,'11'!$G$3:$G$100,'11'!$R$3:$R$100,"-")</f>
        <v/>
      </c>
      <c r="N413" s="68">
        <f>_xlfn.XLOOKUP($A413,'12'!$G$3:$G$100,'12'!$R$3:$R$100,"-")</f>
        <v/>
      </c>
      <c r="O413" s="79">
        <f>SUM(C413:N413)</f>
        <v/>
      </c>
      <c r="P413" s="74" t="n"/>
      <c r="Q413" s="82" t="n">
        <v>411</v>
      </c>
      <c r="R413" s="38" t="n"/>
      <c r="S413" s="61" t="n">
        <v>0</v>
      </c>
      <c r="T413" s="68" t="n">
        <v>0</v>
      </c>
      <c r="U413" s="68" t="n">
        <v>0</v>
      </c>
      <c r="V413" s="68" t="n">
        <v>0</v>
      </c>
      <c r="W413" s="68" t="n">
        <v>0</v>
      </c>
      <c r="X413" s="68" t="n">
        <v>0</v>
      </c>
      <c r="Y413" s="68" t="n">
        <v>0</v>
      </c>
      <c r="Z413" s="68" t="n">
        <v>0</v>
      </c>
      <c r="AA413" s="68" t="n">
        <v>0</v>
      </c>
      <c r="AB413" s="68" t="n">
        <v>0</v>
      </c>
      <c r="AC413" s="68" t="n">
        <v>0</v>
      </c>
      <c r="AD413" s="68" t="n">
        <v>0</v>
      </c>
      <c r="AE413" s="68" t="n">
        <v>0</v>
      </c>
      <c r="AF413" s="79" t="n">
        <v>0</v>
      </c>
      <c r="AG413" s="74" t="n">
        <v>0</v>
      </c>
      <c r="AH413" s="82" t="n">
        <v>411</v>
      </c>
    </row>
    <row r="414" ht="18" customHeight="1">
      <c r="C414" s="68">
        <f>_xlfn.XLOOKUP($A414,'01'!$G$3:$G$100,'01'!$R$3:$R$100,"-")</f>
        <v/>
      </c>
      <c r="D414" s="68">
        <f>_xlfn.XLOOKUP($A414,'02'!$G$3:$G$100,'02'!$R$3:$R$100,"-")</f>
        <v/>
      </c>
      <c r="E414" s="68">
        <f>_xlfn.XLOOKUP($A414,'03'!$G$3:$G$100,'03'!$R$3:$R$100,"-")</f>
        <v/>
      </c>
      <c r="F414" s="68">
        <f>_xlfn.XLOOKUP($A414,'04'!$G$3:$G$100,'04'!$R$3:$R$100,"-")</f>
        <v/>
      </c>
      <c r="G414" s="68">
        <f>_xlfn.XLOOKUP($A414,'05'!$G$3:$G$100,'05'!$R$3:$R$100,"-")</f>
        <v/>
      </c>
      <c r="H414" s="68">
        <f>_xlfn.XLOOKUP($A414,'06'!$G$3:$G$100,'06'!$R$3:$R$100,"-")</f>
        <v/>
      </c>
      <c r="I414" s="68">
        <f>_xlfn.XLOOKUP($A414,'07'!$G$3:$G$100,'07'!$R$3:$R$100,"-")</f>
        <v/>
      </c>
      <c r="J414" s="68">
        <f>_xlfn.XLOOKUP($A414,'08'!$G$3:$G$100,'08'!$R$3:$R$100,"-")</f>
        <v/>
      </c>
      <c r="K414" s="68">
        <f>_xlfn.XLOOKUP($A414,'09'!$G$3:$G$100,'09'!$R$3:$R$100,"-")</f>
        <v/>
      </c>
      <c r="L414" s="68">
        <f>_xlfn.XLOOKUP($A414,'10'!$G$3:$G$100,'10'!$R$3:$R$100,"-")</f>
        <v/>
      </c>
      <c r="M414" s="68">
        <f>_xlfn.XLOOKUP($A414,'11'!$G$3:$G$100,'11'!$R$3:$R$100,"-")</f>
        <v/>
      </c>
      <c r="N414" s="68">
        <f>_xlfn.XLOOKUP($A414,'12'!$G$3:$G$100,'12'!$R$3:$R$100,"-")</f>
        <v/>
      </c>
      <c r="O414" s="79">
        <f>SUM(C414:N414)</f>
        <v/>
      </c>
      <c r="P414" s="74" t="n"/>
      <c r="Q414" s="82" t="n">
        <v>412</v>
      </c>
      <c r="R414" s="38" t="n"/>
      <c r="S414" s="61" t="n">
        <v>0</v>
      </c>
      <c r="T414" s="68" t="n">
        <v>0</v>
      </c>
      <c r="U414" s="68" t="n">
        <v>0</v>
      </c>
      <c r="V414" s="68" t="n">
        <v>0</v>
      </c>
      <c r="W414" s="68" t="n">
        <v>0</v>
      </c>
      <c r="X414" s="68" t="n">
        <v>0</v>
      </c>
      <c r="Y414" s="68" t="n">
        <v>0</v>
      </c>
      <c r="Z414" s="68" t="n">
        <v>0</v>
      </c>
      <c r="AA414" s="68" t="n">
        <v>0</v>
      </c>
      <c r="AB414" s="68" t="n">
        <v>0</v>
      </c>
      <c r="AC414" s="68" t="n">
        <v>0</v>
      </c>
      <c r="AD414" s="68" t="n">
        <v>0</v>
      </c>
      <c r="AE414" s="68" t="n">
        <v>0</v>
      </c>
      <c r="AF414" s="79" t="n">
        <v>0</v>
      </c>
      <c r="AG414" s="74" t="n">
        <v>0</v>
      </c>
      <c r="AH414" s="82" t="n">
        <v>412</v>
      </c>
    </row>
    <row r="415" ht="18" customHeight="1">
      <c r="C415" s="68">
        <f>_xlfn.XLOOKUP($A415,'01'!$G$3:$G$100,'01'!$R$3:$R$100,"-")</f>
        <v/>
      </c>
      <c r="D415" s="68">
        <f>_xlfn.XLOOKUP($A415,'02'!$G$3:$G$100,'02'!$R$3:$R$100,"-")</f>
        <v/>
      </c>
      <c r="E415" s="68">
        <f>_xlfn.XLOOKUP($A415,'03'!$G$3:$G$100,'03'!$R$3:$R$100,"-")</f>
        <v/>
      </c>
      <c r="F415" s="68">
        <f>_xlfn.XLOOKUP($A415,'04'!$G$3:$G$100,'04'!$R$3:$R$100,"-")</f>
        <v/>
      </c>
      <c r="G415" s="68">
        <f>_xlfn.XLOOKUP($A415,'05'!$G$3:$G$100,'05'!$R$3:$R$100,"-")</f>
        <v/>
      </c>
      <c r="H415" s="68">
        <f>_xlfn.XLOOKUP($A415,'06'!$G$3:$G$100,'06'!$R$3:$R$100,"-")</f>
        <v/>
      </c>
      <c r="I415" s="68">
        <f>_xlfn.XLOOKUP($A415,'07'!$G$3:$G$100,'07'!$R$3:$R$100,"-")</f>
        <v/>
      </c>
      <c r="J415" s="68">
        <f>_xlfn.XLOOKUP($A415,'08'!$G$3:$G$100,'08'!$R$3:$R$100,"-")</f>
        <v/>
      </c>
      <c r="K415" s="68">
        <f>_xlfn.XLOOKUP($A415,'09'!$G$3:$G$100,'09'!$R$3:$R$100,"-")</f>
        <v/>
      </c>
      <c r="L415" s="68">
        <f>_xlfn.XLOOKUP($A415,'10'!$G$3:$G$100,'10'!$R$3:$R$100,"-")</f>
        <v/>
      </c>
      <c r="M415" s="68">
        <f>_xlfn.XLOOKUP($A415,'11'!$G$3:$G$100,'11'!$R$3:$R$100,"-")</f>
        <v/>
      </c>
      <c r="N415" s="68">
        <f>_xlfn.XLOOKUP($A415,'12'!$G$3:$G$100,'12'!$R$3:$R$100,"-")</f>
        <v/>
      </c>
      <c r="O415" s="79">
        <f>SUM(C415:N415)</f>
        <v/>
      </c>
      <c r="P415" s="74" t="n"/>
      <c r="Q415" s="82" t="n">
        <v>413</v>
      </c>
      <c r="R415" s="38" t="n"/>
      <c r="S415" s="61" t="n">
        <v>0</v>
      </c>
      <c r="T415" s="68" t="n">
        <v>0</v>
      </c>
      <c r="U415" s="68" t="n">
        <v>0</v>
      </c>
      <c r="V415" s="68" t="n">
        <v>0</v>
      </c>
      <c r="W415" s="68" t="n">
        <v>0</v>
      </c>
      <c r="X415" s="68" t="n">
        <v>0</v>
      </c>
      <c r="Y415" s="68" t="n">
        <v>0</v>
      </c>
      <c r="Z415" s="68" t="n">
        <v>0</v>
      </c>
      <c r="AA415" s="68" t="n">
        <v>0</v>
      </c>
      <c r="AB415" s="68" t="n">
        <v>0</v>
      </c>
      <c r="AC415" s="68" t="n">
        <v>0</v>
      </c>
      <c r="AD415" s="68" t="n">
        <v>0</v>
      </c>
      <c r="AE415" s="68" t="n">
        <v>0</v>
      </c>
      <c r="AF415" s="79" t="n">
        <v>0</v>
      </c>
      <c r="AG415" s="74" t="n">
        <v>0</v>
      </c>
      <c r="AH415" s="82" t="n">
        <v>413</v>
      </c>
    </row>
    <row r="416" ht="18" customHeight="1">
      <c r="C416" s="68">
        <f>_xlfn.XLOOKUP($A416,'01'!$G$3:$G$100,'01'!$R$3:$R$100,"-")</f>
        <v/>
      </c>
      <c r="D416" s="68">
        <f>_xlfn.XLOOKUP($A416,'02'!$G$3:$G$100,'02'!$R$3:$R$100,"-")</f>
        <v/>
      </c>
      <c r="E416" s="68">
        <f>_xlfn.XLOOKUP($A416,'03'!$G$3:$G$100,'03'!$R$3:$R$100,"-")</f>
        <v/>
      </c>
      <c r="F416" s="68">
        <f>_xlfn.XLOOKUP($A416,'04'!$G$3:$G$100,'04'!$R$3:$R$100,"-")</f>
        <v/>
      </c>
      <c r="G416" s="68">
        <f>_xlfn.XLOOKUP($A416,'05'!$G$3:$G$100,'05'!$R$3:$R$100,"-")</f>
        <v/>
      </c>
      <c r="H416" s="68">
        <f>_xlfn.XLOOKUP($A416,'06'!$G$3:$G$100,'06'!$R$3:$R$100,"-")</f>
        <v/>
      </c>
      <c r="I416" s="68">
        <f>_xlfn.XLOOKUP($A416,'07'!$G$3:$G$100,'07'!$R$3:$R$100,"-")</f>
        <v/>
      </c>
      <c r="J416" s="68">
        <f>_xlfn.XLOOKUP($A416,'08'!$G$3:$G$100,'08'!$R$3:$R$100,"-")</f>
        <v/>
      </c>
      <c r="K416" s="68">
        <f>_xlfn.XLOOKUP($A416,'09'!$G$3:$G$100,'09'!$R$3:$R$100,"-")</f>
        <v/>
      </c>
      <c r="L416" s="68">
        <f>_xlfn.XLOOKUP($A416,'10'!$G$3:$G$100,'10'!$R$3:$R$100,"-")</f>
        <v/>
      </c>
      <c r="M416" s="68">
        <f>_xlfn.XLOOKUP($A416,'11'!$G$3:$G$100,'11'!$R$3:$R$100,"-")</f>
        <v/>
      </c>
      <c r="N416" s="68">
        <f>_xlfn.XLOOKUP($A416,'12'!$G$3:$G$100,'12'!$R$3:$R$100,"-")</f>
        <v/>
      </c>
      <c r="O416" s="79">
        <f>SUM(C416:N416)</f>
        <v/>
      </c>
      <c r="P416" s="74" t="n"/>
      <c r="Q416" s="82" t="n">
        <v>414</v>
      </c>
      <c r="R416" s="38" t="n"/>
      <c r="S416" s="61" t="n">
        <v>0</v>
      </c>
      <c r="T416" s="68" t="n">
        <v>0</v>
      </c>
      <c r="U416" s="68" t="n">
        <v>0</v>
      </c>
      <c r="V416" s="68" t="n">
        <v>0</v>
      </c>
      <c r="W416" s="68" t="n">
        <v>0</v>
      </c>
      <c r="X416" s="68" t="n">
        <v>0</v>
      </c>
      <c r="Y416" s="68" t="n">
        <v>0</v>
      </c>
      <c r="Z416" s="68" t="n">
        <v>0</v>
      </c>
      <c r="AA416" s="68" t="n">
        <v>0</v>
      </c>
      <c r="AB416" s="68" t="n">
        <v>0</v>
      </c>
      <c r="AC416" s="68" t="n">
        <v>0</v>
      </c>
      <c r="AD416" s="68" t="n">
        <v>0</v>
      </c>
      <c r="AE416" s="68" t="n">
        <v>0</v>
      </c>
      <c r="AF416" s="79" t="n">
        <v>0</v>
      </c>
      <c r="AG416" s="74" t="n">
        <v>0</v>
      </c>
      <c r="AH416" s="82" t="n">
        <v>414</v>
      </c>
    </row>
    <row r="417" ht="18" customHeight="1">
      <c r="C417" s="68">
        <f>_xlfn.XLOOKUP($A417,'01'!$G$3:$G$100,'01'!$R$3:$R$100,"-")</f>
        <v/>
      </c>
      <c r="D417" s="68">
        <f>_xlfn.XLOOKUP($A417,'02'!$G$3:$G$100,'02'!$R$3:$R$100,"-")</f>
        <v/>
      </c>
      <c r="E417" s="68">
        <f>_xlfn.XLOOKUP($A417,'03'!$G$3:$G$100,'03'!$R$3:$R$100,"-")</f>
        <v/>
      </c>
      <c r="F417" s="68">
        <f>_xlfn.XLOOKUP($A417,'04'!$G$3:$G$100,'04'!$R$3:$R$100,"-")</f>
        <v/>
      </c>
      <c r="G417" s="68">
        <f>_xlfn.XLOOKUP($A417,'05'!$G$3:$G$100,'05'!$R$3:$R$100,"-")</f>
        <v/>
      </c>
      <c r="H417" s="68">
        <f>_xlfn.XLOOKUP($A417,'06'!$G$3:$G$100,'06'!$R$3:$R$100,"-")</f>
        <v/>
      </c>
      <c r="I417" s="68">
        <f>_xlfn.XLOOKUP($A417,'07'!$G$3:$G$100,'07'!$R$3:$R$100,"-")</f>
        <v/>
      </c>
      <c r="J417" s="68">
        <f>_xlfn.XLOOKUP($A417,'08'!$G$3:$G$100,'08'!$R$3:$R$100,"-")</f>
        <v/>
      </c>
      <c r="K417" s="68">
        <f>_xlfn.XLOOKUP($A417,'09'!$G$3:$G$100,'09'!$R$3:$R$100,"-")</f>
        <v/>
      </c>
      <c r="L417" s="68">
        <f>_xlfn.XLOOKUP($A417,'10'!$G$3:$G$100,'10'!$R$3:$R$100,"-")</f>
        <v/>
      </c>
      <c r="M417" s="68">
        <f>_xlfn.XLOOKUP($A417,'11'!$G$3:$G$100,'11'!$R$3:$R$100,"-")</f>
        <v/>
      </c>
      <c r="N417" s="68">
        <f>_xlfn.XLOOKUP($A417,'12'!$G$3:$G$100,'12'!$R$3:$R$100,"-")</f>
        <v/>
      </c>
      <c r="O417" s="79">
        <f>SUM(C417:N417)</f>
        <v/>
      </c>
      <c r="P417" s="74" t="n"/>
      <c r="Q417" s="83" t="n">
        <v>415</v>
      </c>
      <c r="R417" s="38" t="n"/>
      <c r="S417" s="61" t="n">
        <v>0</v>
      </c>
      <c r="T417" s="68" t="n">
        <v>0</v>
      </c>
      <c r="U417" s="68" t="n">
        <v>0</v>
      </c>
      <c r="V417" s="68" t="n">
        <v>0</v>
      </c>
      <c r="W417" s="68" t="n">
        <v>0</v>
      </c>
      <c r="X417" s="68" t="n">
        <v>0</v>
      </c>
      <c r="Y417" s="68" t="n">
        <v>0</v>
      </c>
      <c r="Z417" s="68" t="n">
        <v>0</v>
      </c>
      <c r="AA417" s="68" t="n">
        <v>0</v>
      </c>
      <c r="AB417" s="68" t="n">
        <v>0</v>
      </c>
      <c r="AC417" s="68" t="n">
        <v>0</v>
      </c>
      <c r="AD417" s="68" t="n">
        <v>0</v>
      </c>
      <c r="AE417" s="68" t="n">
        <v>0</v>
      </c>
      <c r="AF417" s="79" t="n">
        <v>0</v>
      </c>
      <c r="AG417" s="74" t="n">
        <v>0</v>
      </c>
      <c r="AH417" s="83" t="n">
        <v>415</v>
      </c>
    </row>
    <row r="418" ht="18" customHeight="1">
      <c r="C418" s="68">
        <f>_xlfn.XLOOKUP($A418,'01'!$G$3:$G$100,'01'!$R$3:$R$100,"-")</f>
        <v/>
      </c>
      <c r="D418" s="68">
        <f>_xlfn.XLOOKUP($A418,'02'!$G$3:$G$100,'02'!$R$3:$R$100,"-")</f>
        <v/>
      </c>
      <c r="E418" s="68">
        <f>_xlfn.XLOOKUP($A418,'03'!$G$3:$G$100,'03'!$R$3:$R$100,"-")</f>
        <v/>
      </c>
      <c r="F418" s="68">
        <f>_xlfn.XLOOKUP($A418,'04'!$G$3:$G$100,'04'!$R$3:$R$100,"-")</f>
        <v/>
      </c>
      <c r="G418" s="68">
        <f>_xlfn.XLOOKUP($A418,'05'!$G$3:$G$100,'05'!$R$3:$R$100,"-")</f>
        <v/>
      </c>
      <c r="H418" s="68">
        <f>_xlfn.XLOOKUP($A418,'06'!$G$3:$G$100,'06'!$R$3:$R$100,"-")</f>
        <v/>
      </c>
      <c r="I418" s="68">
        <f>_xlfn.XLOOKUP($A418,'07'!$G$3:$G$100,'07'!$R$3:$R$100,"-")</f>
        <v/>
      </c>
      <c r="J418" s="68">
        <f>_xlfn.XLOOKUP($A418,'08'!$G$3:$G$100,'08'!$R$3:$R$100,"-")</f>
        <v/>
      </c>
      <c r="K418" s="68">
        <f>_xlfn.XLOOKUP($A418,'09'!$G$3:$G$100,'09'!$R$3:$R$100,"-")</f>
        <v/>
      </c>
      <c r="L418" s="68">
        <f>_xlfn.XLOOKUP($A418,'10'!$G$3:$G$100,'10'!$R$3:$R$100,"-")</f>
        <v/>
      </c>
      <c r="M418" s="68">
        <f>_xlfn.XLOOKUP($A418,'11'!$G$3:$G$100,'11'!$R$3:$R$100,"-")</f>
        <v/>
      </c>
      <c r="N418" s="68">
        <f>_xlfn.XLOOKUP($A418,'12'!$G$3:$G$100,'12'!$R$3:$R$100,"-")</f>
        <v/>
      </c>
      <c r="O418" s="79">
        <f>SUM(C418:N418)</f>
        <v/>
      </c>
      <c r="P418" s="74" t="n"/>
      <c r="Q418" s="82" t="n">
        <v>416</v>
      </c>
      <c r="R418" s="38" t="n"/>
      <c r="S418" s="61" t="n">
        <v>0</v>
      </c>
      <c r="T418" s="68" t="n">
        <v>0</v>
      </c>
      <c r="U418" s="68" t="n">
        <v>0</v>
      </c>
      <c r="V418" s="68" t="n">
        <v>0</v>
      </c>
      <c r="W418" s="68" t="n">
        <v>0</v>
      </c>
      <c r="X418" s="68" t="n">
        <v>0</v>
      </c>
      <c r="Y418" s="68" t="n">
        <v>0</v>
      </c>
      <c r="Z418" s="68" t="n">
        <v>0</v>
      </c>
      <c r="AA418" s="68" t="n">
        <v>0</v>
      </c>
      <c r="AB418" s="68" t="n">
        <v>0</v>
      </c>
      <c r="AC418" s="68" t="n">
        <v>0</v>
      </c>
      <c r="AD418" s="68" t="n">
        <v>0</v>
      </c>
      <c r="AE418" s="68" t="n">
        <v>0</v>
      </c>
      <c r="AF418" s="79" t="n">
        <v>0</v>
      </c>
      <c r="AG418" s="74" t="n">
        <v>0</v>
      </c>
      <c r="AH418" s="82" t="n">
        <v>416</v>
      </c>
    </row>
    <row r="419" ht="18" customHeight="1">
      <c r="C419" s="68">
        <f>_xlfn.XLOOKUP($A419,'01'!$G$3:$G$100,'01'!$R$3:$R$100,"-")</f>
        <v/>
      </c>
      <c r="D419" s="68">
        <f>_xlfn.XLOOKUP($A419,'02'!$G$3:$G$100,'02'!$R$3:$R$100,"-")</f>
        <v/>
      </c>
      <c r="E419" s="68">
        <f>_xlfn.XLOOKUP($A419,'03'!$G$3:$G$100,'03'!$R$3:$R$100,"-")</f>
        <v/>
      </c>
      <c r="F419" s="68">
        <f>_xlfn.XLOOKUP($A419,'04'!$G$3:$G$100,'04'!$R$3:$R$100,"-")</f>
        <v/>
      </c>
      <c r="G419" s="68">
        <f>_xlfn.XLOOKUP($A419,'05'!$G$3:$G$100,'05'!$R$3:$R$100,"-")</f>
        <v/>
      </c>
      <c r="H419" s="68">
        <f>_xlfn.XLOOKUP($A419,'06'!$G$3:$G$100,'06'!$R$3:$R$100,"-")</f>
        <v/>
      </c>
      <c r="I419" s="68">
        <f>_xlfn.XLOOKUP($A419,'07'!$G$3:$G$100,'07'!$R$3:$R$100,"-")</f>
        <v/>
      </c>
      <c r="J419" s="68">
        <f>_xlfn.XLOOKUP($A419,'08'!$G$3:$G$100,'08'!$R$3:$R$100,"-")</f>
        <v/>
      </c>
      <c r="K419" s="68">
        <f>_xlfn.XLOOKUP($A419,'09'!$G$3:$G$100,'09'!$R$3:$R$100,"-")</f>
        <v/>
      </c>
      <c r="L419" s="68">
        <f>_xlfn.XLOOKUP($A419,'10'!$G$3:$G$100,'10'!$R$3:$R$100,"-")</f>
        <v/>
      </c>
      <c r="M419" s="68">
        <f>_xlfn.XLOOKUP($A419,'11'!$G$3:$G$100,'11'!$R$3:$R$100,"-")</f>
        <v/>
      </c>
      <c r="N419" s="68">
        <f>_xlfn.XLOOKUP($A419,'12'!$G$3:$G$100,'12'!$R$3:$R$100,"-")</f>
        <v/>
      </c>
      <c r="O419" s="79">
        <f>SUM(C419:N419)</f>
        <v/>
      </c>
      <c r="P419" s="74" t="n"/>
      <c r="Q419" s="82" t="n">
        <v>417</v>
      </c>
      <c r="R419" s="38" t="n"/>
      <c r="S419" s="61" t="n">
        <v>0</v>
      </c>
      <c r="T419" s="68" t="n">
        <v>0</v>
      </c>
      <c r="U419" s="68" t="n">
        <v>0</v>
      </c>
      <c r="V419" s="68" t="n">
        <v>0</v>
      </c>
      <c r="W419" s="68" t="n">
        <v>0</v>
      </c>
      <c r="X419" s="68" t="n">
        <v>0</v>
      </c>
      <c r="Y419" s="68" t="n">
        <v>0</v>
      </c>
      <c r="Z419" s="68" t="n">
        <v>0</v>
      </c>
      <c r="AA419" s="68" t="n">
        <v>0</v>
      </c>
      <c r="AB419" s="68" t="n">
        <v>0</v>
      </c>
      <c r="AC419" s="68" t="n">
        <v>0</v>
      </c>
      <c r="AD419" s="68" t="n">
        <v>0</v>
      </c>
      <c r="AE419" s="68" t="n">
        <v>0</v>
      </c>
      <c r="AF419" s="79" t="n">
        <v>0</v>
      </c>
      <c r="AG419" s="74" t="n">
        <v>0</v>
      </c>
      <c r="AH419" s="82" t="n">
        <v>417</v>
      </c>
    </row>
    <row r="420" ht="18" customHeight="1">
      <c r="C420" s="68">
        <f>_xlfn.XLOOKUP($A420,'01'!$G$3:$G$100,'01'!$R$3:$R$100,"-")</f>
        <v/>
      </c>
      <c r="D420" s="68">
        <f>_xlfn.XLOOKUP($A420,'02'!$G$3:$G$100,'02'!$R$3:$R$100,"-")</f>
        <v/>
      </c>
      <c r="E420" s="68">
        <f>_xlfn.XLOOKUP($A420,'03'!$G$3:$G$100,'03'!$R$3:$R$100,"-")</f>
        <v/>
      </c>
      <c r="F420" s="68">
        <f>_xlfn.XLOOKUP($A420,'04'!$G$3:$G$100,'04'!$R$3:$R$100,"-")</f>
        <v/>
      </c>
      <c r="G420" s="68">
        <f>_xlfn.XLOOKUP($A420,'05'!$G$3:$G$100,'05'!$R$3:$R$100,"-")</f>
        <v/>
      </c>
      <c r="H420" s="68">
        <f>_xlfn.XLOOKUP($A420,'06'!$G$3:$G$100,'06'!$R$3:$R$100,"-")</f>
        <v/>
      </c>
      <c r="I420" s="68">
        <f>_xlfn.XLOOKUP($A420,'07'!$G$3:$G$100,'07'!$R$3:$R$100,"-")</f>
        <v/>
      </c>
      <c r="J420" s="68">
        <f>_xlfn.XLOOKUP($A420,'08'!$G$3:$G$100,'08'!$R$3:$R$100,"-")</f>
        <v/>
      </c>
      <c r="K420" s="68">
        <f>_xlfn.XLOOKUP($A420,'09'!$G$3:$G$100,'09'!$R$3:$R$100,"-")</f>
        <v/>
      </c>
      <c r="L420" s="68">
        <f>_xlfn.XLOOKUP($A420,'10'!$G$3:$G$100,'10'!$R$3:$R$100,"-")</f>
        <v/>
      </c>
      <c r="M420" s="68">
        <f>_xlfn.XLOOKUP($A420,'11'!$G$3:$G$100,'11'!$R$3:$R$100,"-")</f>
        <v/>
      </c>
      <c r="N420" s="68">
        <f>_xlfn.XLOOKUP($A420,'12'!$G$3:$G$100,'12'!$R$3:$R$100,"-")</f>
        <v/>
      </c>
      <c r="O420" s="79">
        <f>SUM(C420:N420)</f>
        <v/>
      </c>
      <c r="P420" s="74" t="n"/>
      <c r="Q420" s="82" t="n">
        <v>418</v>
      </c>
      <c r="R420" s="38" t="n"/>
      <c r="S420" s="61" t="n">
        <v>0</v>
      </c>
      <c r="T420" s="68" t="n">
        <v>0</v>
      </c>
      <c r="U420" s="68" t="n">
        <v>0</v>
      </c>
      <c r="V420" s="68" t="n">
        <v>0</v>
      </c>
      <c r="W420" s="68" t="n">
        <v>0</v>
      </c>
      <c r="X420" s="68" t="n">
        <v>0</v>
      </c>
      <c r="Y420" s="68" t="n">
        <v>0</v>
      </c>
      <c r="Z420" s="68" t="n">
        <v>0</v>
      </c>
      <c r="AA420" s="68" t="n">
        <v>0</v>
      </c>
      <c r="AB420" s="68" t="n">
        <v>0</v>
      </c>
      <c r="AC420" s="68" t="n">
        <v>0</v>
      </c>
      <c r="AD420" s="68" t="n">
        <v>0</v>
      </c>
      <c r="AE420" s="68" t="n">
        <v>0</v>
      </c>
      <c r="AF420" s="79" t="n">
        <v>0</v>
      </c>
      <c r="AG420" s="74" t="n">
        <v>0</v>
      </c>
      <c r="AH420" s="82" t="n">
        <v>418</v>
      </c>
    </row>
    <row r="421" ht="18" customHeight="1">
      <c r="C421" s="68">
        <f>_xlfn.XLOOKUP($A421,'01'!$G$3:$G$100,'01'!$R$3:$R$100,"-")</f>
        <v/>
      </c>
      <c r="D421" s="68">
        <f>_xlfn.XLOOKUP($A421,'02'!$G$3:$G$100,'02'!$R$3:$R$100,"-")</f>
        <v/>
      </c>
      <c r="E421" s="68">
        <f>_xlfn.XLOOKUP($A421,'03'!$G$3:$G$100,'03'!$R$3:$R$100,"-")</f>
        <v/>
      </c>
      <c r="F421" s="68">
        <f>_xlfn.XLOOKUP($A421,'04'!$G$3:$G$100,'04'!$R$3:$R$100,"-")</f>
        <v/>
      </c>
      <c r="G421" s="68">
        <f>_xlfn.XLOOKUP($A421,'05'!$G$3:$G$100,'05'!$R$3:$R$100,"-")</f>
        <v/>
      </c>
      <c r="H421" s="68">
        <f>_xlfn.XLOOKUP($A421,'06'!$G$3:$G$100,'06'!$R$3:$R$100,"-")</f>
        <v/>
      </c>
      <c r="I421" s="68">
        <f>_xlfn.XLOOKUP($A421,'07'!$G$3:$G$100,'07'!$R$3:$R$100,"-")</f>
        <v/>
      </c>
      <c r="J421" s="68">
        <f>_xlfn.XLOOKUP($A421,'08'!$G$3:$G$100,'08'!$R$3:$R$100,"-")</f>
        <v/>
      </c>
      <c r="K421" s="68">
        <f>_xlfn.XLOOKUP($A421,'09'!$G$3:$G$100,'09'!$R$3:$R$100,"-")</f>
        <v/>
      </c>
      <c r="L421" s="68">
        <f>_xlfn.XLOOKUP($A421,'10'!$G$3:$G$100,'10'!$R$3:$R$100,"-")</f>
        <v/>
      </c>
      <c r="M421" s="68">
        <f>_xlfn.XLOOKUP($A421,'11'!$G$3:$G$100,'11'!$R$3:$R$100,"-")</f>
        <v/>
      </c>
      <c r="N421" s="68">
        <f>_xlfn.XLOOKUP($A421,'12'!$G$3:$G$100,'12'!$R$3:$R$100,"-")</f>
        <v/>
      </c>
      <c r="O421" s="79">
        <f>SUM(C421:N421)</f>
        <v/>
      </c>
      <c r="P421" s="74" t="n"/>
      <c r="Q421" s="82" t="n">
        <v>419</v>
      </c>
      <c r="R421" s="38" t="n"/>
      <c r="S421" s="61" t="n">
        <v>0</v>
      </c>
      <c r="T421" s="68" t="n">
        <v>0</v>
      </c>
      <c r="U421" s="68" t="n">
        <v>0</v>
      </c>
      <c r="V421" s="68" t="n">
        <v>0</v>
      </c>
      <c r="W421" s="68" t="n">
        <v>0</v>
      </c>
      <c r="X421" s="68" t="n">
        <v>0</v>
      </c>
      <c r="Y421" s="68" t="n">
        <v>0</v>
      </c>
      <c r="Z421" s="68" t="n">
        <v>0</v>
      </c>
      <c r="AA421" s="68" t="n">
        <v>0</v>
      </c>
      <c r="AB421" s="68" t="n">
        <v>0</v>
      </c>
      <c r="AC421" s="68" t="n">
        <v>0</v>
      </c>
      <c r="AD421" s="68" t="n">
        <v>0</v>
      </c>
      <c r="AE421" s="68" t="n">
        <v>0</v>
      </c>
      <c r="AF421" s="79" t="n">
        <v>0</v>
      </c>
      <c r="AG421" s="74" t="n">
        <v>0</v>
      </c>
      <c r="AH421" s="82" t="n">
        <v>419</v>
      </c>
    </row>
    <row r="422" ht="18" customHeight="1">
      <c r="C422" s="68">
        <f>_xlfn.XLOOKUP($A422,'01'!$G$3:$G$100,'01'!$R$3:$R$100,"-")</f>
        <v/>
      </c>
      <c r="D422" s="68">
        <f>_xlfn.XLOOKUP($A422,'02'!$G$3:$G$100,'02'!$R$3:$R$100,"-")</f>
        <v/>
      </c>
      <c r="E422" s="68">
        <f>_xlfn.XLOOKUP($A422,'03'!$G$3:$G$100,'03'!$R$3:$R$100,"-")</f>
        <v/>
      </c>
      <c r="F422" s="68">
        <f>_xlfn.XLOOKUP($A422,'04'!$G$3:$G$100,'04'!$R$3:$R$100,"-")</f>
        <v/>
      </c>
      <c r="G422" s="68">
        <f>_xlfn.XLOOKUP($A422,'05'!$G$3:$G$100,'05'!$R$3:$R$100,"-")</f>
        <v/>
      </c>
      <c r="H422" s="68">
        <f>_xlfn.XLOOKUP($A422,'06'!$G$3:$G$100,'06'!$R$3:$R$100,"-")</f>
        <v/>
      </c>
      <c r="I422" s="68">
        <f>_xlfn.XLOOKUP($A422,'07'!$G$3:$G$100,'07'!$R$3:$R$100,"-")</f>
        <v/>
      </c>
      <c r="J422" s="68">
        <f>_xlfn.XLOOKUP($A422,'08'!$G$3:$G$100,'08'!$R$3:$R$100,"-")</f>
        <v/>
      </c>
      <c r="K422" s="68">
        <f>_xlfn.XLOOKUP($A422,'09'!$G$3:$G$100,'09'!$R$3:$R$100,"-")</f>
        <v/>
      </c>
      <c r="L422" s="68">
        <f>_xlfn.XLOOKUP($A422,'10'!$G$3:$G$100,'10'!$R$3:$R$100,"-")</f>
        <v/>
      </c>
      <c r="M422" s="68">
        <f>_xlfn.XLOOKUP($A422,'11'!$G$3:$G$100,'11'!$R$3:$R$100,"-")</f>
        <v/>
      </c>
      <c r="N422" s="68">
        <f>_xlfn.XLOOKUP($A422,'12'!$G$3:$G$100,'12'!$R$3:$R$100,"-")</f>
        <v/>
      </c>
      <c r="O422" s="79">
        <f>SUM(C422:N422)</f>
        <v/>
      </c>
      <c r="P422" s="74" t="n"/>
      <c r="Q422" s="82" t="n">
        <v>420</v>
      </c>
      <c r="R422" s="38" t="n"/>
      <c r="S422" s="61" t="n">
        <v>0</v>
      </c>
      <c r="T422" s="68" t="n">
        <v>0</v>
      </c>
      <c r="U422" s="68" t="n">
        <v>0</v>
      </c>
      <c r="V422" s="68" t="n">
        <v>0</v>
      </c>
      <c r="W422" s="68" t="n">
        <v>0</v>
      </c>
      <c r="X422" s="68" t="n">
        <v>0</v>
      </c>
      <c r="Y422" s="68" t="n">
        <v>0</v>
      </c>
      <c r="Z422" s="68" t="n">
        <v>0</v>
      </c>
      <c r="AA422" s="68" t="n">
        <v>0</v>
      </c>
      <c r="AB422" s="68" t="n">
        <v>0</v>
      </c>
      <c r="AC422" s="68" t="n">
        <v>0</v>
      </c>
      <c r="AD422" s="68" t="n">
        <v>0</v>
      </c>
      <c r="AE422" s="68" t="n">
        <v>0</v>
      </c>
      <c r="AF422" s="79" t="n">
        <v>0</v>
      </c>
      <c r="AG422" s="74" t="n">
        <v>0</v>
      </c>
      <c r="AH422" s="82" t="n">
        <v>420</v>
      </c>
    </row>
    <row r="423" ht="18" customHeight="1">
      <c r="C423" s="68">
        <f>_xlfn.XLOOKUP($A423,'01'!$G$3:$G$100,'01'!$R$3:$R$100,"-")</f>
        <v/>
      </c>
      <c r="D423" s="68">
        <f>_xlfn.XLOOKUP($A423,'02'!$G$3:$G$100,'02'!$R$3:$R$100,"-")</f>
        <v/>
      </c>
      <c r="E423" s="68">
        <f>_xlfn.XLOOKUP($A423,'03'!$G$3:$G$100,'03'!$R$3:$R$100,"-")</f>
        <v/>
      </c>
      <c r="F423" s="68">
        <f>_xlfn.XLOOKUP($A423,'04'!$G$3:$G$100,'04'!$R$3:$R$100,"-")</f>
        <v/>
      </c>
      <c r="G423" s="68">
        <f>_xlfn.XLOOKUP($A423,'05'!$G$3:$G$100,'05'!$R$3:$R$100,"-")</f>
        <v/>
      </c>
      <c r="H423" s="68">
        <f>_xlfn.XLOOKUP($A423,'06'!$G$3:$G$100,'06'!$R$3:$R$100,"-")</f>
        <v/>
      </c>
      <c r="I423" s="68">
        <f>_xlfn.XLOOKUP($A423,'07'!$G$3:$G$100,'07'!$R$3:$R$100,"-")</f>
        <v/>
      </c>
      <c r="J423" s="68">
        <f>_xlfn.XLOOKUP($A423,'08'!$G$3:$G$100,'08'!$R$3:$R$100,"-")</f>
        <v/>
      </c>
      <c r="K423" s="68">
        <f>_xlfn.XLOOKUP($A423,'09'!$G$3:$G$100,'09'!$R$3:$R$100,"-")</f>
        <v/>
      </c>
      <c r="L423" s="68">
        <f>_xlfn.XLOOKUP($A423,'10'!$G$3:$G$100,'10'!$R$3:$R$100,"-")</f>
        <v/>
      </c>
      <c r="M423" s="68">
        <f>_xlfn.XLOOKUP($A423,'11'!$G$3:$G$100,'11'!$R$3:$R$100,"-")</f>
        <v/>
      </c>
      <c r="N423" s="68">
        <f>_xlfn.XLOOKUP($A423,'12'!$G$3:$G$100,'12'!$R$3:$R$100,"-")</f>
        <v/>
      </c>
      <c r="O423" s="79">
        <f>SUM(C423:N423)</f>
        <v/>
      </c>
      <c r="P423" s="74" t="n"/>
      <c r="Q423" s="82" t="n">
        <v>421</v>
      </c>
      <c r="R423" s="38" t="n"/>
      <c r="S423" s="61" t="n">
        <v>0</v>
      </c>
      <c r="T423" s="68" t="n">
        <v>0</v>
      </c>
      <c r="U423" s="68" t="n">
        <v>0</v>
      </c>
      <c r="V423" s="68" t="n">
        <v>0</v>
      </c>
      <c r="W423" s="68" t="n">
        <v>0</v>
      </c>
      <c r="X423" s="68" t="n">
        <v>0</v>
      </c>
      <c r="Y423" s="68" t="n">
        <v>0</v>
      </c>
      <c r="Z423" s="68" t="n">
        <v>0</v>
      </c>
      <c r="AA423" s="68" t="n">
        <v>0</v>
      </c>
      <c r="AB423" s="68" t="n">
        <v>0</v>
      </c>
      <c r="AC423" s="68" t="n">
        <v>0</v>
      </c>
      <c r="AD423" s="68" t="n">
        <v>0</v>
      </c>
      <c r="AE423" s="68" t="n">
        <v>0</v>
      </c>
      <c r="AF423" s="79" t="n">
        <v>0</v>
      </c>
      <c r="AG423" s="74" t="n">
        <v>0</v>
      </c>
      <c r="AH423" s="82" t="n">
        <v>421</v>
      </c>
    </row>
    <row r="424" ht="18" customHeight="1">
      <c r="C424" s="68">
        <f>_xlfn.XLOOKUP($A424,'01'!$G$3:$G$100,'01'!$R$3:$R$100,"-")</f>
        <v/>
      </c>
      <c r="D424" s="68">
        <f>_xlfn.XLOOKUP($A424,'02'!$G$3:$G$100,'02'!$R$3:$R$100,"-")</f>
        <v/>
      </c>
      <c r="E424" s="68">
        <f>_xlfn.XLOOKUP($A424,'03'!$G$3:$G$100,'03'!$R$3:$R$100,"-")</f>
        <v/>
      </c>
      <c r="F424" s="68">
        <f>_xlfn.XLOOKUP($A424,'04'!$G$3:$G$100,'04'!$R$3:$R$100,"-")</f>
        <v/>
      </c>
      <c r="G424" s="68">
        <f>_xlfn.XLOOKUP($A424,'05'!$G$3:$G$100,'05'!$R$3:$R$100,"-")</f>
        <v/>
      </c>
      <c r="H424" s="68">
        <f>_xlfn.XLOOKUP($A424,'06'!$G$3:$G$100,'06'!$R$3:$R$100,"-")</f>
        <v/>
      </c>
      <c r="I424" s="68">
        <f>_xlfn.XLOOKUP($A424,'07'!$G$3:$G$100,'07'!$R$3:$R$100,"-")</f>
        <v/>
      </c>
      <c r="J424" s="68">
        <f>_xlfn.XLOOKUP($A424,'08'!$G$3:$G$100,'08'!$R$3:$R$100,"-")</f>
        <v/>
      </c>
      <c r="K424" s="68">
        <f>_xlfn.XLOOKUP($A424,'09'!$G$3:$G$100,'09'!$R$3:$R$100,"-")</f>
        <v/>
      </c>
      <c r="L424" s="68">
        <f>_xlfn.XLOOKUP($A424,'10'!$G$3:$G$100,'10'!$R$3:$R$100,"-")</f>
        <v/>
      </c>
      <c r="M424" s="68">
        <f>_xlfn.XLOOKUP($A424,'11'!$G$3:$G$100,'11'!$R$3:$R$100,"-")</f>
        <v/>
      </c>
      <c r="N424" s="68">
        <f>_xlfn.XLOOKUP($A424,'12'!$G$3:$G$100,'12'!$R$3:$R$100,"-")</f>
        <v/>
      </c>
      <c r="O424" s="79">
        <f>SUM(C424:N424)</f>
        <v/>
      </c>
      <c r="P424" s="74" t="n"/>
      <c r="Q424" s="82" t="n">
        <v>422</v>
      </c>
      <c r="R424" s="38" t="n"/>
      <c r="S424" s="61" t="n">
        <v>0</v>
      </c>
      <c r="T424" s="68" t="n">
        <v>0</v>
      </c>
      <c r="U424" s="68" t="n">
        <v>0</v>
      </c>
      <c r="V424" s="68" t="n">
        <v>0</v>
      </c>
      <c r="W424" s="68" t="n">
        <v>0</v>
      </c>
      <c r="X424" s="68" t="n">
        <v>0</v>
      </c>
      <c r="Y424" s="68" t="n">
        <v>0</v>
      </c>
      <c r="Z424" s="68" t="n">
        <v>0</v>
      </c>
      <c r="AA424" s="68" t="n">
        <v>0</v>
      </c>
      <c r="AB424" s="68" t="n">
        <v>0</v>
      </c>
      <c r="AC424" s="68" t="n">
        <v>0</v>
      </c>
      <c r="AD424" s="68" t="n">
        <v>0</v>
      </c>
      <c r="AE424" s="68" t="n">
        <v>0</v>
      </c>
      <c r="AF424" s="79" t="n">
        <v>0</v>
      </c>
      <c r="AG424" s="74" t="n">
        <v>0</v>
      </c>
      <c r="AH424" s="82" t="n">
        <v>422</v>
      </c>
    </row>
    <row r="425" ht="18" customHeight="1">
      <c r="C425" s="68">
        <f>_xlfn.XLOOKUP($A425,'01'!$G$3:$G$100,'01'!$R$3:$R$100,"-")</f>
        <v/>
      </c>
      <c r="D425" s="68">
        <f>_xlfn.XLOOKUP($A425,'02'!$G$3:$G$100,'02'!$R$3:$R$100,"-")</f>
        <v/>
      </c>
      <c r="E425" s="68">
        <f>_xlfn.XLOOKUP($A425,'03'!$G$3:$G$100,'03'!$R$3:$R$100,"-")</f>
        <v/>
      </c>
      <c r="F425" s="68">
        <f>_xlfn.XLOOKUP($A425,'04'!$G$3:$G$100,'04'!$R$3:$R$100,"-")</f>
        <v/>
      </c>
      <c r="G425" s="68">
        <f>_xlfn.XLOOKUP($A425,'05'!$G$3:$G$100,'05'!$R$3:$R$100,"-")</f>
        <v/>
      </c>
      <c r="H425" s="68">
        <f>_xlfn.XLOOKUP($A425,'06'!$G$3:$G$100,'06'!$R$3:$R$100,"-")</f>
        <v/>
      </c>
      <c r="I425" s="68">
        <f>_xlfn.XLOOKUP($A425,'07'!$G$3:$G$100,'07'!$R$3:$R$100,"-")</f>
        <v/>
      </c>
      <c r="J425" s="68">
        <f>_xlfn.XLOOKUP($A425,'08'!$G$3:$G$100,'08'!$R$3:$R$100,"-")</f>
        <v/>
      </c>
      <c r="K425" s="68">
        <f>_xlfn.XLOOKUP($A425,'09'!$G$3:$G$100,'09'!$R$3:$R$100,"-")</f>
        <v/>
      </c>
      <c r="L425" s="68">
        <f>_xlfn.XLOOKUP($A425,'10'!$G$3:$G$100,'10'!$R$3:$R$100,"-")</f>
        <v/>
      </c>
      <c r="M425" s="68">
        <f>_xlfn.XLOOKUP($A425,'11'!$G$3:$G$100,'11'!$R$3:$R$100,"-")</f>
        <v/>
      </c>
      <c r="N425" s="68">
        <f>_xlfn.XLOOKUP($A425,'12'!$G$3:$G$100,'12'!$R$3:$R$100,"-")</f>
        <v/>
      </c>
      <c r="O425" s="79">
        <f>SUM(C425:N425)</f>
        <v/>
      </c>
      <c r="P425" s="74" t="n"/>
      <c r="Q425" s="82" t="n">
        <v>423</v>
      </c>
      <c r="R425" s="38" t="n"/>
      <c r="S425" s="61" t="n">
        <v>0</v>
      </c>
      <c r="T425" s="68" t="n">
        <v>0</v>
      </c>
      <c r="U425" s="68" t="n">
        <v>0</v>
      </c>
      <c r="V425" s="68" t="n">
        <v>0</v>
      </c>
      <c r="W425" s="68" t="n">
        <v>0</v>
      </c>
      <c r="X425" s="68" t="n">
        <v>0</v>
      </c>
      <c r="Y425" s="68" t="n">
        <v>0</v>
      </c>
      <c r="Z425" s="68" t="n">
        <v>0</v>
      </c>
      <c r="AA425" s="68" t="n">
        <v>0</v>
      </c>
      <c r="AB425" s="68" t="n">
        <v>0</v>
      </c>
      <c r="AC425" s="68" t="n">
        <v>0</v>
      </c>
      <c r="AD425" s="68" t="n">
        <v>0</v>
      </c>
      <c r="AE425" s="68" t="n">
        <v>0</v>
      </c>
      <c r="AF425" s="79" t="n">
        <v>0</v>
      </c>
      <c r="AG425" s="74" t="n">
        <v>0</v>
      </c>
      <c r="AH425" s="82" t="n">
        <v>423</v>
      </c>
    </row>
    <row r="426" ht="18" customHeight="1">
      <c r="C426" s="68">
        <f>_xlfn.XLOOKUP($A426,'01'!$G$3:$G$100,'01'!$R$3:$R$100,"-")</f>
        <v/>
      </c>
      <c r="D426" s="68">
        <f>_xlfn.XLOOKUP($A426,'02'!$G$3:$G$100,'02'!$R$3:$R$100,"-")</f>
        <v/>
      </c>
      <c r="E426" s="68">
        <f>_xlfn.XLOOKUP($A426,'03'!$G$3:$G$100,'03'!$R$3:$R$100,"-")</f>
        <v/>
      </c>
      <c r="F426" s="68">
        <f>_xlfn.XLOOKUP($A426,'04'!$G$3:$G$100,'04'!$R$3:$R$100,"-")</f>
        <v/>
      </c>
      <c r="G426" s="68">
        <f>_xlfn.XLOOKUP($A426,'05'!$G$3:$G$100,'05'!$R$3:$R$100,"-")</f>
        <v/>
      </c>
      <c r="H426" s="68">
        <f>_xlfn.XLOOKUP($A426,'06'!$G$3:$G$100,'06'!$R$3:$R$100,"-")</f>
        <v/>
      </c>
      <c r="I426" s="68">
        <f>_xlfn.XLOOKUP($A426,'07'!$G$3:$G$100,'07'!$R$3:$R$100,"-")</f>
        <v/>
      </c>
      <c r="J426" s="68">
        <f>_xlfn.XLOOKUP($A426,'08'!$G$3:$G$100,'08'!$R$3:$R$100,"-")</f>
        <v/>
      </c>
      <c r="K426" s="68">
        <f>_xlfn.XLOOKUP($A426,'09'!$G$3:$G$100,'09'!$R$3:$R$100,"-")</f>
        <v/>
      </c>
      <c r="L426" s="68">
        <f>_xlfn.XLOOKUP($A426,'10'!$G$3:$G$100,'10'!$R$3:$R$100,"-")</f>
        <v/>
      </c>
      <c r="M426" s="68">
        <f>_xlfn.XLOOKUP($A426,'11'!$G$3:$G$100,'11'!$R$3:$R$100,"-")</f>
        <v/>
      </c>
      <c r="N426" s="68">
        <f>_xlfn.XLOOKUP($A426,'12'!$G$3:$G$100,'12'!$R$3:$R$100,"-")</f>
        <v/>
      </c>
      <c r="O426" s="79">
        <f>SUM(C426:N426)</f>
        <v/>
      </c>
      <c r="P426" s="74" t="n"/>
      <c r="Q426" s="82" t="n">
        <v>424</v>
      </c>
      <c r="R426" s="38" t="n"/>
      <c r="S426" s="61" t="n">
        <v>0</v>
      </c>
      <c r="T426" s="68" t="n">
        <v>0</v>
      </c>
      <c r="U426" s="68" t="n">
        <v>0</v>
      </c>
      <c r="V426" s="68" t="n">
        <v>0</v>
      </c>
      <c r="W426" s="68" t="n">
        <v>0</v>
      </c>
      <c r="X426" s="68" t="n">
        <v>0</v>
      </c>
      <c r="Y426" s="68" t="n">
        <v>0</v>
      </c>
      <c r="Z426" s="68" t="n">
        <v>0</v>
      </c>
      <c r="AA426" s="68" t="n">
        <v>0</v>
      </c>
      <c r="AB426" s="68" t="n">
        <v>0</v>
      </c>
      <c r="AC426" s="68" t="n">
        <v>0</v>
      </c>
      <c r="AD426" s="68" t="n">
        <v>0</v>
      </c>
      <c r="AE426" s="68" t="n">
        <v>0</v>
      </c>
      <c r="AF426" s="79" t="n">
        <v>0</v>
      </c>
      <c r="AG426" s="74" t="n">
        <v>0</v>
      </c>
      <c r="AH426" s="82" t="n">
        <v>424</v>
      </c>
    </row>
    <row r="427" ht="18" customHeight="1">
      <c r="C427" s="68">
        <f>_xlfn.XLOOKUP($A427,'01'!$G$3:$G$100,'01'!$R$3:$R$100,"-")</f>
        <v/>
      </c>
      <c r="D427" s="68">
        <f>_xlfn.XLOOKUP($A427,'02'!$G$3:$G$100,'02'!$R$3:$R$100,"-")</f>
        <v/>
      </c>
      <c r="E427" s="68">
        <f>_xlfn.XLOOKUP($A427,'03'!$G$3:$G$100,'03'!$R$3:$R$100,"-")</f>
        <v/>
      </c>
      <c r="F427" s="68">
        <f>_xlfn.XLOOKUP($A427,'04'!$G$3:$G$100,'04'!$R$3:$R$100,"-")</f>
        <v/>
      </c>
      <c r="G427" s="68">
        <f>_xlfn.XLOOKUP($A427,'05'!$G$3:$G$100,'05'!$R$3:$R$100,"-")</f>
        <v/>
      </c>
      <c r="H427" s="68">
        <f>_xlfn.XLOOKUP($A427,'06'!$G$3:$G$100,'06'!$R$3:$R$100,"-")</f>
        <v/>
      </c>
      <c r="I427" s="68">
        <f>_xlfn.XLOOKUP($A427,'07'!$G$3:$G$100,'07'!$R$3:$R$100,"-")</f>
        <v/>
      </c>
      <c r="J427" s="68">
        <f>_xlfn.XLOOKUP($A427,'08'!$G$3:$G$100,'08'!$R$3:$R$100,"-")</f>
        <v/>
      </c>
      <c r="K427" s="68">
        <f>_xlfn.XLOOKUP($A427,'09'!$G$3:$G$100,'09'!$R$3:$R$100,"-")</f>
        <v/>
      </c>
      <c r="L427" s="68">
        <f>_xlfn.XLOOKUP($A427,'10'!$G$3:$G$100,'10'!$R$3:$R$100,"-")</f>
        <v/>
      </c>
      <c r="M427" s="68">
        <f>_xlfn.XLOOKUP($A427,'11'!$G$3:$G$100,'11'!$R$3:$R$100,"-")</f>
        <v/>
      </c>
      <c r="N427" s="68">
        <f>_xlfn.XLOOKUP($A427,'12'!$G$3:$G$100,'12'!$R$3:$R$100,"-")</f>
        <v/>
      </c>
      <c r="O427" s="79">
        <f>SUM(C427:N427)</f>
        <v/>
      </c>
      <c r="P427" s="74" t="n"/>
      <c r="Q427" s="83" t="n">
        <v>425</v>
      </c>
      <c r="R427" s="38" t="n"/>
      <c r="S427" s="61" t="n">
        <v>0</v>
      </c>
      <c r="T427" s="68" t="n">
        <v>0</v>
      </c>
      <c r="U427" s="68" t="n">
        <v>0</v>
      </c>
      <c r="V427" s="68" t="n">
        <v>0</v>
      </c>
      <c r="W427" s="68" t="n">
        <v>0</v>
      </c>
      <c r="X427" s="68" t="n">
        <v>0</v>
      </c>
      <c r="Y427" s="68" t="n">
        <v>0</v>
      </c>
      <c r="Z427" s="68" t="n">
        <v>0</v>
      </c>
      <c r="AA427" s="68" t="n">
        <v>0</v>
      </c>
      <c r="AB427" s="68" t="n">
        <v>0</v>
      </c>
      <c r="AC427" s="68" t="n">
        <v>0</v>
      </c>
      <c r="AD427" s="68" t="n">
        <v>0</v>
      </c>
      <c r="AE427" s="68" t="n">
        <v>0</v>
      </c>
      <c r="AF427" s="79" t="n">
        <v>0</v>
      </c>
      <c r="AG427" s="74" t="n">
        <v>0</v>
      </c>
      <c r="AH427" s="83" t="n">
        <v>425</v>
      </c>
    </row>
    <row r="428" ht="18" customHeight="1">
      <c r="C428" s="68">
        <f>_xlfn.XLOOKUP($A428,'01'!$G$3:$G$100,'01'!$R$3:$R$100,"-")</f>
        <v/>
      </c>
      <c r="D428" s="68">
        <f>_xlfn.XLOOKUP($A428,'02'!$G$3:$G$100,'02'!$R$3:$R$100,"-")</f>
        <v/>
      </c>
      <c r="E428" s="68">
        <f>_xlfn.XLOOKUP($A428,'03'!$G$3:$G$100,'03'!$R$3:$R$100,"-")</f>
        <v/>
      </c>
      <c r="F428" s="68">
        <f>_xlfn.XLOOKUP($A428,'04'!$G$3:$G$100,'04'!$R$3:$R$100,"-")</f>
        <v/>
      </c>
      <c r="G428" s="68">
        <f>_xlfn.XLOOKUP($A428,'05'!$G$3:$G$100,'05'!$R$3:$R$100,"-")</f>
        <v/>
      </c>
      <c r="H428" s="68">
        <f>_xlfn.XLOOKUP($A428,'06'!$G$3:$G$100,'06'!$R$3:$R$100,"-")</f>
        <v/>
      </c>
      <c r="I428" s="68">
        <f>_xlfn.XLOOKUP($A428,'07'!$G$3:$G$100,'07'!$R$3:$R$100,"-")</f>
        <v/>
      </c>
      <c r="J428" s="68">
        <f>_xlfn.XLOOKUP($A428,'08'!$G$3:$G$100,'08'!$R$3:$R$100,"-")</f>
        <v/>
      </c>
      <c r="K428" s="68">
        <f>_xlfn.XLOOKUP($A428,'09'!$G$3:$G$100,'09'!$R$3:$R$100,"-")</f>
        <v/>
      </c>
      <c r="L428" s="68">
        <f>_xlfn.XLOOKUP($A428,'10'!$G$3:$G$100,'10'!$R$3:$R$100,"-")</f>
        <v/>
      </c>
      <c r="M428" s="68">
        <f>_xlfn.XLOOKUP($A428,'11'!$G$3:$G$100,'11'!$R$3:$R$100,"-")</f>
        <v/>
      </c>
      <c r="N428" s="68">
        <f>_xlfn.XLOOKUP($A428,'12'!$G$3:$G$100,'12'!$R$3:$R$100,"-")</f>
        <v/>
      </c>
      <c r="O428" s="79">
        <f>SUM(C428:N428)</f>
        <v/>
      </c>
      <c r="P428" s="74" t="n"/>
      <c r="Q428" s="82" t="n">
        <v>426</v>
      </c>
      <c r="R428" s="38" t="n"/>
      <c r="S428" s="61" t="n">
        <v>0</v>
      </c>
      <c r="T428" s="68" t="n">
        <v>0</v>
      </c>
      <c r="U428" s="68" t="n">
        <v>0</v>
      </c>
      <c r="V428" s="68" t="n">
        <v>0</v>
      </c>
      <c r="W428" s="68" t="n">
        <v>0</v>
      </c>
      <c r="X428" s="68" t="n">
        <v>0</v>
      </c>
      <c r="Y428" s="68" t="n">
        <v>0</v>
      </c>
      <c r="Z428" s="68" t="n">
        <v>0</v>
      </c>
      <c r="AA428" s="68" t="n">
        <v>0</v>
      </c>
      <c r="AB428" s="68" t="n">
        <v>0</v>
      </c>
      <c r="AC428" s="68" t="n">
        <v>0</v>
      </c>
      <c r="AD428" s="68" t="n">
        <v>0</v>
      </c>
      <c r="AE428" s="68" t="n">
        <v>0</v>
      </c>
      <c r="AF428" s="79" t="n">
        <v>0</v>
      </c>
      <c r="AG428" s="74" t="n">
        <v>0</v>
      </c>
      <c r="AH428" s="82" t="n">
        <v>426</v>
      </c>
    </row>
    <row r="429" ht="18" customHeight="1">
      <c r="C429" s="68">
        <f>_xlfn.XLOOKUP($A429,'01'!$G$3:$G$100,'01'!$R$3:$R$100,"-")</f>
        <v/>
      </c>
      <c r="D429" s="68">
        <f>_xlfn.XLOOKUP($A429,'02'!$G$3:$G$100,'02'!$R$3:$R$100,"-")</f>
        <v/>
      </c>
      <c r="E429" s="68">
        <f>_xlfn.XLOOKUP($A429,'03'!$G$3:$G$100,'03'!$R$3:$R$100,"-")</f>
        <v/>
      </c>
      <c r="F429" s="68">
        <f>_xlfn.XLOOKUP($A429,'04'!$G$3:$G$100,'04'!$R$3:$R$100,"-")</f>
        <v/>
      </c>
      <c r="G429" s="68">
        <f>_xlfn.XLOOKUP($A429,'05'!$G$3:$G$100,'05'!$R$3:$R$100,"-")</f>
        <v/>
      </c>
      <c r="H429" s="68">
        <f>_xlfn.XLOOKUP($A429,'06'!$G$3:$G$100,'06'!$R$3:$R$100,"-")</f>
        <v/>
      </c>
      <c r="I429" s="68">
        <f>_xlfn.XLOOKUP($A429,'07'!$G$3:$G$100,'07'!$R$3:$R$100,"-")</f>
        <v/>
      </c>
      <c r="J429" s="68">
        <f>_xlfn.XLOOKUP($A429,'08'!$G$3:$G$100,'08'!$R$3:$R$100,"-")</f>
        <v/>
      </c>
      <c r="K429" s="68">
        <f>_xlfn.XLOOKUP($A429,'09'!$G$3:$G$100,'09'!$R$3:$R$100,"-")</f>
        <v/>
      </c>
      <c r="L429" s="68">
        <f>_xlfn.XLOOKUP($A429,'10'!$G$3:$G$100,'10'!$R$3:$R$100,"-")</f>
        <v/>
      </c>
      <c r="M429" s="68">
        <f>_xlfn.XLOOKUP($A429,'11'!$G$3:$G$100,'11'!$R$3:$R$100,"-")</f>
        <v/>
      </c>
      <c r="N429" s="68">
        <f>_xlfn.XLOOKUP($A429,'12'!$G$3:$G$100,'12'!$R$3:$R$100,"-")</f>
        <v/>
      </c>
      <c r="O429" s="79">
        <f>SUM(C429:N429)</f>
        <v/>
      </c>
      <c r="P429" s="74" t="n"/>
      <c r="Q429" s="82" t="n">
        <v>427</v>
      </c>
      <c r="R429" s="38" t="n"/>
      <c r="S429" s="61" t="n">
        <v>0</v>
      </c>
      <c r="T429" s="68" t="n">
        <v>0</v>
      </c>
      <c r="U429" s="68" t="n">
        <v>0</v>
      </c>
      <c r="V429" s="68" t="n">
        <v>0</v>
      </c>
      <c r="W429" s="68" t="n">
        <v>0</v>
      </c>
      <c r="X429" s="68" t="n">
        <v>0</v>
      </c>
      <c r="Y429" s="68" t="n">
        <v>0</v>
      </c>
      <c r="Z429" s="68" t="n">
        <v>0</v>
      </c>
      <c r="AA429" s="68" t="n">
        <v>0</v>
      </c>
      <c r="AB429" s="68" t="n">
        <v>0</v>
      </c>
      <c r="AC429" s="68" t="n">
        <v>0</v>
      </c>
      <c r="AD429" s="68" t="n">
        <v>0</v>
      </c>
      <c r="AE429" s="68" t="n">
        <v>0</v>
      </c>
      <c r="AF429" s="79" t="n">
        <v>0</v>
      </c>
      <c r="AG429" s="74" t="n">
        <v>0</v>
      </c>
      <c r="AH429" s="82" t="n">
        <v>427</v>
      </c>
    </row>
    <row r="430" ht="18" customHeight="1">
      <c r="C430" s="68">
        <f>_xlfn.XLOOKUP($A430,'01'!$G$3:$G$100,'01'!$R$3:$R$100,"-")</f>
        <v/>
      </c>
      <c r="D430" s="68">
        <f>_xlfn.XLOOKUP($A430,'02'!$G$3:$G$100,'02'!$R$3:$R$100,"-")</f>
        <v/>
      </c>
      <c r="E430" s="68">
        <f>_xlfn.XLOOKUP($A430,'03'!$G$3:$G$100,'03'!$R$3:$R$100,"-")</f>
        <v/>
      </c>
      <c r="F430" s="68">
        <f>_xlfn.XLOOKUP($A430,'04'!$G$3:$G$100,'04'!$R$3:$R$100,"-")</f>
        <v/>
      </c>
      <c r="G430" s="68">
        <f>_xlfn.XLOOKUP($A430,'05'!$G$3:$G$100,'05'!$R$3:$R$100,"-")</f>
        <v/>
      </c>
      <c r="H430" s="68">
        <f>_xlfn.XLOOKUP($A430,'06'!$G$3:$G$100,'06'!$R$3:$R$100,"-")</f>
        <v/>
      </c>
      <c r="I430" s="68">
        <f>_xlfn.XLOOKUP($A430,'07'!$G$3:$G$100,'07'!$R$3:$R$100,"-")</f>
        <v/>
      </c>
      <c r="J430" s="68">
        <f>_xlfn.XLOOKUP($A430,'08'!$G$3:$G$100,'08'!$R$3:$R$100,"-")</f>
        <v/>
      </c>
      <c r="K430" s="68">
        <f>_xlfn.XLOOKUP($A430,'09'!$G$3:$G$100,'09'!$R$3:$R$100,"-")</f>
        <v/>
      </c>
      <c r="L430" s="68">
        <f>_xlfn.XLOOKUP($A430,'10'!$G$3:$G$100,'10'!$R$3:$R$100,"-")</f>
        <v/>
      </c>
      <c r="M430" s="68">
        <f>_xlfn.XLOOKUP($A430,'11'!$G$3:$G$100,'11'!$R$3:$R$100,"-")</f>
        <v/>
      </c>
      <c r="N430" s="68">
        <f>_xlfn.XLOOKUP($A430,'12'!$G$3:$G$100,'12'!$R$3:$R$100,"-")</f>
        <v/>
      </c>
      <c r="O430" s="79">
        <f>SUM(C430:N430)</f>
        <v/>
      </c>
      <c r="P430" s="74" t="n"/>
      <c r="Q430" s="82" t="n">
        <v>428</v>
      </c>
      <c r="R430" s="38" t="n"/>
      <c r="S430" s="61" t="n">
        <v>0</v>
      </c>
      <c r="T430" s="68" t="n">
        <v>0</v>
      </c>
      <c r="U430" s="68" t="n">
        <v>0</v>
      </c>
      <c r="V430" s="68" t="n">
        <v>0</v>
      </c>
      <c r="W430" s="68" t="n">
        <v>0</v>
      </c>
      <c r="X430" s="68" t="n">
        <v>0</v>
      </c>
      <c r="Y430" s="68" t="n">
        <v>0</v>
      </c>
      <c r="Z430" s="68" t="n">
        <v>0</v>
      </c>
      <c r="AA430" s="68" t="n">
        <v>0</v>
      </c>
      <c r="AB430" s="68" t="n">
        <v>0</v>
      </c>
      <c r="AC430" s="68" t="n">
        <v>0</v>
      </c>
      <c r="AD430" s="68" t="n">
        <v>0</v>
      </c>
      <c r="AE430" s="68" t="n">
        <v>0</v>
      </c>
      <c r="AF430" s="79" t="n">
        <v>0</v>
      </c>
      <c r="AG430" s="74" t="n">
        <v>0</v>
      </c>
      <c r="AH430" s="82" t="n">
        <v>428</v>
      </c>
    </row>
    <row r="431" ht="18" customHeight="1">
      <c r="C431" s="68">
        <f>_xlfn.XLOOKUP($A431,'01'!$G$3:$G$100,'01'!$R$3:$R$100,"-")</f>
        <v/>
      </c>
      <c r="D431" s="68">
        <f>_xlfn.XLOOKUP($A431,'02'!$G$3:$G$100,'02'!$R$3:$R$100,"-")</f>
        <v/>
      </c>
      <c r="E431" s="68">
        <f>_xlfn.XLOOKUP($A431,'03'!$G$3:$G$100,'03'!$R$3:$R$100,"-")</f>
        <v/>
      </c>
      <c r="F431" s="68">
        <f>_xlfn.XLOOKUP($A431,'04'!$G$3:$G$100,'04'!$R$3:$R$100,"-")</f>
        <v/>
      </c>
      <c r="G431" s="68">
        <f>_xlfn.XLOOKUP($A431,'05'!$G$3:$G$100,'05'!$R$3:$R$100,"-")</f>
        <v/>
      </c>
      <c r="H431" s="68">
        <f>_xlfn.XLOOKUP($A431,'06'!$G$3:$G$100,'06'!$R$3:$R$100,"-")</f>
        <v/>
      </c>
      <c r="I431" s="68">
        <f>_xlfn.XLOOKUP($A431,'07'!$G$3:$G$100,'07'!$R$3:$R$100,"-")</f>
        <v/>
      </c>
      <c r="J431" s="68">
        <f>_xlfn.XLOOKUP($A431,'08'!$G$3:$G$100,'08'!$R$3:$R$100,"-")</f>
        <v/>
      </c>
      <c r="K431" s="68">
        <f>_xlfn.XLOOKUP($A431,'09'!$G$3:$G$100,'09'!$R$3:$R$100,"-")</f>
        <v/>
      </c>
      <c r="L431" s="68">
        <f>_xlfn.XLOOKUP($A431,'10'!$G$3:$G$100,'10'!$R$3:$R$100,"-")</f>
        <v/>
      </c>
      <c r="M431" s="68">
        <f>_xlfn.XLOOKUP($A431,'11'!$G$3:$G$100,'11'!$R$3:$R$100,"-")</f>
        <v/>
      </c>
      <c r="N431" s="68">
        <f>_xlfn.XLOOKUP($A431,'12'!$G$3:$G$100,'12'!$R$3:$R$100,"-")</f>
        <v/>
      </c>
      <c r="O431" s="79">
        <f>SUM(C431:N431)</f>
        <v/>
      </c>
      <c r="P431" s="74" t="n"/>
      <c r="Q431" s="82" t="n">
        <v>429</v>
      </c>
      <c r="R431" s="38" t="n"/>
      <c r="S431" s="61" t="n">
        <v>0</v>
      </c>
      <c r="T431" s="68" t="n">
        <v>0</v>
      </c>
      <c r="U431" s="68" t="n">
        <v>0</v>
      </c>
      <c r="V431" s="68" t="n">
        <v>0</v>
      </c>
      <c r="W431" s="68" t="n">
        <v>0</v>
      </c>
      <c r="X431" s="68" t="n">
        <v>0</v>
      </c>
      <c r="Y431" s="68" t="n">
        <v>0</v>
      </c>
      <c r="Z431" s="68" t="n">
        <v>0</v>
      </c>
      <c r="AA431" s="68" t="n">
        <v>0</v>
      </c>
      <c r="AB431" s="68" t="n">
        <v>0</v>
      </c>
      <c r="AC431" s="68" t="n">
        <v>0</v>
      </c>
      <c r="AD431" s="68" t="n">
        <v>0</v>
      </c>
      <c r="AE431" s="68" t="n">
        <v>0</v>
      </c>
      <c r="AF431" s="79" t="n">
        <v>0</v>
      </c>
      <c r="AG431" s="74" t="n">
        <v>0</v>
      </c>
      <c r="AH431" s="82" t="n">
        <v>429</v>
      </c>
    </row>
    <row r="432" ht="18" customHeight="1">
      <c r="C432" s="68">
        <f>_xlfn.XLOOKUP($A432,'01'!$G$3:$G$100,'01'!$R$3:$R$100,"-")</f>
        <v/>
      </c>
      <c r="D432" s="68">
        <f>_xlfn.XLOOKUP($A432,'02'!$G$3:$G$100,'02'!$R$3:$R$100,"-")</f>
        <v/>
      </c>
      <c r="E432" s="68">
        <f>_xlfn.XLOOKUP($A432,'03'!$G$3:$G$100,'03'!$R$3:$R$100,"-")</f>
        <v/>
      </c>
      <c r="F432" s="68">
        <f>_xlfn.XLOOKUP($A432,'04'!$G$3:$G$100,'04'!$R$3:$R$100,"-")</f>
        <v/>
      </c>
      <c r="G432" s="68">
        <f>_xlfn.XLOOKUP($A432,'05'!$G$3:$G$100,'05'!$R$3:$R$100,"-")</f>
        <v/>
      </c>
      <c r="H432" s="68">
        <f>_xlfn.XLOOKUP($A432,'06'!$G$3:$G$100,'06'!$R$3:$R$100,"-")</f>
        <v/>
      </c>
      <c r="I432" s="68">
        <f>_xlfn.XLOOKUP($A432,'07'!$G$3:$G$100,'07'!$R$3:$R$100,"-")</f>
        <v/>
      </c>
      <c r="J432" s="68">
        <f>_xlfn.XLOOKUP($A432,'08'!$G$3:$G$100,'08'!$R$3:$R$100,"-")</f>
        <v/>
      </c>
      <c r="K432" s="68">
        <f>_xlfn.XLOOKUP($A432,'09'!$G$3:$G$100,'09'!$R$3:$R$100,"-")</f>
        <v/>
      </c>
      <c r="L432" s="68">
        <f>_xlfn.XLOOKUP($A432,'10'!$G$3:$G$100,'10'!$R$3:$R$100,"-")</f>
        <v/>
      </c>
      <c r="M432" s="68">
        <f>_xlfn.XLOOKUP($A432,'11'!$G$3:$G$100,'11'!$R$3:$R$100,"-")</f>
        <v/>
      </c>
      <c r="N432" s="68">
        <f>_xlfn.XLOOKUP($A432,'12'!$G$3:$G$100,'12'!$R$3:$R$100,"-")</f>
        <v/>
      </c>
      <c r="O432" s="79">
        <f>SUM(C432:N432)</f>
        <v/>
      </c>
      <c r="P432" s="74" t="n"/>
      <c r="Q432" s="82" t="n">
        <v>430</v>
      </c>
      <c r="R432" s="38" t="n"/>
      <c r="S432" s="61" t="n">
        <v>0</v>
      </c>
      <c r="T432" s="68" t="n">
        <v>0</v>
      </c>
      <c r="U432" s="68" t="n">
        <v>0</v>
      </c>
      <c r="V432" s="68" t="n">
        <v>0</v>
      </c>
      <c r="W432" s="68" t="n">
        <v>0</v>
      </c>
      <c r="X432" s="68" t="n">
        <v>0</v>
      </c>
      <c r="Y432" s="68" t="n">
        <v>0</v>
      </c>
      <c r="Z432" s="68" t="n">
        <v>0</v>
      </c>
      <c r="AA432" s="68" t="n">
        <v>0</v>
      </c>
      <c r="AB432" s="68" t="n">
        <v>0</v>
      </c>
      <c r="AC432" s="68" t="n">
        <v>0</v>
      </c>
      <c r="AD432" s="68" t="n">
        <v>0</v>
      </c>
      <c r="AE432" s="68" t="n">
        <v>0</v>
      </c>
      <c r="AF432" s="79" t="n">
        <v>0</v>
      </c>
      <c r="AG432" s="74" t="n">
        <v>0</v>
      </c>
      <c r="AH432" s="82" t="n">
        <v>430</v>
      </c>
    </row>
    <row r="433" ht="18" customHeight="1">
      <c r="C433" s="68">
        <f>_xlfn.XLOOKUP($A433,'01'!$G$3:$G$100,'01'!$R$3:$R$100,"-")</f>
        <v/>
      </c>
      <c r="D433" s="68">
        <f>_xlfn.XLOOKUP($A433,'02'!$G$3:$G$100,'02'!$R$3:$R$100,"-")</f>
        <v/>
      </c>
      <c r="E433" s="68">
        <f>_xlfn.XLOOKUP($A433,'03'!$G$3:$G$100,'03'!$R$3:$R$100,"-")</f>
        <v/>
      </c>
      <c r="F433" s="68">
        <f>_xlfn.XLOOKUP($A433,'04'!$G$3:$G$100,'04'!$R$3:$R$100,"-")</f>
        <v/>
      </c>
      <c r="G433" s="68">
        <f>_xlfn.XLOOKUP($A433,'05'!$G$3:$G$100,'05'!$R$3:$R$100,"-")</f>
        <v/>
      </c>
      <c r="H433" s="68">
        <f>_xlfn.XLOOKUP($A433,'06'!$G$3:$G$100,'06'!$R$3:$R$100,"-")</f>
        <v/>
      </c>
      <c r="I433" s="68">
        <f>_xlfn.XLOOKUP($A433,'07'!$G$3:$G$100,'07'!$R$3:$R$100,"-")</f>
        <v/>
      </c>
      <c r="J433" s="68">
        <f>_xlfn.XLOOKUP($A433,'08'!$G$3:$G$100,'08'!$R$3:$R$100,"-")</f>
        <v/>
      </c>
      <c r="K433" s="68">
        <f>_xlfn.XLOOKUP($A433,'09'!$G$3:$G$100,'09'!$R$3:$R$100,"-")</f>
        <v/>
      </c>
      <c r="L433" s="68">
        <f>_xlfn.XLOOKUP($A433,'10'!$G$3:$G$100,'10'!$R$3:$R$100,"-")</f>
        <v/>
      </c>
      <c r="M433" s="68">
        <f>_xlfn.XLOOKUP($A433,'11'!$G$3:$G$100,'11'!$R$3:$R$100,"-")</f>
        <v/>
      </c>
      <c r="N433" s="68">
        <f>_xlfn.XLOOKUP($A433,'12'!$G$3:$G$100,'12'!$R$3:$R$100,"-")</f>
        <v/>
      </c>
      <c r="O433" s="79">
        <f>SUM(C433:N433)</f>
        <v/>
      </c>
      <c r="P433" s="74" t="n"/>
      <c r="Q433" s="82" t="n">
        <v>431</v>
      </c>
      <c r="R433" s="38" t="n"/>
      <c r="S433" s="61" t="n">
        <v>0</v>
      </c>
      <c r="T433" s="68" t="n">
        <v>0</v>
      </c>
      <c r="U433" s="68" t="n">
        <v>0</v>
      </c>
      <c r="V433" s="68" t="n">
        <v>0</v>
      </c>
      <c r="W433" s="68" t="n">
        <v>0</v>
      </c>
      <c r="X433" s="68" t="n">
        <v>0</v>
      </c>
      <c r="Y433" s="68" t="n">
        <v>0</v>
      </c>
      <c r="Z433" s="68" t="n">
        <v>0</v>
      </c>
      <c r="AA433" s="68" t="n">
        <v>0</v>
      </c>
      <c r="AB433" s="68" t="n">
        <v>0</v>
      </c>
      <c r="AC433" s="68" t="n">
        <v>0</v>
      </c>
      <c r="AD433" s="68" t="n">
        <v>0</v>
      </c>
      <c r="AE433" s="68" t="n">
        <v>0</v>
      </c>
      <c r="AF433" s="79" t="n">
        <v>0</v>
      </c>
      <c r="AG433" s="74" t="n">
        <v>0</v>
      </c>
      <c r="AH433" s="82" t="n">
        <v>431</v>
      </c>
    </row>
    <row r="434" ht="18" customHeight="1">
      <c r="C434" s="68">
        <f>_xlfn.XLOOKUP($A434,'01'!$G$3:$G$100,'01'!$R$3:$R$100,"-")</f>
        <v/>
      </c>
      <c r="D434" s="68">
        <f>_xlfn.XLOOKUP($A434,'02'!$G$3:$G$100,'02'!$R$3:$R$100,"-")</f>
        <v/>
      </c>
      <c r="E434" s="68">
        <f>_xlfn.XLOOKUP($A434,'03'!$G$3:$G$100,'03'!$R$3:$R$100,"-")</f>
        <v/>
      </c>
      <c r="F434" s="68">
        <f>_xlfn.XLOOKUP($A434,'04'!$G$3:$G$100,'04'!$R$3:$R$100,"-")</f>
        <v/>
      </c>
      <c r="G434" s="68">
        <f>_xlfn.XLOOKUP($A434,'05'!$G$3:$G$100,'05'!$R$3:$R$100,"-")</f>
        <v/>
      </c>
      <c r="H434" s="68">
        <f>_xlfn.XLOOKUP($A434,'06'!$G$3:$G$100,'06'!$R$3:$R$100,"-")</f>
        <v/>
      </c>
      <c r="I434" s="68">
        <f>_xlfn.XLOOKUP($A434,'07'!$G$3:$G$100,'07'!$R$3:$R$100,"-")</f>
        <v/>
      </c>
      <c r="J434" s="68">
        <f>_xlfn.XLOOKUP($A434,'08'!$G$3:$G$100,'08'!$R$3:$R$100,"-")</f>
        <v/>
      </c>
      <c r="K434" s="68">
        <f>_xlfn.XLOOKUP($A434,'09'!$G$3:$G$100,'09'!$R$3:$R$100,"-")</f>
        <v/>
      </c>
      <c r="L434" s="68">
        <f>_xlfn.XLOOKUP($A434,'10'!$G$3:$G$100,'10'!$R$3:$R$100,"-")</f>
        <v/>
      </c>
      <c r="M434" s="68">
        <f>_xlfn.XLOOKUP($A434,'11'!$G$3:$G$100,'11'!$R$3:$R$100,"-")</f>
        <v/>
      </c>
      <c r="N434" s="68">
        <f>_xlfn.XLOOKUP($A434,'12'!$G$3:$G$100,'12'!$R$3:$R$100,"-")</f>
        <v/>
      </c>
      <c r="O434" s="79">
        <f>SUM(C434:N434)</f>
        <v/>
      </c>
      <c r="P434" s="74" t="n"/>
      <c r="Q434" s="82" t="n">
        <v>432</v>
      </c>
      <c r="R434" s="38" t="n"/>
      <c r="S434" s="61" t="n">
        <v>0</v>
      </c>
      <c r="T434" s="68" t="n">
        <v>0</v>
      </c>
      <c r="U434" s="68" t="n">
        <v>0</v>
      </c>
      <c r="V434" s="68" t="n">
        <v>0</v>
      </c>
      <c r="W434" s="68" t="n">
        <v>0</v>
      </c>
      <c r="X434" s="68" t="n">
        <v>0</v>
      </c>
      <c r="Y434" s="68" t="n">
        <v>0</v>
      </c>
      <c r="Z434" s="68" t="n">
        <v>0</v>
      </c>
      <c r="AA434" s="68" t="n">
        <v>0</v>
      </c>
      <c r="AB434" s="68" t="n">
        <v>0</v>
      </c>
      <c r="AC434" s="68" t="n">
        <v>0</v>
      </c>
      <c r="AD434" s="68" t="n">
        <v>0</v>
      </c>
      <c r="AE434" s="68" t="n">
        <v>0</v>
      </c>
      <c r="AF434" s="79" t="n">
        <v>0</v>
      </c>
      <c r="AG434" s="74" t="n">
        <v>0</v>
      </c>
      <c r="AH434" s="82" t="n">
        <v>432</v>
      </c>
    </row>
    <row r="435" ht="18" customHeight="1">
      <c r="C435" s="68">
        <f>_xlfn.XLOOKUP($A435,'01'!$G$3:$G$100,'01'!$R$3:$R$100,"-")</f>
        <v/>
      </c>
      <c r="D435" s="68">
        <f>_xlfn.XLOOKUP($A435,'02'!$G$3:$G$100,'02'!$R$3:$R$100,"-")</f>
        <v/>
      </c>
      <c r="E435" s="68">
        <f>_xlfn.XLOOKUP($A435,'03'!$G$3:$G$100,'03'!$R$3:$R$100,"-")</f>
        <v/>
      </c>
      <c r="F435" s="68">
        <f>_xlfn.XLOOKUP($A435,'04'!$G$3:$G$100,'04'!$R$3:$R$100,"-")</f>
        <v/>
      </c>
      <c r="G435" s="68">
        <f>_xlfn.XLOOKUP($A435,'05'!$G$3:$G$100,'05'!$R$3:$R$100,"-")</f>
        <v/>
      </c>
      <c r="H435" s="68">
        <f>_xlfn.XLOOKUP($A435,'06'!$G$3:$G$100,'06'!$R$3:$R$100,"-")</f>
        <v/>
      </c>
      <c r="I435" s="68">
        <f>_xlfn.XLOOKUP($A435,'07'!$G$3:$G$100,'07'!$R$3:$R$100,"-")</f>
        <v/>
      </c>
      <c r="J435" s="68">
        <f>_xlfn.XLOOKUP($A435,'08'!$G$3:$G$100,'08'!$R$3:$R$100,"-")</f>
        <v/>
      </c>
      <c r="K435" s="68">
        <f>_xlfn.XLOOKUP($A435,'09'!$G$3:$G$100,'09'!$R$3:$R$100,"-")</f>
        <v/>
      </c>
      <c r="L435" s="68">
        <f>_xlfn.XLOOKUP($A435,'10'!$G$3:$G$100,'10'!$R$3:$R$100,"-")</f>
        <v/>
      </c>
      <c r="M435" s="68">
        <f>_xlfn.XLOOKUP($A435,'11'!$G$3:$G$100,'11'!$R$3:$R$100,"-")</f>
        <v/>
      </c>
      <c r="N435" s="68">
        <f>_xlfn.XLOOKUP($A435,'12'!$G$3:$G$100,'12'!$R$3:$R$100,"-")</f>
        <v/>
      </c>
      <c r="O435" s="79">
        <f>SUM(C435:N435)</f>
        <v/>
      </c>
      <c r="P435" s="74" t="n"/>
      <c r="Q435" s="82" t="n">
        <v>433</v>
      </c>
      <c r="R435" s="38" t="n"/>
      <c r="S435" s="61" t="n">
        <v>0</v>
      </c>
      <c r="T435" s="68" t="n">
        <v>0</v>
      </c>
      <c r="U435" s="68" t="n">
        <v>0</v>
      </c>
      <c r="V435" s="68" t="n">
        <v>0</v>
      </c>
      <c r="W435" s="68" t="n">
        <v>0</v>
      </c>
      <c r="X435" s="68" t="n">
        <v>0</v>
      </c>
      <c r="Y435" s="68" t="n">
        <v>0</v>
      </c>
      <c r="Z435" s="68" t="n">
        <v>0</v>
      </c>
      <c r="AA435" s="68" t="n">
        <v>0</v>
      </c>
      <c r="AB435" s="68" t="n">
        <v>0</v>
      </c>
      <c r="AC435" s="68" t="n">
        <v>0</v>
      </c>
      <c r="AD435" s="68" t="n">
        <v>0</v>
      </c>
      <c r="AE435" s="68" t="n">
        <v>0</v>
      </c>
      <c r="AF435" s="79" t="n">
        <v>0</v>
      </c>
      <c r="AG435" s="74" t="n">
        <v>0</v>
      </c>
      <c r="AH435" s="82" t="n">
        <v>433</v>
      </c>
    </row>
    <row r="436" ht="18" customHeight="1">
      <c r="C436" s="68">
        <f>_xlfn.XLOOKUP($A436,'01'!$G$3:$G$100,'01'!$R$3:$R$100,"-")</f>
        <v/>
      </c>
      <c r="D436" s="68">
        <f>_xlfn.XLOOKUP($A436,'02'!$G$3:$G$100,'02'!$R$3:$R$100,"-")</f>
        <v/>
      </c>
      <c r="E436" s="68">
        <f>_xlfn.XLOOKUP($A436,'03'!$G$3:$G$100,'03'!$R$3:$R$100,"-")</f>
        <v/>
      </c>
      <c r="F436" s="68">
        <f>_xlfn.XLOOKUP($A436,'04'!$G$3:$G$100,'04'!$R$3:$R$100,"-")</f>
        <v/>
      </c>
      <c r="G436" s="68">
        <f>_xlfn.XLOOKUP($A436,'05'!$G$3:$G$100,'05'!$R$3:$R$100,"-")</f>
        <v/>
      </c>
      <c r="H436" s="68">
        <f>_xlfn.XLOOKUP($A436,'06'!$G$3:$G$100,'06'!$R$3:$R$100,"-")</f>
        <v/>
      </c>
      <c r="I436" s="68">
        <f>_xlfn.XLOOKUP($A436,'07'!$G$3:$G$100,'07'!$R$3:$R$100,"-")</f>
        <v/>
      </c>
      <c r="J436" s="68">
        <f>_xlfn.XLOOKUP($A436,'08'!$G$3:$G$100,'08'!$R$3:$R$100,"-")</f>
        <v/>
      </c>
      <c r="K436" s="68">
        <f>_xlfn.XLOOKUP($A436,'09'!$G$3:$G$100,'09'!$R$3:$R$100,"-")</f>
        <v/>
      </c>
      <c r="L436" s="68">
        <f>_xlfn.XLOOKUP($A436,'10'!$G$3:$G$100,'10'!$R$3:$R$100,"-")</f>
        <v/>
      </c>
      <c r="M436" s="68">
        <f>_xlfn.XLOOKUP($A436,'11'!$G$3:$G$100,'11'!$R$3:$R$100,"-")</f>
        <v/>
      </c>
      <c r="N436" s="68">
        <f>_xlfn.XLOOKUP($A436,'12'!$G$3:$G$100,'12'!$R$3:$R$100,"-")</f>
        <v/>
      </c>
      <c r="O436" s="79">
        <f>SUM(C436:N436)</f>
        <v/>
      </c>
      <c r="P436" s="74" t="n"/>
      <c r="Q436" s="82" t="n">
        <v>434</v>
      </c>
      <c r="R436" s="38" t="n"/>
      <c r="S436" s="61" t="n">
        <v>0</v>
      </c>
      <c r="T436" s="68" t="n">
        <v>0</v>
      </c>
      <c r="U436" s="68" t="n">
        <v>0</v>
      </c>
      <c r="V436" s="68" t="n">
        <v>0</v>
      </c>
      <c r="W436" s="68" t="n">
        <v>0</v>
      </c>
      <c r="X436" s="68" t="n">
        <v>0</v>
      </c>
      <c r="Y436" s="68" t="n">
        <v>0</v>
      </c>
      <c r="Z436" s="68" t="n">
        <v>0</v>
      </c>
      <c r="AA436" s="68" t="n">
        <v>0</v>
      </c>
      <c r="AB436" s="68" t="n">
        <v>0</v>
      </c>
      <c r="AC436" s="68" t="n">
        <v>0</v>
      </c>
      <c r="AD436" s="68" t="n">
        <v>0</v>
      </c>
      <c r="AE436" s="68" t="n">
        <v>0</v>
      </c>
      <c r="AF436" s="79" t="n">
        <v>0</v>
      </c>
      <c r="AG436" s="74" t="n">
        <v>0</v>
      </c>
      <c r="AH436" s="82" t="n">
        <v>434</v>
      </c>
    </row>
    <row r="437" ht="18" customHeight="1">
      <c r="C437" s="68">
        <f>_xlfn.XLOOKUP($A437,'01'!$G$3:$G$100,'01'!$R$3:$R$100,"-")</f>
        <v/>
      </c>
      <c r="D437" s="68">
        <f>_xlfn.XLOOKUP($A437,'02'!$G$3:$G$100,'02'!$R$3:$R$100,"-")</f>
        <v/>
      </c>
      <c r="E437" s="68">
        <f>_xlfn.XLOOKUP($A437,'03'!$G$3:$G$100,'03'!$R$3:$R$100,"-")</f>
        <v/>
      </c>
      <c r="F437" s="68">
        <f>_xlfn.XLOOKUP($A437,'04'!$G$3:$G$100,'04'!$R$3:$R$100,"-")</f>
        <v/>
      </c>
      <c r="G437" s="68">
        <f>_xlfn.XLOOKUP($A437,'05'!$G$3:$G$100,'05'!$R$3:$R$100,"-")</f>
        <v/>
      </c>
      <c r="H437" s="68">
        <f>_xlfn.XLOOKUP($A437,'06'!$G$3:$G$100,'06'!$R$3:$R$100,"-")</f>
        <v/>
      </c>
      <c r="I437" s="68">
        <f>_xlfn.XLOOKUP($A437,'07'!$G$3:$G$100,'07'!$R$3:$R$100,"-")</f>
        <v/>
      </c>
      <c r="J437" s="68">
        <f>_xlfn.XLOOKUP($A437,'08'!$G$3:$G$100,'08'!$R$3:$R$100,"-")</f>
        <v/>
      </c>
      <c r="K437" s="68">
        <f>_xlfn.XLOOKUP($A437,'09'!$G$3:$G$100,'09'!$R$3:$R$100,"-")</f>
        <v/>
      </c>
      <c r="L437" s="68">
        <f>_xlfn.XLOOKUP($A437,'10'!$G$3:$G$100,'10'!$R$3:$R$100,"-")</f>
        <v/>
      </c>
      <c r="M437" s="68">
        <f>_xlfn.XLOOKUP($A437,'11'!$G$3:$G$100,'11'!$R$3:$R$100,"-")</f>
        <v/>
      </c>
      <c r="N437" s="68">
        <f>_xlfn.XLOOKUP($A437,'12'!$G$3:$G$100,'12'!$R$3:$R$100,"-")</f>
        <v/>
      </c>
      <c r="O437" s="79">
        <f>SUM(C437:N437)</f>
        <v/>
      </c>
      <c r="P437" s="74" t="n"/>
      <c r="Q437" s="83" t="n">
        <v>435</v>
      </c>
      <c r="R437" s="38" t="n"/>
      <c r="S437" s="61" t="n">
        <v>0</v>
      </c>
      <c r="T437" s="68" t="n">
        <v>0</v>
      </c>
      <c r="U437" s="68" t="n">
        <v>0</v>
      </c>
      <c r="V437" s="68" t="n">
        <v>0</v>
      </c>
      <c r="W437" s="68" t="n">
        <v>0</v>
      </c>
      <c r="X437" s="68" t="n">
        <v>0</v>
      </c>
      <c r="Y437" s="68" t="n">
        <v>0</v>
      </c>
      <c r="Z437" s="68" t="n">
        <v>0</v>
      </c>
      <c r="AA437" s="68" t="n">
        <v>0</v>
      </c>
      <c r="AB437" s="68" t="n">
        <v>0</v>
      </c>
      <c r="AC437" s="68" t="n">
        <v>0</v>
      </c>
      <c r="AD437" s="68" t="n">
        <v>0</v>
      </c>
      <c r="AE437" s="68" t="n">
        <v>0</v>
      </c>
      <c r="AF437" s="79" t="n">
        <v>0</v>
      </c>
      <c r="AG437" s="74" t="n">
        <v>0</v>
      </c>
      <c r="AH437" s="83" t="n">
        <v>435</v>
      </c>
    </row>
    <row r="438" ht="18" customHeight="1">
      <c r="C438" s="68">
        <f>_xlfn.XLOOKUP($A438,'01'!$G$3:$G$100,'01'!$R$3:$R$100,"-")</f>
        <v/>
      </c>
      <c r="D438" s="68">
        <f>_xlfn.XLOOKUP($A438,'02'!$G$3:$G$100,'02'!$R$3:$R$100,"-")</f>
        <v/>
      </c>
      <c r="E438" s="68">
        <f>_xlfn.XLOOKUP($A438,'03'!$G$3:$G$100,'03'!$R$3:$R$100,"-")</f>
        <v/>
      </c>
      <c r="F438" s="68">
        <f>_xlfn.XLOOKUP($A438,'04'!$G$3:$G$100,'04'!$R$3:$R$100,"-")</f>
        <v/>
      </c>
      <c r="G438" s="68">
        <f>_xlfn.XLOOKUP($A438,'05'!$G$3:$G$100,'05'!$R$3:$R$100,"-")</f>
        <v/>
      </c>
      <c r="H438" s="68">
        <f>_xlfn.XLOOKUP($A438,'06'!$G$3:$G$100,'06'!$R$3:$R$100,"-")</f>
        <v/>
      </c>
      <c r="I438" s="68">
        <f>_xlfn.XLOOKUP($A438,'07'!$G$3:$G$100,'07'!$R$3:$R$100,"-")</f>
        <v/>
      </c>
      <c r="J438" s="68">
        <f>_xlfn.XLOOKUP($A438,'08'!$G$3:$G$100,'08'!$R$3:$R$100,"-")</f>
        <v/>
      </c>
      <c r="K438" s="68">
        <f>_xlfn.XLOOKUP($A438,'09'!$G$3:$G$100,'09'!$R$3:$R$100,"-")</f>
        <v/>
      </c>
      <c r="L438" s="68">
        <f>_xlfn.XLOOKUP($A438,'10'!$G$3:$G$100,'10'!$R$3:$R$100,"-")</f>
        <v/>
      </c>
      <c r="M438" s="68">
        <f>_xlfn.XLOOKUP($A438,'11'!$G$3:$G$100,'11'!$R$3:$R$100,"-")</f>
        <v/>
      </c>
      <c r="N438" s="68">
        <f>_xlfn.XLOOKUP($A438,'12'!$G$3:$G$100,'12'!$R$3:$R$100,"-")</f>
        <v/>
      </c>
      <c r="O438" s="79">
        <f>SUM(C438:N438)</f>
        <v/>
      </c>
      <c r="P438" s="74" t="n"/>
      <c r="Q438" s="82" t="n">
        <v>436</v>
      </c>
      <c r="R438" s="38" t="n"/>
      <c r="S438" s="61" t="n">
        <v>0</v>
      </c>
      <c r="T438" s="68" t="n">
        <v>0</v>
      </c>
      <c r="U438" s="68" t="n">
        <v>0</v>
      </c>
      <c r="V438" s="68" t="n">
        <v>0</v>
      </c>
      <c r="W438" s="68" t="n">
        <v>0</v>
      </c>
      <c r="X438" s="68" t="n">
        <v>0</v>
      </c>
      <c r="Y438" s="68" t="n">
        <v>0</v>
      </c>
      <c r="Z438" s="68" t="n">
        <v>0</v>
      </c>
      <c r="AA438" s="68" t="n">
        <v>0</v>
      </c>
      <c r="AB438" s="68" t="n">
        <v>0</v>
      </c>
      <c r="AC438" s="68" t="n">
        <v>0</v>
      </c>
      <c r="AD438" s="68" t="n">
        <v>0</v>
      </c>
      <c r="AE438" s="68" t="n">
        <v>0</v>
      </c>
      <c r="AF438" s="79" t="n">
        <v>0</v>
      </c>
      <c r="AG438" s="74" t="n">
        <v>0</v>
      </c>
      <c r="AH438" s="82" t="n">
        <v>436</v>
      </c>
    </row>
    <row r="439" ht="18" customHeight="1">
      <c r="C439" s="68">
        <f>_xlfn.XLOOKUP($A439,'01'!$G$3:$G$100,'01'!$R$3:$R$100,"-")</f>
        <v/>
      </c>
      <c r="D439" s="68">
        <f>_xlfn.XLOOKUP($A439,'02'!$G$3:$G$100,'02'!$R$3:$R$100,"-")</f>
        <v/>
      </c>
      <c r="E439" s="68">
        <f>_xlfn.XLOOKUP($A439,'03'!$G$3:$G$100,'03'!$R$3:$R$100,"-")</f>
        <v/>
      </c>
      <c r="F439" s="68">
        <f>_xlfn.XLOOKUP($A439,'04'!$G$3:$G$100,'04'!$R$3:$R$100,"-")</f>
        <v/>
      </c>
      <c r="G439" s="68">
        <f>_xlfn.XLOOKUP($A439,'05'!$G$3:$G$100,'05'!$R$3:$R$100,"-")</f>
        <v/>
      </c>
      <c r="H439" s="68">
        <f>_xlfn.XLOOKUP($A439,'06'!$G$3:$G$100,'06'!$R$3:$R$100,"-")</f>
        <v/>
      </c>
      <c r="I439" s="68">
        <f>_xlfn.XLOOKUP($A439,'07'!$G$3:$G$100,'07'!$R$3:$R$100,"-")</f>
        <v/>
      </c>
      <c r="J439" s="68">
        <f>_xlfn.XLOOKUP($A439,'08'!$G$3:$G$100,'08'!$R$3:$R$100,"-")</f>
        <v/>
      </c>
      <c r="K439" s="68">
        <f>_xlfn.XLOOKUP($A439,'09'!$G$3:$G$100,'09'!$R$3:$R$100,"-")</f>
        <v/>
      </c>
      <c r="L439" s="68">
        <f>_xlfn.XLOOKUP($A439,'10'!$G$3:$G$100,'10'!$R$3:$R$100,"-")</f>
        <v/>
      </c>
      <c r="M439" s="68">
        <f>_xlfn.XLOOKUP($A439,'11'!$G$3:$G$100,'11'!$R$3:$R$100,"-")</f>
        <v/>
      </c>
      <c r="N439" s="68">
        <f>_xlfn.XLOOKUP($A439,'12'!$G$3:$G$100,'12'!$R$3:$R$100,"-")</f>
        <v/>
      </c>
      <c r="O439" s="79">
        <f>SUM(C439:N439)</f>
        <v/>
      </c>
      <c r="P439" s="74" t="n"/>
      <c r="Q439" s="82" t="n">
        <v>437</v>
      </c>
      <c r="R439" s="38" t="n"/>
      <c r="S439" s="61" t="n">
        <v>0</v>
      </c>
      <c r="T439" s="68" t="n">
        <v>0</v>
      </c>
      <c r="U439" s="68" t="n">
        <v>0</v>
      </c>
      <c r="V439" s="68" t="n">
        <v>0</v>
      </c>
      <c r="W439" s="68" t="n">
        <v>0</v>
      </c>
      <c r="X439" s="68" t="n">
        <v>0</v>
      </c>
      <c r="Y439" s="68" t="n">
        <v>0</v>
      </c>
      <c r="Z439" s="68" t="n">
        <v>0</v>
      </c>
      <c r="AA439" s="68" t="n">
        <v>0</v>
      </c>
      <c r="AB439" s="68" t="n">
        <v>0</v>
      </c>
      <c r="AC439" s="68" t="n">
        <v>0</v>
      </c>
      <c r="AD439" s="68" t="n">
        <v>0</v>
      </c>
      <c r="AE439" s="68" t="n">
        <v>0</v>
      </c>
      <c r="AF439" s="79" t="n">
        <v>0</v>
      </c>
      <c r="AG439" s="74" t="n">
        <v>0</v>
      </c>
      <c r="AH439" s="82" t="n">
        <v>437</v>
      </c>
    </row>
    <row r="440" ht="18" customHeight="1">
      <c r="C440" s="68">
        <f>_xlfn.XLOOKUP($A440,'01'!$G$3:$G$100,'01'!$R$3:$R$100,"-")</f>
        <v/>
      </c>
      <c r="D440" s="68">
        <f>_xlfn.XLOOKUP($A440,'02'!$G$3:$G$100,'02'!$R$3:$R$100,"-")</f>
        <v/>
      </c>
      <c r="E440" s="68">
        <f>_xlfn.XLOOKUP($A440,'03'!$G$3:$G$100,'03'!$R$3:$R$100,"-")</f>
        <v/>
      </c>
      <c r="F440" s="68">
        <f>_xlfn.XLOOKUP($A440,'04'!$G$3:$G$100,'04'!$R$3:$R$100,"-")</f>
        <v/>
      </c>
      <c r="G440" s="68">
        <f>_xlfn.XLOOKUP($A440,'05'!$G$3:$G$100,'05'!$R$3:$R$100,"-")</f>
        <v/>
      </c>
      <c r="H440" s="68">
        <f>_xlfn.XLOOKUP($A440,'06'!$G$3:$G$100,'06'!$R$3:$R$100,"-")</f>
        <v/>
      </c>
      <c r="I440" s="68">
        <f>_xlfn.XLOOKUP($A440,'07'!$G$3:$G$100,'07'!$R$3:$R$100,"-")</f>
        <v/>
      </c>
      <c r="J440" s="68">
        <f>_xlfn.XLOOKUP($A440,'08'!$G$3:$G$100,'08'!$R$3:$R$100,"-")</f>
        <v/>
      </c>
      <c r="K440" s="68">
        <f>_xlfn.XLOOKUP($A440,'09'!$G$3:$G$100,'09'!$R$3:$R$100,"-")</f>
        <v/>
      </c>
      <c r="L440" s="68">
        <f>_xlfn.XLOOKUP($A440,'10'!$G$3:$G$100,'10'!$R$3:$R$100,"-")</f>
        <v/>
      </c>
      <c r="M440" s="68">
        <f>_xlfn.XLOOKUP($A440,'11'!$G$3:$G$100,'11'!$R$3:$R$100,"-")</f>
        <v/>
      </c>
      <c r="N440" s="68">
        <f>_xlfn.XLOOKUP($A440,'12'!$G$3:$G$100,'12'!$R$3:$R$100,"-")</f>
        <v/>
      </c>
      <c r="O440" s="79">
        <f>SUM(C440:N440)</f>
        <v/>
      </c>
      <c r="P440" s="74" t="n"/>
      <c r="Q440" s="82" t="n">
        <v>438</v>
      </c>
      <c r="R440" s="38" t="n"/>
      <c r="S440" s="61" t="n">
        <v>0</v>
      </c>
      <c r="T440" s="68" t="n">
        <v>0</v>
      </c>
      <c r="U440" s="68" t="n">
        <v>0</v>
      </c>
      <c r="V440" s="68" t="n">
        <v>0</v>
      </c>
      <c r="W440" s="68" t="n">
        <v>0</v>
      </c>
      <c r="X440" s="68" t="n">
        <v>0</v>
      </c>
      <c r="Y440" s="68" t="n">
        <v>0</v>
      </c>
      <c r="Z440" s="68" t="n">
        <v>0</v>
      </c>
      <c r="AA440" s="68" t="n">
        <v>0</v>
      </c>
      <c r="AB440" s="68" t="n">
        <v>0</v>
      </c>
      <c r="AC440" s="68" t="n">
        <v>0</v>
      </c>
      <c r="AD440" s="68" t="n">
        <v>0</v>
      </c>
      <c r="AE440" s="68" t="n">
        <v>0</v>
      </c>
      <c r="AF440" s="79" t="n">
        <v>0</v>
      </c>
      <c r="AG440" s="74" t="n">
        <v>0</v>
      </c>
      <c r="AH440" s="82" t="n">
        <v>438</v>
      </c>
    </row>
    <row r="441" ht="18" customHeight="1">
      <c r="C441" s="68">
        <f>_xlfn.XLOOKUP($A441,'01'!$G$3:$G$100,'01'!$R$3:$R$100,"-")</f>
        <v/>
      </c>
      <c r="D441" s="68">
        <f>_xlfn.XLOOKUP($A441,'02'!$G$3:$G$100,'02'!$R$3:$R$100,"-")</f>
        <v/>
      </c>
      <c r="E441" s="68">
        <f>_xlfn.XLOOKUP($A441,'03'!$G$3:$G$100,'03'!$R$3:$R$100,"-")</f>
        <v/>
      </c>
      <c r="F441" s="68">
        <f>_xlfn.XLOOKUP($A441,'04'!$G$3:$G$100,'04'!$R$3:$R$100,"-")</f>
        <v/>
      </c>
      <c r="G441" s="68">
        <f>_xlfn.XLOOKUP($A441,'05'!$G$3:$G$100,'05'!$R$3:$R$100,"-")</f>
        <v/>
      </c>
      <c r="H441" s="68">
        <f>_xlfn.XLOOKUP($A441,'06'!$G$3:$G$100,'06'!$R$3:$R$100,"-")</f>
        <v/>
      </c>
      <c r="I441" s="68">
        <f>_xlfn.XLOOKUP($A441,'07'!$G$3:$G$100,'07'!$R$3:$R$100,"-")</f>
        <v/>
      </c>
      <c r="J441" s="68">
        <f>_xlfn.XLOOKUP($A441,'08'!$G$3:$G$100,'08'!$R$3:$R$100,"-")</f>
        <v/>
      </c>
      <c r="K441" s="68">
        <f>_xlfn.XLOOKUP($A441,'09'!$G$3:$G$100,'09'!$R$3:$R$100,"-")</f>
        <v/>
      </c>
      <c r="L441" s="68">
        <f>_xlfn.XLOOKUP($A441,'10'!$G$3:$G$100,'10'!$R$3:$R$100,"-")</f>
        <v/>
      </c>
      <c r="M441" s="68">
        <f>_xlfn.XLOOKUP($A441,'11'!$G$3:$G$100,'11'!$R$3:$R$100,"-")</f>
        <v/>
      </c>
      <c r="N441" s="68">
        <f>_xlfn.XLOOKUP($A441,'12'!$G$3:$G$100,'12'!$R$3:$R$100,"-")</f>
        <v/>
      </c>
      <c r="O441" s="79">
        <f>SUM(C441:N441)</f>
        <v/>
      </c>
      <c r="P441" s="74" t="n"/>
      <c r="Q441" s="82" t="n">
        <v>439</v>
      </c>
      <c r="R441" s="38" t="n"/>
      <c r="S441" s="61" t="n">
        <v>0</v>
      </c>
      <c r="T441" s="68" t="n">
        <v>0</v>
      </c>
      <c r="U441" s="68" t="n">
        <v>0</v>
      </c>
      <c r="V441" s="68" t="n">
        <v>0</v>
      </c>
      <c r="W441" s="68" t="n">
        <v>0</v>
      </c>
      <c r="X441" s="68" t="n">
        <v>0</v>
      </c>
      <c r="Y441" s="68" t="n">
        <v>0</v>
      </c>
      <c r="Z441" s="68" t="n">
        <v>0</v>
      </c>
      <c r="AA441" s="68" t="n">
        <v>0</v>
      </c>
      <c r="AB441" s="68" t="n">
        <v>0</v>
      </c>
      <c r="AC441" s="68" t="n">
        <v>0</v>
      </c>
      <c r="AD441" s="68" t="n">
        <v>0</v>
      </c>
      <c r="AE441" s="68" t="n">
        <v>0</v>
      </c>
      <c r="AF441" s="79" t="n">
        <v>0</v>
      </c>
      <c r="AG441" s="74" t="n">
        <v>0</v>
      </c>
      <c r="AH441" s="82" t="n">
        <v>439</v>
      </c>
    </row>
    <row r="442" ht="18" customHeight="1">
      <c r="C442" s="68">
        <f>_xlfn.XLOOKUP($A442,'01'!$G$3:$G$100,'01'!$R$3:$R$100,"-")</f>
        <v/>
      </c>
      <c r="D442" s="68">
        <f>_xlfn.XLOOKUP($A442,'02'!$G$3:$G$100,'02'!$R$3:$R$100,"-")</f>
        <v/>
      </c>
      <c r="E442" s="68">
        <f>_xlfn.XLOOKUP($A442,'03'!$G$3:$G$100,'03'!$R$3:$R$100,"-")</f>
        <v/>
      </c>
      <c r="F442" s="68">
        <f>_xlfn.XLOOKUP($A442,'04'!$G$3:$G$100,'04'!$R$3:$R$100,"-")</f>
        <v/>
      </c>
      <c r="G442" s="68">
        <f>_xlfn.XLOOKUP($A442,'05'!$G$3:$G$100,'05'!$R$3:$R$100,"-")</f>
        <v/>
      </c>
      <c r="H442" s="68">
        <f>_xlfn.XLOOKUP($A442,'06'!$G$3:$G$100,'06'!$R$3:$R$100,"-")</f>
        <v/>
      </c>
      <c r="I442" s="68">
        <f>_xlfn.XLOOKUP($A442,'07'!$G$3:$G$100,'07'!$R$3:$R$100,"-")</f>
        <v/>
      </c>
      <c r="J442" s="68">
        <f>_xlfn.XLOOKUP($A442,'08'!$G$3:$G$100,'08'!$R$3:$R$100,"-")</f>
        <v/>
      </c>
      <c r="K442" s="68">
        <f>_xlfn.XLOOKUP($A442,'09'!$G$3:$G$100,'09'!$R$3:$R$100,"-")</f>
        <v/>
      </c>
      <c r="L442" s="68">
        <f>_xlfn.XLOOKUP($A442,'10'!$G$3:$G$100,'10'!$R$3:$R$100,"-")</f>
        <v/>
      </c>
      <c r="M442" s="68">
        <f>_xlfn.XLOOKUP($A442,'11'!$G$3:$G$100,'11'!$R$3:$R$100,"-")</f>
        <v/>
      </c>
      <c r="N442" s="68">
        <f>_xlfn.XLOOKUP($A442,'12'!$G$3:$G$100,'12'!$R$3:$R$100,"-")</f>
        <v/>
      </c>
      <c r="O442" s="79">
        <f>SUM(C442:N442)</f>
        <v/>
      </c>
      <c r="P442" s="74" t="n"/>
      <c r="Q442" s="82" t="n">
        <v>440</v>
      </c>
      <c r="R442" s="38" t="n"/>
      <c r="S442" s="61" t="n">
        <v>0</v>
      </c>
      <c r="T442" s="68" t="n">
        <v>0</v>
      </c>
      <c r="U442" s="68" t="n">
        <v>0</v>
      </c>
      <c r="V442" s="68" t="n">
        <v>0</v>
      </c>
      <c r="W442" s="68" t="n">
        <v>0</v>
      </c>
      <c r="X442" s="68" t="n">
        <v>0</v>
      </c>
      <c r="Y442" s="68" t="n">
        <v>0</v>
      </c>
      <c r="Z442" s="68" t="n">
        <v>0</v>
      </c>
      <c r="AA442" s="68" t="n">
        <v>0</v>
      </c>
      <c r="AB442" s="68" t="n">
        <v>0</v>
      </c>
      <c r="AC442" s="68" t="n">
        <v>0</v>
      </c>
      <c r="AD442" s="68" t="n">
        <v>0</v>
      </c>
      <c r="AE442" s="68" t="n">
        <v>0</v>
      </c>
      <c r="AF442" s="79" t="n">
        <v>0</v>
      </c>
      <c r="AG442" s="74" t="n">
        <v>0</v>
      </c>
      <c r="AH442" s="82" t="n">
        <v>440</v>
      </c>
    </row>
    <row r="443" ht="18" customHeight="1">
      <c r="C443" s="68">
        <f>_xlfn.XLOOKUP($A443,'01'!$G$3:$G$100,'01'!$R$3:$R$100,"-")</f>
        <v/>
      </c>
      <c r="D443" s="68">
        <f>_xlfn.XLOOKUP($A443,'02'!$G$3:$G$100,'02'!$R$3:$R$100,"-")</f>
        <v/>
      </c>
      <c r="E443" s="68">
        <f>_xlfn.XLOOKUP($A443,'03'!$G$3:$G$100,'03'!$R$3:$R$100,"-")</f>
        <v/>
      </c>
      <c r="F443" s="68">
        <f>_xlfn.XLOOKUP($A443,'04'!$G$3:$G$100,'04'!$R$3:$R$100,"-")</f>
        <v/>
      </c>
      <c r="G443" s="68">
        <f>_xlfn.XLOOKUP($A443,'05'!$G$3:$G$100,'05'!$R$3:$R$100,"-")</f>
        <v/>
      </c>
      <c r="H443" s="68">
        <f>_xlfn.XLOOKUP($A443,'06'!$G$3:$G$100,'06'!$R$3:$R$100,"-")</f>
        <v/>
      </c>
      <c r="I443" s="68">
        <f>_xlfn.XLOOKUP($A443,'07'!$G$3:$G$100,'07'!$R$3:$R$100,"-")</f>
        <v/>
      </c>
      <c r="J443" s="68">
        <f>_xlfn.XLOOKUP($A443,'08'!$G$3:$G$100,'08'!$R$3:$R$100,"-")</f>
        <v/>
      </c>
      <c r="K443" s="68">
        <f>_xlfn.XLOOKUP($A443,'09'!$G$3:$G$100,'09'!$R$3:$R$100,"-")</f>
        <v/>
      </c>
      <c r="L443" s="68">
        <f>_xlfn.XLOOKUP($A443,'10'!$G$3:$G$100,'10'!$R$3:$R$100,"-")</f>
        <v/>
      </c>
      <c r="M443" s="68">
        <f>_xlfn.XLOOKUP($A443,'11'!$G$3:$G$100,'11'!$R$3:$R$100,"-")</f>
        <v/>
      </c>
      <c r="N443" s="68">
        <f>_xlfn.XLOOKUP($A443,'12'!$G$3:$G$100,'12'!$R$3:$R$100,"-")</f>
        <v/>
      </c>
      <c r="O443" s="79">
        <f>SUM(C443:N443)</f>
        <v/>
      </c>
      <c r="P443" s="74" t="n"/>
      <c r="Q443" s="82" t="n">
        <v>441</v>
      </c>
      <c r="R443" s="38" t="n"/>
      <c r="S443" s="61" t="n">
        <v>0</v>
      </c>
      <c r="T443" s="68" t="n">
        <v>0</v>
      </c>
      <c r="U443" s="68" t="n">
        <v>0</v>
      </c>
      <c r="V443" s="68" t="n">
        <v>0</v>
      </c>
      <c r="W443" s="68" t="n">
        <v>0</v>
      </c>
      <c r="X443" s="68" t="n">
        <v>0</v>
      </c>
      <c r="Y443" s="68" t="n">
        <v>0</v>
      </c>
      <c r="Z443" s="68" t="n">
        <v>0</v>
      </c>
      <c r="AA443" s="68" t="n">
        <v>0</v>
      </c>
      <c r="AB443" s="68" t="n">
        <v>0</v>
      </c>
      <c r="AC443" s="68" t="n">
        <v>0</v>
      </c>
      <c r="AD443" s="68" t="n">
        <v>0</v>
      </c>
      <c r="AE443" s="68" t="n">
        <v>0</v>
      </c>
      <c r="AF443" s="79" t="n">
        <v>0</v>
      </c>
      <c r="AG443" s="74" t="n">
        <v>0</v>
      </c>
      <c r="AH443" s="82" t="n">
        <v>441</v>
      </c>
    </row>
    <row r="444" ht="18" customHeight="1">
      <c r="C444" s="68">
        <f>_xlfn.XLOOKUP($A444,'01'!$G$3:$G$100,'01'!$R$3:$R$100,"-")</f>
        <v/>
      </c>
      <c r="D444" s="68">
        <f>_xlfn.XLOOKUP($A444,'02'!$G$3:$G$100,'02'!$R$3:$R$100,"-")</f>
        <v/>
      </c>
      <c r="E444" s="68">
        <f>_xlfn.XLOOKUP($A444,'03'!$G$3:$G$100,'03'!$R$3:$R$100,"-")</f>
        <v/>
      </c>
      <c r="F444" s="68">
        <f>_xlfn.XLOOKUP($A444,'04'!$G$3:$G$100,'04'!$R$3:$R$100,"-")</f>
        <v/>
      </c>
      <c r="G444" s="68">
        <f>_xlfn.XLOOKUP($A444,'05'!$G$3:$G$100,'05'!$R$3:$R$100,"-")</f>
        <v/>
      </c>
      <c r="H444" s="68">
        <f>_xlfn.XLOOKUP($A444,'06'!$G$3:$G$100,'06'!$R$3:$R$100,"-")</f>
        <v/>
      </c>
      <c r="I444" s="68">
        <f>_xlfn.XLOOKUP($A444,'07'!$G$3:$G$100,'07'!$R$3:$R$100,"-")</f>
        <v/>
      </c>
      <c r="J444" s="68">
        <f>_xlfn.XLOOKUP($A444,'08'!$G$3:$G$100,'08'!$R$3:$R$100,"-")</f>
        <v/>
      </c>
      <c r="K444" s="68">
        <f>_xlfn.XLOOKUP($A444,'09'!$G$3:$G$100,'09'!$R$3:$R$100,"-")</f>
        <v/>
      </c>
      <c r="L444" s="68">
        <f>_xlfn.XLOOKUP($A444,'10'!$G$3:$G$100,'10'!$R$3:$R$100,"-")</f>
        <v/>
      </c>
      <c r="M444" s="68">
        <f>_xlfn.XLOOKUP($A444,'11'!$G$3:$G$100,'11'!$R$3:$R$100,"-")</f>
        <v/>
      </c>
      <c r="N444" s="68">
        <f>_xlfn.XLOOKUP($A444,'12'!$G$3:$G$100,'12'!$R$3:$R$100,"-")</f>
        <v/>
      </c>
      <c r="O444" s="79">
        <f>SUM(C444:N444)</f>
        <v/>
      </c>
      <c r="P444" s="74" t="n"/>
      <c r="Q444" s="82" t="n">
        <v>442</v>
      </c>
      <c r="R444" s="38" t="n"/>
      <c r="S444" s="61" t="n">
        <v>0</v>
      </c>
      <c r="T444" s="68" t="n">
        <v>0</v>
      </c>
      <c r="U444" s="68" t="n">
        <v>0</v>
      </c>
      <c r="V444" s="68" t="n">
        <v>0</v>
      </c>
      <c r="W444" s="68" t="n">
        <v>0</v>
      </c>
      <c r="X444" s="68" t="n">
        <v>0</v>
      </c>
      <c r="Y444" s="68" t="n">
        <v>0</v>
      </c>
      <c r="Z444" s="68" t="n">
        <v>0</v>
      </c>
      <c r="AA444" s="68" t="n">
        <v>0</v>
      </c>
      <c r="AB444" s="68" t="n">
        <v>0</v>
      </c>
      <c r="AC444" s="68" t="n">
        <v>0</v>
      </c>
      <c r="AD444" s="68" t="n">
        <v>0</v>
      </c>
      <c r="AE444" s="68" t="n">
        <v>0</v>
      </c>
      <c r="AF444" s="79" t="n">
        <v>0</v>
      </c>
      <c r="AG444" s="74" t="n">
        <v>0</v>
      </c>
      <c r="AH444" s="82" t="n">
        <v>442</v>
      </c>
    </row>
    <row r="445" ht="18" customHeight="1">
      <c r="C445" s="68">
        <f>_xlfn.XLOOKUP($A445,'01'!$G$3:$G$100,'01'!$R$3:$R$100,"-")</f>
        <v/>
      </c>
      <c r="D445" s="68">
        <f>_xlfn.XLOOKUP($A445,'02'!$G$3:$G$100,'02'!$R$3:$R$100,"-")</f>
        <v/>
      </c>
      <c r="E445" s="68">
        <f>_xlfn.XLOOKUP($A445,'03'!$G$3:$G$100,'03'!$R$3:$R$100,"-")</f>
        <v/>
      </c>
      <c r="F445" s="68">
        <f>_xlfn.XLOOKUP($A445,'04'!$G$3:$G$100,'04'!$R$3:$R$100,"-")</f>
        <v/>
      </c>
      <c r="G445" s="68">
        <f>_xlfn.XLOOKUP($A445,'05'!$G$3:$G$100,'05'!$R$3:$R$100,"-")</f>
        <v/>
      </c>
      <c r="H445" s="68">
        <f>_xlfn.XLOOKUP($A445,'06'!$G$3:$G$100,'06'!$R$3:$R$100,"-")</f>
        <v/>
      </c>
      <c r="I445" s="68">
        <f>_xlfn.XLOOKUP($A445,'07'!$G$3:$G$100,'07'!$R$3:$R$100,"-")</f>
        <v/>
      </c>
      <c r="J445" s="68">
        <f>_xlfn.XLOOKUP($A445,'08'!$G$3:$G$100,'08'!$R$3:$R$100,"-")</f>
        <v/>
      </c>
      <c r="K445" s="68">
        <f>_xlfn.XLOOKUP($A445,'09'!$G$3:$G$100,'09'!$R$3:$R$100,"-")</f>
        <v/>
      </c>
      <c r="L445" s="68">
        <f>_xlfn.XLOOKUP($A445,'10'!$G$3:$G$100,'10'!$R$3:$R$100,"-")</f>
        <v/>
      </c>
      <c r="M445" s="68">
        <f>_xlfn.XLOOKUP($A445,'11'!$G$3:$G$100,'11'!$R$3:$R$100,"-")</f>
        <v/>
      </c>
      <c r="N445" s="68">
        <f>_xlfn.XLOOKUP($A445,'12'!$G$3:$G$100,'12'!$R$3:$R$100,"-")</f>
        <v/>
      </c>
      <c r="O445" s="79">
        <f>SUM(C445:N445)</f>
        <v/>
      </c>
      <c r="P445" s="74" t="n"/>
      <c r="Q445" s="82" t="n">
        <v>443</v>
      </c>
      <c r="R445" s="38" t="n"/>
      <c r="S445" s="61" t="n">
        <v>0</v>
      </c>
      <c r="T445" s="68" t="n">
        <v>0</v>
      </c>
      <c r="U445" s="68" t="n">
        <v>0</v>
      </c>
      <c r="V445" s="68" t="n">
        <v>0</v>
      </c>
      <c r="W445" s="68" t="n">
        <v>0</v>
      </c>
      <c r="X445" s="68" t="n">
        <v>0</v>
      </c>
      <c r="Y445" s="68" t="n">
        <v>0</v>
      </c>
      <c r="Z445" s="68" t="n">
        <v>0</v>
      </c>
      <c r="AA445" s="68" t="n">
        <v>0</v>
      </c>
      <c r="AB445" s="68" t="n">
        <v>0</v>
      </c>
      <c r="AC445" s="68" t="n">
        <v>0</v>
      </c>
      <c r="AD445" s="68" t="n">
        <v>0</v>
      </c>
      <c r="AE445" s="68" t="n">
        <v>0</v>
      </c>
      <c r="AF445" s="79" t="n">
        <v>0</v>
      </c>
      <c r="AG445" s="74" t="n">
        <v>0</v>
      </c>
      <c r="AH445" s="82" t="n">
        <v>443</v>
      </c>
    </row>
    <row r="446" ht="18" customHeight="1">
      <c r="C446" s="68">
        <f>_xlfn.XLOOKUP($A446,'01'!$G$3:$G$100,'01'!$R$3:$R$100,"-")</f>
        <v/>
      </c>
      <c r="D446" s="68">
        <f>_xlfn.XLOOKUP($A446,'02'!$G$3:$G$100,'02'!$R$3:$R$100,"-")</f>
        <v/>
      </c>
      <c r="E446" s="68">
        <f>_xlfn.XLOOKUP($A446,'03'!$G$3:$G$100,'03'!$R$3:$R$100,"-")</f>
        <v/>
      </c>
      <c r="F446" s="68">
        <f>_xlfn.XLOOKUP($A446,'04'!$G$3:$G$100,'04'!$R$3:$R$100,"-")</f>
        <v/>
      </c>
      <c r="G446" s="68">
        <f>_xlfn.XLOOKUP($A446,'05'!$G$3:$G$100,'05'!$R$3:$R$100,"-")</f>
        <v/>
      </c>
      <c r="H446" s="68">
        <f>_xlfn.XLOOKUP($A446,'06'!$G$3:$G$100,'06'!$R$3:$R$100,"-")</f>
        <v/>
      </c>
      <c r="I446" s="68">
        <f>_xlfn.XLOOKUP($A446,'07'!$G$3:$G$100,'07'!$R$3:$R$100,"-")</f>
        <v/>
      </c>
      <c r="J446" s="68">
        <f>_xlfn.XLOOKUP($A446,'08'!$G$3:$G$100,'08'!$R$3:$R$100,"-")</f>
        <v/>
      </c>
      <c r="K446" s="68">
        <f>_xlfn.XLOOKUP($A446,'09'!$G$3:$G$100,'09'!$R$3:$R$100,"-")</f>
        <v/>
      </c>
      <c r="L446" s="68">
        <f>_xlfn.XLOOKUP($A446,'10'!$G$3:$G$100,'10'!$R$3:$R$100,"-")</f>
        <v/>
      </c>
      <c r="M446" s="68">
        <f>_xlfn.XLOOKUP($A446,'11'!$G$3:$G$100,'11'!$R$3:$R$100,"-")</f>
        <v/>
      </c>
      <c r="N446" s="68">
        <f>_xlfn.XLOOKUP($A446,'12'!$G$3:$G$100,'12'!$R$3:$R$100,"-")</f>
        <v/>
      </c>
      <c r="O446" s="79">
        <f>SUM(C446:N446)</f>
        <v/>
      </c>
      <c r="P446" s="74" t="n"/>
      <c r="Q446" s="82" t="n">
        <v>444</v>
      </c>
      <c r="R446" s="38" t="n"/>
      <c r="S446" s="61" t="n">
        <v>0</v>
      </c>
      <c r="T446" s="68" t="n">
        <v>0</v>
      </c>
      <c r="U446" s="68" t="n">
        <v>0</v>
      </c>
      <c r="V446" s="68" t="n">
        <v>0</v>
      </c>
      <c r="W446" s="68" t="n">
        <v>0</v>
      </c>
      <c r="X446" s="68" t="n">
        <v>0</v>
      </c>
      <c r="Y446" s="68" t="n">
        <v>0</v>
      </c>
      <c r="Z446" s="68" t="n">
        <v>0</v>
      </c>
      <c r="AA446" s="68" t="n">
        <v>0</v>
      </c>
      <c r="AB446" s="68" t="n">
        <v>0</v>
      </c>
      <c r="AC446" s="68" t="n">
        <v>0</v>
      </c>
      <c r="AD446" s="68" t="n">
        <v>0</v>
      </c>
      <c r="AE446" s="68" t="n">
        <v>0</v>
      </c>
      <c r="AF446" s="79" t="n">
        <v>0</v>
      </c>
      <c r="AG446" s="74" t="n">
        <v>0</v>
      </c>
      <c r="AH446" s="82" t="n">
        <v>444</v>
      </c>
    </row>
    <row r="447" ht="18" customHeight="1">
      <c r="C447" s="68">
        <f>_xlfn.XLOOKUP($A447,'01'!$G$3:$G$100,'01'!$R$3:$R$100,"-")</f>
        <v/>
      </c>
      <c r="D447" s="68">
        <f>_xlfn.XLOOKUP($A447,'02'!$G$3:$G$100,'02'!$R$3:$R$100,"-")</f>
        <v/>
      </c>
      <c r="E447" s="68">
        <f>_xlfn.XLOOKUP($A447,'03'!$G$3:$G$100,'03'!$R$3:$R$100,"-")</f>
        <v/>
      </c>
      <c r="F447" s="68">
        <f>_xlfn.XLOOKUP($A447,'04'!$G$3:$G$100,'04'!$R$3:$R$100,"-")</f>
        <v/>
      </c>
      <c r="G447" s="68">
        <f>_xlfn.XLOOKUP($A447,'05'!$G$3:$G$100,'05'!$R$3:$R$100,"-")</f>
        <v/>
      </c>
      <c r="H447" s="68">
        <f>_xlfn.XLOOKUP($A447,'06'!$G$3:$G$100,'06'!$R$3:$R$100,"-")</f>
        <v/>
      </c>
      <c r="I447" s="68">
        <f>_xlfn.XLOOKUP($A447,'07'!$G$3:$G$100,'07'!$R$3:$R$100,"-")</f>
        <v/>
      </c>
      <c r="J447" s="68">
        <f>_xlfn.XLOOKUP($A447,'08'!$G$3:$G$100,'08'!$R$3:$R$100,"-")</f>
        <v/>
      </c>
      <c r="K447" s="68">
        <f>_xlfn.XLOOKUP($A447,'09'!$G$3:$G$100,'09'!$R$3:$R$100,"-")</f>
        <v/>
      </c>
      <c r="L447" s="68">
        <f>_xlfn.XLOOKUP($A447,'10'!$G$3:$G$100,'10'!$R$3:$R$100,"-")</f>
        <v/>
      </c>
      <c r="M447" s="68">
        <f>_xlfn.XLOOKUP($A447,'11'!$G$3:$G$100,'11'!$R$3:$R$100,"-")</f>
        <v/>
      </c>
      <c r="N447" s="68">
        <f>_xlfn.XLOOKUP($A447,'12'!$G$3:$G$100,'12'!$R$3:$R$100,"-")</f>
        <v/>
      </c>
      <c r="O447" s="79">
        <f>SUM(C447:N447)</f>
        <v/>
      </c>
      <c r="P447" s="74" t="n"/>
      <c r="Q447" s="83" t="n">
        <v>445</v>
      </c>
      <c r="R447" s="38" t="n"/>
      <c r="S447" s="61" t="n">
        <v>0</v>
      </c>
      <c r="T447" s="68" t="n">
        <v>0</v>
      </c>
      <c r="U447" s="68" t="n">
        <v>0</v>
      </c>
      <c r="V447" s="68" t="n">
        <v>0</v>
      </c>
      <c r="W447" s="68" t="n">
        <v>0</v>
      </c>
      <c r="X447" s="68" t="n">
        <v>0</v>
      </c>
      <c r="Y447" s="68" t="n">
        <v>0</v>
      </c>
      <c r="Z447" s="68" t="n">
        <v>0</v>
      </c>
      <c r="AA447" s="68" t="n">
        <v>0</v>
      </c>
      <c r="AB447" s="68" t="n">
        <v>0</v>
      </c>
      <c r="AC447" s="68" t="n">
        <v>0</v>
      </c>
      <c r="AD447" s="68" t="n">
        <v>0</v>
      </c>
      <c r="AE447" s="68" t="n">
        <v>0</v>
      </c>
      <c r="AF447" s="79" t="n">
        <v>0</v>
      </c>
      <c r="AG447" s="74" t="n">
        <v>0</v>
      </c>
      <c r="AH447" s="83" t="n">
        <v>445</v>
      </c>
    </row>
    <row r="448" ht="18" customHeight="1">
      <c r="C448" s="68">
        <f>_xlfn.XLOOKUP($A448,'01'!$G$3:$G$100,'01'!$R$3:$R$100,"-")</f>
        <v/>
      </c>
      <c r="D448" s="68">
        <f>_xlfn.XLOOKUP($A448,'02'!$G$3:$G$100,'02'!$R$3:$R$100,"-")</f>
        <v/>
      </c>
      <c r="E448" s="68">
        <f>_xlfn.XLOOKUP($A448,'03'!$G$3:$G$100,'03'!$R$3:$R$100,"-")</f>
        <v/>
      </c>
      <c r="F448" s="68">
        <f>_xlfn.XLOOKUP($A448,'04'!$G$3:$G$100,'04'!$R$3:$R$100,"-")</f>
        <v/>
      </c>
      <c r="G448" s="68">
        <f>_xlfn.XLOOKUP($A448,'05'!$G$3:$G$100,'05'!$R$3:$R$100,"-")</f>
        <v/>
      </c>
      <c r="H448" s="68">
        <f>_xlfn.XLOOKUP($A448,'06'!$G$3:$G$100,'06'!$R$3:$R$100,"-")</f>
        <v/>
      </c>
      <c r="I448" s="68">
        <f>_xlfn.XLOOKUP($A448,'07'!$G$3:$G$100,'07'!$R$3:$R$100,"-")</f>
        <v/>
      </c>
      <c r="J448" s="68">
        <f>_xlfn.XLOOKUP($A448,'08'!$G$3:$G$100,'08'!$R$3:$R$100,"-")</f>
        <v/>
      </c>
      <c r="K448" s="68">
        <f>_xlfn.XLOOKUP($A448,'09'!$G$3:$G$100,'09'!$R$3:$R$100,"-")</f>
        <v/>
      </c>
      <c r="L448" s="68">
        <f>_xlfn.XLOOKUP($A448,'10'!$G$3:$G$100,'10'!$R$3:$R$100,"-")</f>
        <v/>
      </c>
      <c r="M448" s="68">
        <f>_xlfn.XLOOKUP($A448,'11'!$G$3:$G$100,'11'!$R$3:$R$100,"-")</f>
        <v/>
      </c>
      <c r="N448" s="68">
        <f>_xlfn.XLOOKUP($A448,'12'!$G$3:$G$100,'12'!$R$3:$R$100,"-")</f>
        <v/>
      </c>
      <c r="O448" s="79">
        <f>SUM(C448:N448)</f>
        <v/>
      </c>
      <c r="P448" s="74" t="n"/>
      <c r="Q448" s="82" t="n">
        <v>446</v>
      </c>
      <c r="R448" s="38" t="n"/>
      <c r="S448" s="61" t="n">
        <v>0</v>
      </c>
      <c r="T448" s="68" t="n">
        <v>0</v>
      </c>
      <c r="U448" s="68" t="n">
        <v>0</v>
      </c>
      <c r="V448" s="68" t="n">
        <v>0</v>
      </c>
      <c r="W448" s="68" t="n">
        <v>0</v>
      </c>
      <c r="X448" s="68" t="n">
        <v>0</v>
      </c>
      <c r="Y448" s="68" t="n">
        <v>0</v>
      </c>
      <c r="Z448" s="68" t="n">
        <v>0</v>
      </c>
      <c r="AA448" s="68" t="n">
        <v>0</v>
      </c>
      <c r="AB448" s="68" t="n">
        <v>0</v>
      </c>
      <c r="AC448" s="68" t="n">
        <v>0</v>
      </c>
      <c r="AD448" s="68" t="n">
        <v>0</v>
      </c>
      <c r="AE448" s="68" t="n">
        <v>0</v>
      </c>
      <c r="AF448" s="79" t="n">
        <v>0</v>
      </c>
      <c r="AG448" s="74" t="n">
        <v>0</v>
      </c>
      <c r="AH448" s="82" t="n">
        <v>446</v>
      </c>
    </row>
    <row r="449" ht="18" customHeight="1">
      <c r="C449" s="68">
        <f>_xlfn.XLOOKUP($A449,'01'!$G$3:$G$100,'01'!$R$3:$R$100,"-")</f>
        <v/>
      </c>
      <c r="D449" s="68">
        <f>_xlfn.XLOOKUP($A449,'02'!$G$3:$G$100,'02'!$R$3:$R$100,"-")</f>
        <v/>
      </c>
      <c r="E449" s="68">
        <f>_xlfn.XLOOKUP($A449,'03'!$G$3:$G$100,'03'!$R$3:$R$100,"-")</f>
        <v/>
      </c>
      <c r="F449" s="68">
        <f>_xlfn.XLOOKUP($A449,'04'!$G$3:$G$100,'04'!$R$3:$R$100,"-")</f>
        <v/>
      </c>
      <c r="G449" s="68">
        <f>_xlfn.XLOOKUP($A449,'05'!$G$3:$G$100,'05'!$R$3:$R$100,"-")</f>
        <v/>
      </c>
      <c r="H449" s="68">
        <f>_xlfn.XLOOKUP($A449,'06'!$G$3:$G$100,'06'!$R$3:$R$100,"-")</f>
        <v/>
      </c>
      <c r="I449" s="68">
        <f>_xlfn.XLOOKUP($A449,'07'!$G$3:$G$100,'07'!$R$3:$R$100,"-")</f>
        <v/>
      </c>
      <c r="J449" s="68">
        <f>_xlfn.XLOOKUP($A449,'08'!$G$3:$G$100,'08'!$R$3:$R$100,"-")</f>
        <v/>
      </c>
      <c r="K449" s="68">
        <f>_xlfn.XLOOKUP($A449,'09'!$G$3:$G$100,'09'!$R$3:$R$100,"-")</f>
        <v/>
      </c>
      <c r="L449" s="68">
        <f>_xlfn.XLOOKUP($A449,'10'!$G$3:$G$100,'10'!$R$3:$R$100,"-")</f>
        <v/>
      </c>
      <c r="M449" s="68">
        <f>_xlfn.XLOOKUP($A449,'11'!$G$3:$G$100,'11'!$R$3:$R$100,"-")</f>
        <v/>
      </c>
      <c r="N449" s="68">
        <f>_xlfn.XLOOKUP($A449,'12'!$G$3:$G$100,'12'!$R$3:$R$100,"-")</f>
        <v/>
      </c>
      <c r="O449" s="79">
        <f>SUM(C449:N449)</f>
        <v/>
      </c>
      <c r="P449" s="74" t="n"/>
      <c r="Q449" s="82" t="n">
        <v>447</v>
      </c>
      <c r="R449" s="38" t="n"/>
      <c r="S449" s="61" t="n">
        <v>0</v>
      </c>
      <c r="T449" s="68" t="n">
        <v>0</v>
      </c>
      <c r="U449" s="68" t="n">
        <v>0</v>
      </c>
      <c r="V449" s="68" t="n">
        <v>0</v>
      </c>
      <c r="W449" s="68" t="n">
        <v>0</v>
      </c>
      <c r="X449" s="68" t="n">
        <v>0</v>
      </c>
      <c r="Y449" s="68" t="n">
        <v>0</v>
      </c>
      <c r="Z449" s="68" t="n">
        <v>0</v>
      </c>
      <c r="AA449" s="68" t="n">
        <v>0</v>
      </c>
      <c r="AB449" s="68" t="n">
        <v>0</v>
      </c>
      <c r="AC449" s="68" t="n">
        <v>0</v>
      </c>
      <c r="AD449" s="68" t="n">
        <v>0</v>
      </c>
      <c r="AE449" s="68" t="n">
        <v>0</v>
      </c>
      <c r="AF449" s="79" t="n">
        <v>0</v>
      </c>
      <c r="AG449" s="74" t="n">
        <v>0</v>
      </c>
      <c r="AH449" s="82" t="n">
        <v>447</v>
      </c>
    </row>
    <row r="450" ht="18" customHeight="1">
      <c r="C450" s="68">
        <f>_xlfn.XLOOKUP($A450,'01'!$G$3:$G$100,'01'!$R$3:$R$100,"-")</f>
        <v/>
      </c>
      <c r="D450" s="68">
        <f>_xlfn.XLOOKUP($A450,'02'!$G$3:$G$100,'02'!$R$3:$R$100,"-")</f>
        <v/>
      </c>
      <c r="E450" s="68">
        <f>_xlfn.XLOOKUP($A450,'03'!$G$3:$G$100,'03'!$R$3:$R$100,"-")</f>
        <v/>
      </c>
      <c r="F450" s="68">
        <f>_xlfn.XLOOKUP($A450,'04'!$G$3:$G$100,'04'!$R$3:$R$100,"-")</f>
        <v/>
      </c>
      <c r="G450" s="68">
        <f>_xlfn.XLOOKUP($A450,'05'!$G$3:$G$100,'05'!$R$3:$R$100,"-")</f>
        <v/>
      </c>
      <c r="H450" s="68">
        <f>_xlfn.XLOOKUP($A450,'06'!$G$3:$G$100,'06'!$R$3:$R$100,"-")</f>
        <v/>
      </c>
      <c r="I450" s="68">
        <f>_xlfn.XLOOKUP($A450,'07'!$G$3:$G$100,'07'!$R$3:$R$100,"-")</f>
        <v/>
      </c>
      <c r="J450" s="68">
        <f>_xlfn.XLOOKUP($A450,'08'!$G$3:$G$100,'08'!$R$3:$R$100,"-")</f>
        <v/>
      </c>
      <c r="K450" s="68">
        <f>_xlfn.XLOOKUP($A450,'09'!$G$3:$G$100,'09'!$R$3:$R$100,"-")</f>
        <v/>
      </c>
      <c r="L450" s="68">
        <f>_xlfn.XLOOKUP($A450,'10'!$G$3:$G$100,'10'!$R$3:$R$100,"-")</f>
        <v/>
      </c>
      <c r="M450" s="68">
        <f>_xlfn.XLOOKUP($A450,'11'!$G$3:$G$100,'11'!$R$3:$R$100,"-")</f>
        <v/>
      </c>
      <c r="N450" s="68">
        <f>_xlfn.XLOOKUP($A450,'12'!$G$3:$G$100,'12'!$R$3:$R$100,"-")</f>
        <v/>
      </c>
      <c r="O450" s="79">
        <f>SUM(C450:N450)</f>
        <v/>
      </c>
      <c r="P450" s="74" t="n"/>
      <c r="Q450" s="82" t="n">
        <v>448</v>
      </c>
      <c r="R450" s="38" t="n"/>
      <c r="S450" s="61" t="n">
        <v>0</v>
      </c>
      <c r="T450" s="68" t="n">
        <v>0</v>
      </c>
      <c r="U450" s="68" t="n">
        <v>0</v>
      </c>
      <c r="V450" s="68" t="n">
        <v>0</v>
      </c>
      <c r="W450" s="68" t="n">
        <v>0</v>
      </c>
      <c r="X450" s="68" t="n">
        <v>0</v>
      </c>
      <c r="Y450" s="68" t="n">
        <v>0</v>
      </c>
      <c r="Z450" s="68" t="n">
        <v>0</v>
      </c>
      <c r="AA450" s="68" t="n">
        <v>0</v>
      </c>
      <c r="AB450" s="68" t="n">
        <v>0</v>
      </c>
      <c r="AC450" s="68" t="n">
        <v>0</v>
      </c>
      <c r="AD450" s="68" t="n">
        <v>0</v>
      </c>
      <c r="AE450" s="68" t="n">
        <v>0</v>
      </c>
      <c r="AF450" s="79" t="n">
        <v>0</v>
      </c>
      <c r="AG450" s="74" t="n">
        <v>0</v>
      </c>
      <c r="AH450" s="82" t="n">
        <v>448</v>
      </c>
    </row>
    <row r="451" ht="18" customHeight="1">
      <c r="C451" s="68">
        <f>_xlfn.XLOOKUP($A451,'01'!$G$3:$G$100,'01'!$R$3:$R$100,"-")</f>
        <v/>
      </c>
      <c r="D451" s="68">
        <f>_xlfn.XLOOKUP($A451,'02'!$G$3:$G$100,'02'!$R$3:$R$100,"-")</f>
        <v/>
      </c>
      <c r="E451" s="68">
        <f>_xlfn.XLOOKUP($A451,'03'!$G$3:$G$100,'03'!$R$3:$R$100,"-")</f>
        <v/>
      </c>
      <c r="F451" s="68">
        <f>_xlfn.XLOOKUP($A451,'04'!$G$3:$G$100,'04'!$R$3:$R$100,"-")</f>
        <v/>
      </c>
      <c r="G451" s="68">
        <f>_xlfn.XLOOKUP($A451,'05'!$G$3:$G$100,'05'!$R$3:$R$100,"-")</f>
        <v/>
      </c>
      <c r="H451" s="68">
        <f>_xlfn.XLOOKUP($A451,'06'!$G$3:$G$100,'06'!$R$3:$R$100,"-")</f>
        <v/>
      </c>
      <c r="I451" s="68">
        <f>_xlfn.XLOOKUP($A451,'07'!$G$3:$G$100,'07'!$R$3:$R$100,"-")</f>
        <v/>
      </c>
      <c r="J451" s="68">
        <f>_xlfn.XLOOKUP($A451,'08'!$G$3:$G$100,'08'!$R$3:$R$100,"-")</f>
        <v/>
      </c>
      <c r="K451" s="68">
        <f>_xlfn.XLOOKUP($A451,'09'!$G$3:$G$100,'09'!$R$3:$R$100,"-")</f>
        <v/>
      </c>
      <c r="L451" s="68">
        <f>_xlfn.XLOOKUP($A451,'10'!$G$3:$G$100,'10'!$R$3:$R$100,"-")</f>
        <v/>
      </c>
      <c r="M451" s="68">
        <f>_xlfn.XLOOKUP($A451,'11'!$G$3:$G$100,'11'!$R$3:$R$100,"-")</f>
        <v/>
      </c>
      <c r="N451" s="68">
        <f>_xlfn.XLOOKUP($A451,'12'!$G$3:$G$100,'12'!$R$3:$R$100,"-")</f>
        <v/>
      </c>
      <c r="O451" s="79">
        <f>SUM(C451:N451)</f>
        <v/>
      </c>
      <c r="P451" s="74" t="n"/>
      <c r="Q451" s="82" t="n">
        <v>449</v>
      </c>
      <c r="R451" s="38" t="n"/>
      <c r="S451" s="61" t="n">
        <v>0</v>
      </c>
      <c r="T451" s="68" t="n">
        <v>0</v>
      </c>
      <c r="U451" s="68" t="n">
        <v>0</v>
      </c>
      <c r="V451" s="68" t="n">
        <v>0</v>
      </c>
      <c r="W451" s="68" t="n">
        <v>0</v>
      </c>
      <c r="X451" s="68" t="n">
        <v>0</v>
      </c>
      <c r="Y451" s="68" t="n">
        <v>0</v>
      </c>
      <c r="Z451" s="68" t="n">
        <v>0</v>
      </c>
      <c r="AA451" s="68" t="n">
        <v>0</v>
      </c>
      <c r="AB451" s="68" t="n">
        <v>0</v>
      </c>
      <c r="AC451" s="68" t="n">
        <v>0</v>
      </c>
      <c r="AD451" s="68" t="n">
        <v>0</v>
      </c>
      <c r="AE451" s="68" t="n">
        <v>0</v>
      </c>
      <c r="AF451" s="79" t="n">
        <v>0</v>
      </c>
      <c r="AG451" s="74" t="n">
        <v>0</v>
      </c>
      <c r="AH451" s="82" t="n">
        <v>449</v>
      </c>
    </row>
    <row r="452" ht="18" customHeight="1">
      <c r="C452" s="68">
        <f>_xlfn.XLOOKUP($A452,'01'!$G$3:$G$100,'01'!$R$3:$R$100,"-")</f>
        <v/>
      </c>
      <c r="D452" s="68">
        <f>_xlfn.XLOOKUP($A452,'02'!$G$3:$G$100,'02'!$R$3:$R$100,"-")</f>
        <v/>
      </c>
      <c r="E452" s="68">
        <f>_xlfn.XLOOKUP($A452,'03'!$G$3:$G$100,'03'!$R$3:$R$100,"-")</f>
        <v/>
      </c>
      <c r="F452" s="68">
        <f>_xlfn.XLOOKUP($A452,'04'!$G$3:$G$100,'04'!$R$3:$R$100,"-")</f>
        <v/>
      </c>
      <c r="G452" s="68">
        <f>_xlfn.XLOOKUP($A452,'05'!$G$3:$G$100,'05'!$R$3:$R$100,"-")</f>
        <v/>
      </c>
      <c r="H452" s="68">
        <f>_xlfn.XLOOKUP($A452,'06'!$G$3:$G$100,'06'!$R$3:$R$100,"-")</f>
        <v/>
      </c>
      <c r="I452" s="68">
        <f>_xlfn.XLOOKUP($A452,'07'!$G$3:$G$100,'07'!$R$3:$R$100,"-")</f>
        <v/>
      </c>
      <c r="J452" s="68">
        <f>_xlfn.XLOOKUP($A452,'08'!$G$3:$G$100,'08'!$R$3:$R$100,"-")</f>
        <v/>
      </c>
      <c r="K452" s="68">
        <f>_xlfn.XLOOKUP($A452,'09'!$G$3:$G$100,'09'!$R$3:$R$100,"-")</f>
        <v/>
      </c>
      <c r="L452" s="68">
        <f>_xlfn.XLOOKUP($A452,'10'!$G$3:$G$100,'10'!$R$3:$R$100,"-")</f>
        <v/>
      </c>
      <c r="M452" s="68">
        <f>_xlfn.XLOOKUP($A452,'11'!$G$3:$G$100,'11'!$R$3:$R$100,"-")</f>
        <v/>
      </c>
      <c r="N452" s="68">
        <f>_xlfn.XLOOKUP($A452,'12'!$G$3:$G$100,'12'!$R$3:$R$100,"-")</f>
        <v/>
      </c>
      <c r="O452" s="79">
        <f>SUM(C452:N452)</f>
        <v/>
      </c>
      <c r="P452" s="74" t="n"/>
      <c r="Q452" s="82" t="n">
        <v>450</v>
      </c>
      <c r="R452" s="38" t="n"/>
      <c r="S452" s="61" t="n">
        <v>0</v>
      </c>
      <c r="T452" s="68" t="n">
        <v>0</v>
      </c>
      <c r="U452" s="68" t="n">
        <v>0</v>
      </c>
      <c r="V452" s="68" t="n">
        <v>0</v>
      </c>
      <c r="W452" s="68" t="n">
        <v>0</v>
      </c>
      <c r="X452" s="68" t="n">
        <v>0</v>
      </c>
      <c r="Y452" s="68" t="n">
        <v>0</v>
      </c>
      <c r="Z452" s="68" t="n">
        <v>0</v>
      </c>
      <c r="AA452" s="68" t="n">
        <v>0</v>
      </c>
      <c r="AB452" s="68" t="n">
        <v>0</v>
      </c>
      <c r="AC452" s="68" t="n">
        <v>0</v>
      </c>
      <c r="AD452" s="68" t="n">
        <v>0</v>
      </c>
      <c r="AE452" s="68" t="n">
        <v>0</v>
      </c>
      <c r="AF452" s="79" t="n">
        <v>0</v>
      </c>
      <c r="AG452" s="74" t="n">
        <v>0</v>
      </c>
      <c r="AH452" s="82" t="n">
        <v>450</v>
      </c>
    </row>
    <row r="453" ht="18" customHeight="1">
      <c r="C453" s="68">
        <f>_xlfn.XLOOKUP($A453,'01'!$G$3:$G$100,'01'!$R$3:$R$100,"-")</f>
        <v/>
      </c>
      <c r="D453" s="68">
        <f>_xlfn.XLOOKUP($A453,'02'!$G$3:$G$100,'02'!$R$3:$R$100,"-")</f>
        <v/>
      </c>
      <c r="E453" s="68">
        <f>_xlfn.XLOOKUP($A453,'03'!$G$3:$G$100,'03'!$R$3:$R$100,"-")</f>
        <v/>
      </c>
      <c r="F453" s="68">
        <f>_xlfn.XLOOKUP($A453,'04'!$G$3:$G$100,'04'!$R$3:$R$100,"-")</f>
        <v/>
      </c>
      <c r="G453" s="68">
        <f>_xlfn.XLOOKUP($A453,'05'!$G$3:$G$100,'05'!$R$3:$R$100,"-")</f>
        <v/>
      </c>
      <c r="H453" s="68">
        <f>_xlfn.XLOOKUP($A453,'06'!$G$3:$G$100,'06'!$R$3:$R$100,"-")</f>
        <v/>
      </c>
      <c r="I453" s="68">
        <f>_xlfn.XLOOKUP($A453,'07'!$G$3:$G$100,'07'!$R$3:$R$100,"-")</f>
        <v/>
      </c>
      <c r="J453" s="68">
        <f>_xlfn.XLOOKUP($A453,'08'!$G$3:$G$100,'08'!$R$3:$R$100,"-")</f>
        <v/>
      </c>
      <c r="K453" s="68">
        <f>_xlfn.XLOOKUP($A453,'09'!$G$3:$G$100,'09'!$R$3:$R$100,"-")</f>
        <v/>
      </c>
      <c r="L453" s="68">
        <f>_xlfn.XLOOKUP($A453,'10'!$G$3:$G$100,'10'!$R$3:$R$100,"-")</f>
        <v/>
      </c>
      <c r="M453" s="68">
        <f>_xlfn.XLOOKUP($A453,'11'!$G$3:$G$100,'11'!$R$3:$R$100,"-")</f>
        <v/>
      </c>
      <c r="N453" s="68">
        <f>_xlfn.XLOOKUP($A453,'12'!$G$3:$G$100,'12'!$R$3:$R$100,"-")</f>
        <v/>
      </c>
      <c r="O453" s="79">
        <f>SUM(C453:N453)</f>
        <v/>
      </c>
      <c r="P453" s="74" t="n"/>
      <c r="Q453" s="82" t="n">
        <v>451</v>
      </c>
      <c r="R453" s="38" t="n"/>
      <c r="S453" s="61" t="n">
        <v>0</v>
      </c>
      <c r="T453" s="68" t="n">
        <v>0</v>
      </c>
      <c r="U453" s="68" t="n">
        <v>0</v>
      </c>
      <c r="V453" s="68" t="n">
        <v>0</v>
      </c>
      <c r="W453" s="68" t="n">
        <v>0</v>
      </c>
      <c r="X453" s="68" t="n">
        <v>0</v>
      </c>
      <c r="Y453" s="68" t="n">
        <v>0</v>
      </c>
      <c r="Z453" s="68" t="n">
        <v>0</v>
      </c>
      <c r="AA453" s="68" t="n">
        <v>0</v>
      </c>
      <c r="AB453" s="68" t="n">
        <v>0</v>
      </c>
      <c r="AC453" s="68" t="n">
        <v>0</v>
      </c>
      <c r="AD453" s="68" t="n">
        <v>0</v>
      </c>
      <c r="AE453" s="68" t="n">
        <v>0</v>
      </c>
      <c r="AF453" s="79" t="n">
        <v>0</v>
      </c>
      <c r="AG453" s="74" t="n">
        <v>0</v>
      </c>
      <c r="AH453" s="82" t="n">
        <v>451</v>
      </c>
    </row>
    <row r="454" ht="18" customHeight="1">
      <c r="C454" s="68">
        <f>_xlfn.XLOOKUP($A454,'01'!$G$3:$G$100,'01'!$R$3:$R$100,"-")</f>
        <v/>
      </c>
      <c r="D454" s="68">
        <f>_xlfn.XLOOKUP($A454,'02'!$G$3:$G$100,'02'!$R$3:$R$100,"-")</f>
        <v/>
      </c>
      <c r="E454" s="68">
        <f>_xlfn.XLOOKUP($A454,'03'!$G$3:$G$100,'03'!$R$3:$R$100,"-")</f>
        <v/>
      </c>
      <c r="F454" s="68">
        <f>_xlfn.XLOOKUP($A454,'04'!$G$3:$G$100,'04'!$R$3:$R$100,"-")</f>
        <v/>
      </c>
      <c r="G454" s="68">
        <f>_xlfn.XLOOKUP($A454,'05'!$G$3:$G$100,'05'!$R$3:$R$100,"-")</f>
        <v/>
      </c>
      <c r="H454" s="68">
        <f>_xlfn.XLOOKUP($A454,'06'!$G$3:$G$100,'06'!$R$3:$R$100,"-")</f>
        <v/>
      </c>
      <c r="I454" s="68">
        <f>_xlfn.XLOOKUP($A454,'07'!$G$3:$G$100,'07'!$R$3:$R$100,"-")</f>
        <v/>
      </c>
      <c r="J454" s="68">
        <f>_xlfn.XLOOKUP($A454,'08'!$G$3:$G$100,'08'!$R$3:$R$100,"-")</f>
        <v/>
      </c>
      <c r="K454" s="68">
        <f>_xlfn.XLOOKUP($A454,'09'!$G$3:$G$100,'09'!$R$3:$R$100,"-")</f>
        <v/>
      </c>
      <c r="L454" s="68">
        <f>_xlfn.XLOOKUP($A454,'10'!$G$3:$G$100,'10'!$R$3:$R$100,"-")</f>
        <v/>
      </c>
      <c r="M454" s="68">
        <f>_xlfn.XLOOKUP($A454,'11'!$G$3:$G$100,'11'!$R$3:$R$100,"-")</f>
        <v/>
      </c>
      <c r="N454" s="68">
        <f>_xlfn.XLOOKUP($A454,'12'!$G$3:$G$100,'12'!$R$3:$R$100,"-")</f>
        <v/>
      </c>
      <c r="O454" s="79">
        <f>SUM(C454:N454)</f>
        <v/>
      </c>
      <c r="P454" s="74" t="n"/>
      <c r="Q454" s="82" t="n">
        <v>452</v>
      </c>
      <c r="R454" s="38" t="n"/>
      <c r="S454" s="61" t="n">
        <v>0</v>
      </c>
      <c r="T454" s="68" t="n">
        <v>0</v>
      </c>
      <c r="U454" s="68" t="n">
        <v>0</v>
      </c>
      <c r="V454" s="68" t="n">
        <v>0</v>
      </c>
      <c r="W454" s="68" t="n">
        <v>0</v>
      </c>
      <c r="X454" s="68" t="n">
        <v>0</v>
      </c>
      <c r="Y454" s="68" t="n">
        <v>0</v>
      </c>
      <c r="Z454" s="68" t="n">
        <v>0</v>
      </c>
      <c r="AA454" s="68" t="n">
        <v>0</v>
      </c>
      <c r="AB454" s="68" t="n">
        <v>0</v>
      </c>
      <c r="AC454" s="68" t="n">
        <v>0</v>
      </c>
      <c r="AD454" s="68" t="n">
        <v>0</v>
      </c>
      <c r="AE454" s="68" t="n">
        <v>0</v>
      </c>
      <c r="AF454" s="79" t="n">
        <v>0</v>
      </c>
      <c r="AG454" s="74" t="n">
        <v>0</v>
      </c>
      <c r="AH454" s="82" t="n">
        <v>452</v>
      </c>
    </row>
    <row r="455" ht="18" customHeight="1">
      <c r="C455" s="68">
        <f>_xlfn.XLOOKUP($A455,'01'!$G$3:$G$100,'01'!$R$3:$R$100,"-")</f>
        <v/>
      </c>
      <c r="D455" s="68">
        <f>_xlfn.XLOOKUP($A455,'02'!$G$3:$G$100,'02'!$R$3:$R$100,"-")</f>
        <v/>
      </c>
      <c r="E455" s="68">
        <f>_xlfn.XLOOKUP($A455,'03'!$G$3:$G$100,'03'!$R$3:$R$100,"-")</f>
        <v/>
      </c>
      <c r="F455" s="68">
        <f>_xlfn.XLOOKUP($A455,'04'!$G$3:$G$100,'04'!$R$3:$R$100,"-")</f>
        <v/>
      </c>
      <c r="G455" s="68">
        <f>_xlfn.XLOOKUP($A455,'05'!$G$3:$G$100,'05'!$R$3:$R$100,"-")</f>
        <v/>
      </c>
      <c r="H455" s="68">
        <f>_xlfn.XLOOKUP($A455,'06'!$G$3:$G$100,'06'!$R$3:$R$100,"-")</f>
        <v/>
      </c>
      <c r="I455" s="68">
        <f>_xlfn.XLOOKUP($A455,'07'!$G$3:$G$100,'07'!$R$3:$R$100,"-")</f>
        <v/>
      </c>
      <c r="J455" s="68">
        <f>_xlfn.XLOOKUP($A455,'08'!$G$3:$G$100,'08'!$R$3:$R$100,"-")</f>
        <v/>
      </c>
      <c r="K455" s="68">
        <f>_xlfn.XLOOKUP($A455,'09'!$G$3:$G$100,'09'!$R$3:$R$100,"-")</f>
        <v/>
      </c>
      <c r="L455" s="68">
        <f>_xlfn.XLOOKUP($A455,'10'!$G$3:$G$100,'10'!$R$3:$R$100,"-")</f>
        <v/>
      </c>
      <c r="M455" s="68">
        <f>_xlfn.XLOOKUP($A455,'11'!$G$3:$G$100,'11'!$R$3:$R$100,"-")</f>
        <v/>
      </c>
      <c r="N455" s="68">
        <f>_xlfn.XLOOKUP($A455,'12'!$G$3:$G$100,'12'!$R$3:$R$100,"-")</f>
        <v/>
      </c>
      <c r="O455" s="79">
        <f>SUM(C455:N455)</f>
        <v/>
      </c>
      <c r="P455" s="74" t="n"/>
      <c r="Q455" s="82" t="n">
        <v>453</v>
      </c>
      <c r="R455" s="38" t="n"/>
      <c r="S455" s="61" t="n">
        <v>0</v>
      </c>
      <c r="T455" s="68" t="n">
        <v>0</v>
      </c>
      <c r="U455" s="68" t="n">
        <v>0</v>
      </c>
      <c r="V455" s="68" t="n">
        <v>0</v>
      </c>
      <c r="W455" s="68" t="n">
        <v>0</v>
      </c>
      <c r="X455" s="68" t="n">
        <v>0</v>
      </c>
      <c r="Y455" s="68" t="n">
        <v>0</v>
      </c>
      <c r="Z455" s="68" t="n">
        <v>0</v>
      </c>
      <c r="AA455" s="68" t="n">
        <v>0</v>
      </c>
      <c r="AB455" s="68" t="n">
        <v>0</v>
      </c>
      <c r="AC455" s="68" t="n">
        <v>0</v>
      </c>
      <c r="AD455" s="68" t="n">
        <v>0</v>
      </c>
      <c r="AE455" s="68" t="n">
        <v>0</v>
      </c>
      <c r="AF455" s="79" t="n">
        <v>0</v>
      </c>
      <c r="AG455" s="74" t="n">
        <v>0</v>
      </c>
      <c r="AH455" s="82" t="n">
        <v>453</v>
      </c>
    </row>
    <row r="456" ht="18" customHeight="1">
      <c r="C456" s="68">
        <f>_xlfn.XLOOKUP($A456,'01'!$G$3:$G$100,'01'!$R$3:$R$100,"-")</f>
        <v/>
      </c>
      <c r="D456" s="68">
        <f>_xlfn.XLOOKUP($A456,'02'!$G$3:$G$100,'02'!$R$3:$R$100,"-")</f>
        <v/>
      </c>
      <c r="E456" s="68">
        <f>_xlfn.XLOOKUP($A456,'03'!$G$3:$G$100,'03'!$R$3:$R$100,"-")</f>
        <v/>
      </c>
      <c r="F456" s="68">
        <f>_xlfn.XLOOKUP($A456,'04'!$G$3:$G$100,'04'!$R$3:$R$100,"-")</f>
        <v/>
      </c>
      <c r="G456" s="68">
        <f>_xlfn.XLOOKUP($A456,'05'!$G$3:$G$100,'05'!$R$3:$R$100,"-")</f>
        <v/>
      </c>
      <c r="H456" s="68">
        <f>_xlfn.XLOOKUP($A456,'06'!$G$3:$G$100,'06'!$R$3:$R$100,"-")</f>
        <v/>
      </c>
      <c r="I456" s="68">
        <f>_xlfn.XLOOKUP($A456,'07'!$G$3:$G$100,'07'!$R$3:$R$100,"-")</f>
        <v/>
      </c>
      <c r="J456" s="68">
        <f>_xlfn.XLOOKUP($A456,'08'!$G$3:$G$100,'08'!$R$3:$R$100,"-")</f>
        <v/>
      </c>
      <c r="K456" s="68">
        <f>_xlfn.XLOOKUP($A456,'09'!$G$3:$G$100,'09'!$R$3:$R$100,"-")</f>
        <v/>
      </c>
      <c r="L456" s="68">
        <f>_xlfn.XLOOKUP($A456,'10'!$G$3:$G$100,'10'!$R$3:$R$100,"-")</f>
        <v/>
      </c>
      <c r="M456" s="68">
        <f>_xlfn.XLOOKUP($A456,'11'!$G$3:$G$100,'11'!$R$3:$R$100,"-")</f>
        <v/>
      </c>
      <c r="N456" s="68">
        <f>_xlfn.XLOOKUP($A456,'12'!$G$3:$G$100,'12'!$R$3:$R$100,"-")</f>
        <v/>
      </c>
      <c r="O456" s="79">
        <f>SUM(C456:N456)</f>
        <v/>
      </c>
      <c r="P456" s="74" t="n"/>
      <c r="Q456" s="82" t="n">
        <v>454</v>
      </c>
      <c r="R456" s="38" t="n"/>
      <c r="S456" s="61" t="n">
        <v>0</v>
      </c>
      <c r="T456" s="68" t="n">
        <v>0</v>
      </c>
      <c r="U456" s="68" t="n">
        <v>0</v>
      </c>
      <c r="V456" s="68" t="n">
        <v>0</v>
      </c>
      <c r="W456" s="68" t="n">
        <v>0</v>
      </c>
      <c r="X456" s="68" t="n">
        <v>0</v>
      </c>
      <c r="Y456" s="68" t="n">
        <v>0</v>
      </c>
      <c r="Z456" s="68" t="n">
        <v>0</v>
      </c>
      <c r="AA456" s="68" t="n">
        <v>0</v>
      </c>
      <c r="AB456" s="68" t="n">
        <v>0</v>
      </c>
      <c r="AC456" s="68" t="n">
        <v>0</v>
      </c>
      <c r="AD456" s="68" t="n">
        <v>0</v>
      </c>
      <c r="AE456" s="68" t="n">
        <v>0</v>
      </c>
      <c r="AF456" s="79" t="n">
        <v>0</v>
      </c>
      <c r="AG456" s="74" t="n">
        <v>0</v>
      </c>
      <c r="AH456" s="82" t="n">
        <v>454</v>
      </c>
    </row>
    <row r="457" ht="18" customHeight="1">
      <c r="C457" s="68">
        <f>_xlfn.XLOOKUP($A457,'01'!$G$3:$G$100,'01'!$R$3:$R$100,"-")</f>
        <v/>
      </c>
      <c r="D457" s="68">
        <f>_xlfn.XLOOKUP($A457,'02'!$G$3:$G$100,'02'!$R$3:$R$100,"-")</f>
        <v/>
      </c>
      <c r="E457" s="68">
        <f>_xlfn.XLOOKUP($A457,'03'!$G$3:$G$100,'03'!$R$3:$R$100,"-")</f>
        <v/>
      </c>
      <c r="F457" s="68">
        <f>_xlfn.XLOOKUP($A457,'04'!$G$3:$G$100,'04'!$R$3:$R$100,"-")</f>
        <v/>
      </c>
      <c r="G457" s="68">
        <f>_xlfn.XLOOKUP($A457,'05'!$G$3:$G$100,'05'!$R$3:$R$100,"-")</f>
        <v/>
      </c>
      <c r="H457" s="68">
        <f>_xlfn.XLOOKUP($A457,'06'!$G$3:$G$100,'06'!$R$3:$R$100,"-")</f>
        <v/>
      </c>
      <c r="I457" s="68">
        <f>_xlfn.XLOOKUP($A457,'07'!$G$3:$G$100,'07'!$R$3:$R$100,"-")</f>
        <v/>
      </c>
      <c r="J457" s="68">
        <f>_xlfn.XLOOKUP($A457,'08'!$G$3:$G$100,'08'!$R$3:$R$100,"-")</f>
        <v/>
      </c>
      <c r="K457" s="68">
        <f>_xlfn.XLOOKUP($A457,'09'!$G$3:$G$100,'09'!$R$3:$R$100,"-")</f>
        <v/>
      </c>
      <c r="L457" s="68">
        <f>_xlfn.XLOOKUP($A457,'10'!$G$3:$G$100,'10'!$R$3:$R$100,"-")</f>
        <v/>
      </c>
      <c r="M457" s="68">
        <f>_xlfn.XLOOKUP($A457,'11'!$G$3:$G$100,'11'!$R$3:$R$100,"-")</f>
        <v/>
      </c>
      <c r="N457" s="68">
        <f>_xlfn.XLOOKUP($A457,'12'!$G$3:$G$100,'12'!$R$3:$R$100,"-")</f>
        <v/>
      </c>
      <c r="O457" s="79">
        <f>SUM(C457:N457)</f>
        <v/>
      </c>
      <c r="P457" s="74" t="n"/>
      <c r="Q457" s="83" t="n">
        <v>455</v>
      </c>
      <c r="R457" s="38" t="n"/>
      <c r="S457" s="61" t="n">
        <v>0</v>
      </c>
      <c r="T457" s="68" t="n">
        <v>0</v>
      </c>
      <c r="U457" s="68" t="n">
        <v>0</v>
      </c>
      <c r="V457" s="68" t="n">
        <v>0</v>
      </c>
      <c r="W457" s="68" t="n">
        <v>0</v>
      </c>
      <c r="X457" s="68" t="n">
        <v>0</v>
      </c>
      <c r="Y457" s="68" t="n">
        <v>0</v>
      </c>
      <c r="Z457" s="68" t="n">
        <v>0</v>
      </c>
      <c r="AA457" s="68" t="n">
        <v>0</v>
      </c>
      <c r="AB457" s="68" t="n">
        <v>0</v>
      </c>
      <c r="AC457" s="68" t="n">
        <v>0</v>
      </c>
      <c r="AD457" s="68" t="n">
        <v>0</v>
      </c>
      <c r="AE457" s="68" t="n">
        <v>0</v>
      </c>
      <c r="AF457" s="79" t="n">
        <v>0</v>
      </c>
      <c r="AG457" s="74" t="n">
        <v>0</v>
      </c>
      <c r="AH457" s="83" t="n">
        <v>455</v>
      </c>
    </row>
    <row r="458" ht="18" customHeight="1">
      <c r="C458" s="68">
        <f>_xlfn.XLOOKUP($A458,'01'!$G$3:$G$100,'01'!$R$3:$R$100,"-")</f>
        <v/>
      </c>
      <c r="D458" s="68">
        <f>_xlfn.XLOOKUP($A458,'02'!$G$3:$G$100,'02'!$R$3:$R$100,"-")</f>
        <v/>
      </c>
      <c r="E458" s="68">
        <f>_xlfn.XLOOKUP($A458,'03'!$G$3:$G$100,'03'!$R$3:$R$100,"-")</f>
        <v/>
      </c>
      <c r="F458" s="68">
        <f>_xlfn.XLOOKUP($A458,'04'!$G$3:$G$100,'04'!$R$3:$R$100,"-")</f>
        <v/>
      </c>
      <c r="G458" s="68">
        <f>_xlfn.XLOOKUP($A458,'05'!$G$3:$G$100,'05'!$R$3:$R$100,"-")</f>
        <v/>
      </c>
      <c r="H458" s="68">
        <f>_xlfn.XLOOKUP($A458,'06'!$G$3:$G$100,'06'!$R$3:$R$100,"-")</f>
        <v/>
      </c>
      <c r="I458" s="68">
        <f>_xlfn.XLOOKUP($A458,'07'!$G$3:$G$100,'07'!$R$3:$R$100,"-")</f>
        <v/>
      </c>
      <c r="J458" s="68">
        <f>_xlfn.XLOOKUP($A458,'08'!$G$3:$G$100,'08'!$R$3:$R$100,"-")</f>
        <v/>
      </c>
      <c r="K458" s="68">
        <f>_xlfn.XLOOKUP($A458,'09'!$G$3:$G$100,'09'!$R$3:$R$100,"-")</f>
        <v/>
      </c>
      <c r="L458" s="68">
        <f>_xlfn.XLOOKUP($A458,'10'!$G$3:$G$100,'10'!$R$3:$R$100,"-")</f>
        <v/>
      </c>
      <c r="M458" s="68">
        <f>_xlfn.XLOOKUP($A458,'11'!$G$3:$G$100,'11'!$R$3:$R$100,"-")</f>
        <v/>
      </c>
      <c r="N458" s="68">
        <f>_xlfn.XLOOKUP($A458,'12'!$G$3:$G$100,'12'!$R$3:$R$100,"-")</f>
        <v/>
      </c>
      <c r="O458" s="79">
        <f>SUM(C458:N458)</f>
        <v/>
      </c>
      <c r="P458" s="74" t="n"/>
      <c r="Q458" s="82" t="n">
        <v>456</v>
      </c>
      <c r="R458" s="38" t="n"/>
      <c r="S458" s="61" t="n">
        <v>0</v>
      </c>
      <c r="T458" s="68" t="n">
        <v>0</v>
      </c>
      <c r="U458" s="68" t="n">
        <v>0</v>
      </c>
      <c r="V458" s="68" t="n">
        <v>0</v>
      </c>
      <c r="W458" s="68" t="n">
        <v>0</v>
      </c>
      <c r="X458" s="68" t="n">
        <v>0</v>
      </c>
      <c r="Y458" s="68" t="n">
        <v>0</v>
      </c>
      <c r="Z458" s="68" t="n">
        <v>0</v>
      </c>
      <c r="AA458" s="68" t="n">
        <v>0</v>
      </c>
      <c r="AB458" s="68" t="n">
        <v>0</v>
      </c>
      <c r="AC458" s="68" t="n">
        <v>0</v>
      </c>
      <c r="AD458" s="68" t="n">
        <v>0</v>
      </c>
      <c r="AE458" s="68" t="n">
        <v>0</v>
      </c>
      <c r="AF458" s="79" t="n">
        <v>0</v>
      </c>
      <c r="AG458" s="74" t="n">
        <v>0</v>
      </c>
      <c r="AH458" s="82" t="n">
        <v>456</v>
      </c>
    </row>
    <row r="459" ht="18" customHeight="1">
      <c r="C459" s="68">
        <f>_xlfn.XLOOKUP($A459,'01'!$G$3:$G$100,'01'!$R$3:$R$100,"-")</f>
        <v/>
      </c>
      <c r="D459" s="68">
        <f>_xlfn.XLOOKUP($A459,'02'!$G$3:$G$100,'02'!$R$3:$R$100,"-")</f>
        <v/>
      </c>
      <c r="E459" s="68">
        <f>_xlfn.XLOOKUP($A459,'03'!$G$3:$G$100,'03'!$R$3:$R$100,"-")</f>
        <v/>
      </c>
      <c r="F459" s="68">
        <f>_xlfn.XLOOKUP($A459,'04'!$G$3:$G$100,'04'!$R$3:$R$100,"-")</f>
        <v/>
      </c>
      <c r="G459" s="68">
        <f>_xlfn.XLOOKUP($A459,'05'!$G$3:$G$100,'05'!$R$3:$R$100,"-")</f>
        <v/>
      </c>
      <c r="H459" s="68">
        <f>_xlfn.XLOOKUP($A459,'06'!$G$3:$G$100,'06'!$R$3:$R$100,"-")</f>
        <v/>
      </c>
      <c r="I459" s="68">
        <f>_xlfn.XLOOKUP($A459,'07'!$G$3:$G$100,'07'!$R$3:$R$100,"-")</f>
        <v/>
      </c>
      <c r="J459" s="68">
        <f>_xlfn.XLOOKUP($A459,'08'!$G$3:$G$100,'08'!$R$3:$R$100,"-")</f>
        <v/>
      </c>
      <c r="K459" s="68">
        <f>_xlfn.XLOOKUP($A459,'09'!$G$3:$G$100,'09'!$R$3:$R$100,"-")</f>
        <v/>
      </c>
      <c r="L459" s="68">
        <f>_xlfn.XLOOKUP($A459,'10'!$G$3:$G$100,'10'!$R$3:$R$100,"-")</f>
        <v/>
      </c>
      <c r="M459" s="68">
        <f>_xlfn.XLOOKUP($A459,'11'!$G$3:$G$100,'11'!$R$3:$R$100,"-")</f>
        <v/>
      </c>
      <c r="N459" s="68">
        <f>_xlfn.XLOOKUP($A459,'12'!$G$3:$G$100,'12'!$R$3:$R$100,"-")</f>
        <v/>
      </c>
      <c r="O459" s="79">
        <f>SUM(C459:N459)</f>
        <v/>
      </c>
      <c r="P459" s="74" t="n"/>
      <c r="Q459" s="82" t="n">
        <v>457</v>
      </c>
      <c r="R459" s="38" t="n"/>
      <c r="S459" s="61" t="n">
        <v>0</v>
      </c>
      <c r="T459" s="68" t="n">
        <v>0</v>
      </c>
      <c r="U459" s="68" t="n">
        <v>0</v>
      </c>
      <c r="V459" s="68" t="n">
        <v>0</v>
      </c>
      <c r="W459" s="68" t="n">
        <v>0</v>
      </c>
      <c r="X459" s="68" t="n">
        <v>0</v>
      </c>
      <c r="Y459" s="68" t="n">
        <v>0</v>
      </c>
      <c r="Z459" s="68" t="n">
        <v>0</v>
      </c>
      <c r="AA459" s="68" t="n">
        <v>0</v>
      </c>
      <c r="AB459" s="68" t="n">
        <v>0</v>
      </c>
      <c r="AC459" s="68" t="n">
        <v>0</v>
      </c>
      <c r="AD459" s="68" t="n">
        <v>0</v>
      </c>
      <c r="AE459" s="68" t="n">
        <v>0</v>
      </c>
      <c r="AF459" s="79" t="n">
        <v>0</v>
      </c>
      <c r="AG459" s="74" t="n">
        <v>0</v>
      </c>
      <c r="AH459" s="82" t="n">
        <v>457</v>
      </c>
    </row>
    <row r="460" ht="18" customHeight="1">
      <c r="C460" s="68">
        <f>_xlfn.XLOOKUP($A460,'01'!$G$3:$G$100,'01'!$R$3:$R$100,"-")</f>
        <v/>
      </c>
      <c r="D460" s="68">
        <f>_xlfn.XLOOKUP($A460,'02'!$G$3:$G$100,'02'!$R$3:$R$100,"-")</f>
        <v/>
      </c>
      <c r="E460" s="68">
        <f>_xlfn.XLOOKUP($A460,'03'!$G$3:$G$100,'03'!$R$3:$R$100,"-")</f>
        <v/>
      </c>
      <c r="F460" s="68">
        <f>_xlfn.XLOOKUP($A460,'04'!$G$3:$G$100,'04'!$R$3:$R$100,"-")</f>
        <v/>
      </c>
      <c r="G460" s="68">
        <f>_xlfn.XLOOKUP($A460,'05'!$G$3:$G$100,'05'!$R$3:$R$100,"-")</f>
        <v/>
      </c>
      <c r="H460" s="68">
        <f>_xlfn.XLOOKUP($A460,'06'!$G$3:$G$100,'06'!$R$3:$R$100,"-")</f>
        <v/>
      </c>
      <c r="I460" s="68">
        <f>_xlfn.XLOOKUP($A460,'07'!$G$3:$G$100,'07'!$R$3:$R$100,"-")</f>
        <v/>
      </c>
      <c r="J460" s="68">
        <f>_xlfn.XLOOKUP($A460,'08'!$G$3:$G$100,'08'!$R$3:$R$100,"-")</f>
        <v/>
      </c>
      <c r="K460" s="68">
        <f>_xlfn.XLOOKUP($A460,'09'!$G$3:$G$100,'09'!$R$3:$R$100,"-")</f>
        <v/>
      </c>
      <c r="L460" s="68">
        <f>_xlfn.XLOOKUP($A460,'10'!$G$3:$G$100,'10'!$R$3:$R$100,"-")</f>
        <v/>
      </c>
      <c r="M460" s="68">
        <f>_xlfn.XLOOKUP($A460,'11'!$G$3:$G$100,'11'!$R$3:$R$100,"-")</f>
        <v/>
      </c>
      <c r="N460" s="68">
        <f>_xlfn.XLOOKUP($A460,'12'!$G$3:$G$100,'12'!$R$3:$R$100,"-")</f>
        <v/>
      </c>
      <c r="O460" s="79">
        <f>SUM(C460:N460)</f>
        <v/>
      </c>
      <c r="P460" s="74" t="n"/>
      <c r="Q460" s="82" t="n">
        <v>458</v>
      </c>
      <c r="R460" s="38" t="n"/>
      <c r="S460" s="61" t="n">
        <v>0</v>
      </c>
      <c r="T460" s="68" t="n">
        <v>0</v>
      </c>
      <c r="U460" s="68" t="n">
        <v>0</v>
      </c>
      <c r="V460" s="68" t="n">
        <v>0</v>
      </c>
      <c r="W460" s="68" t="n">
        <v>0</v>
      </c>
      <c r="X460" s="68" t="n">
        <v>0</v>
      </c>
      <c r="Y460" s="68" t="n">
        <v>0</v>
      </c>
      <c r="Z460" s="68" t="n">
        <v>0</v>
      </c>
      <c r="AA460" s="68" t="n">
        <v>0</v>
      </c>
      <c r="AB460" s="68" t="n">
        <v>0</v>
      </c>
      <c r="AC460" s="68" t="n">
        <v>0</v>
      </c>
      <c r="AD460" s="68" t="n">
        <v>0</v>
      </c>
      <c r="AE460" s="68" t="n">
        <v>0</v>
      </c>
      <c r="AF460" s="79" t="n">
        <v>0</v>
      </c>
      <c r="AG460" s="74" t="n">
        <v>0</v>
      </c>
      <c r="AH460" s="82" t="n">
        <v>458</v>
      </c>
    </row>
    <row r="461" ht="18" customHeight="1">
      <c r="C461" s="68">
        <f>_xlfn.XLOOKUP($A461,'01'!$G$3:$G$100,'01'!$R$3:$R$100,"-")</f>
        <v/>
      </c>
      <c r="D461" s="68">
        <f>_xlfn.XLOOKUP($A461,'02'!$G$3:$G$100,'02'!$R$3:$R$100,"-")</f>
        <v/>
      </c>
      <c r="E461" s="68">
        <f>_xlfn.XLOOKUP($A461,'03'!$G$3:$G$100,'03'!$R$3:$R$100,"-")</f>
        <v/>
      </c>
      <c r="F461" s="68">
        <f>_xlfn.XLOOKUP($A461,'04'!$G$3:$G$100,'04'!$R$3:$R$100,"-")</f>
        <v/>
      </c>
      <c r="G461" s="68">
        <f>_xlfn.XLOOKUP($A461,'05'!$G$3:$G$100,'05'!$R$3:$R$100,"-")</f>
        <v/>
      </c>
      <c r="H461" s="68">
        <f>_xlfn.XLOOKUP($A461,'06'!$G$3:$G$100,'06'!$R$3:$R$100,"-")</f>
        <v/>
      </c>
      <c r="I461" s="68">
        <f>_xlfn.XLOOKUP($A461,'07'!$G$3:$G$100,'07'!$R$3:$R$100,"-")</f>
        <v/>
      </c>
      <c r="J461" s="68">
        <f>_xlfn.XLOOKUP($A461,'08'!$G$3:$G$100,'08'!$R$3:$R$100,"-")</f>
        <v/>
      </c>
      <c r="K461" s="68">
        <f>_xlfn.XLOOKUP($A461,'09'!$G$3:$G$100,'09'!$R$3:$R$100,"-")</f>
        <v/>
      </c>
      <c r="L461" s="68">
        <f>_xlfn.XLOOKUP($A461,'10'!$G$3:$G$100,'10'!$R$3:$R$100,"-")</f>
        <v/>
      </c>
      <c r="M461" s="68">
        <f>_xlfn.XLOOKUP($A461,'11'!$G$3:$G$100,'11'!$R$3:$R$100,"-")</f>
        <v/>
      </c>
      <c r="N461" s="68">
        <f>_xlfn.XLOOKUP($A461,'12'!$G$3:$G$100,'12'!$R$3:$R$100,"-")</f>
        <v/>
      </c>
      <c r="O461" s="79">
        <f>SUM(C461:N461)</f>
        <v/>
      </c>
      <c r="P461" s="74" t="n"/>
      <c r="Q461" s="82" t="n">
        <v>459</v>
      </c>
      <c r="R461" s="38" t="n"/>
      <c r="S461" s="61" t="n">
        <v>0</v>
      </c>
      <c r="T461" s="68" t="n">
        <v>0</v>
      </c>
      <c r="U461" s="68" t="n">
        <v>0</v>
      </c>
      <c r="V461" s="68" t="n">
        <v>0</v>
      </c>
      <c r="W461" s="68" t="n">
        <v>0</v>
      </c>
      <c r="X461" s="68" t="n">
        <v>0</v>
      </c>
      <c r="Y461" s="68" t="n">
        <v>0</v>
      </c>
      <c r="Z461" s="68" t="n">
        <v>0</v>
      </c>
      <c r="AA461" s="68" t="n">
        <v>0</v>
      </c>
      <c r="AB461" s="68" t="n">
        <v>0</v>
      </c>
      <c r="AC461" s="68" t="n">
        <v>0</v>
      </c>
      <c r="AD461" s="68" t="n">
        <v>0</v>
      </c>
      <c r="AE461" s="68" t="n">
        <v>0</v>
      </c>
      <c r="AF461" s="79" t="n">
        <v>0</v>
      </c>
      <c r="AG461" s="74" t="n">
        <v>0</v>
      </c>
      <c r="AH461" s="82" t="n">
        <v>459</v>
      </c>
    </row>
    <row r="462" ht="18" customHeight="1">
      <c r="C462" s="68">
        <f>_xlfn.XLOOKUP($A462,'01'!$G$3:$G$100,'01'!$R$3:$R$100,"-")</f>
        <v/>
      </c>
      <c r="D462" s="68">
        <f>_xlfn.XLOOKUP($A462,'02'!$G$3:$G$100,'02'!$R$3:$R$100,"-")</f>
        <v/>
      </c>
      <c r="E462" s="68">
        <f>_xlfn.XLOOKUP($A462,'03'!$G$3:$G$100,'03'!$R$3:$R$100,"-")</f>
        <v/>
      </c>
      <c r="F462" s="68">
        <f>_xlfn.XLOOKUP($A462,'04'!$G$3:$G$100,'04'!$R$3:$R$100,"-")</f>
        <v/>
      </c>
      <c r="G462" s="68">
        <f>_xlfn.XLOOKUP($A462,'05'!$G$3:$G$100,'05'!$R$3:$R$100,"-")</f>
        <v/>
      </c>
      <c r="H462" s="68">
        <f>_xlfn.XLOOKUP($A462,'06'!$G$3:$G$100,'06'!$R$3:$R$100,"-")</f>
        <v/>
      </c>
      <c r="I462" s="68">
        <f>_xlfn.XLOOKUP($A462,'07'!$G$3:$G$100,'07'!$R$3:$R$100,"-")</f>
        <v/>
      </c>
      <c r="J462" s="68">
        <f>_xlfn.XLOOKUP($A462,'08'!$G$3:$G$100,'08'!$R$3:$R$100,"-")</f>
        <v/>
      </c>
      <c r="K462" s="68">
        <f>_xlfn.XLOOKUP($A462,'09'!$G$3:$G$100,'09'!$R$3:$R$100,"-")</f>
        <v/>
      </c>
      <c r="L462" s="68">
        <f>_xlfn.XLOOKUP($A462,'10'!$G$3:$G$100,'10'!$R$3:$R$100,"-")</f>
        <v/>
      </c>
      <c r="M462" s="68">
        <f>_xlfn.XLOOKUP($A462,'11'!$G$3:$G$100,'11'!$R$3:$R$100,"-")</f>
        <v/>
      </c>
      <c r="N462" s="68">
        <f>_xlfn.XLOOKUP($A462,'12'!$G$3:$G$100,'12'!$R$3:$R$100,"-")</f>
        <v/>
      </c>
      <c r="O462" s="79">
        <f>SUM(C462:N462)</f>
        <v/>
      </c>
      <c r="P462" s="74" t="n"/>
      <c r="Q462" s="82" t="n">
        <v>460</v>
      </c>
      <c r="R462" s="38" t="n"/>
      <c r="S462" s="61" t="n">
        <v>0</v>
      </c>
      <c r="T462" s="68" t="n">
        <v>0</v>
      </c>
      <c r="U462" s="68" t="n">
        <v>0</v>
      </c>
      <c r="V462" s="68" t="n">
        <v>0</v>
      </c>
      <c r="W462" s="68" t="n">
        <v>0</v>
      </c>
      <c r="X462" s="68" t="n">
        <v>0</v>
      </c>
      <c r="Y462" s="68" t="n">
        <v>0</v>
      </c>
      <c r="Z462" s="68" t="n">
        <v>0</v>
      </c>
      <c r="AA462" s="68" t="n">
        <v>0</v>
      </c>
      <c r="AB462" s="68" t="n">
        <v>0</v>
      </c>
      <c r="AC462" s="68" t="n">
        <v>0</v>
      </c>
      <c r="AD462" s="68" t="n">
        <v>0</v>
      </c>
      <c r="AE462" s="68" t="n">
        <v>0</v>
      </c>
      <c r="AF462" s="79" t="n">
        <v>0</v>
      </c>
      <c r="AG462" s="74" t="n">
        <v>0</v>
      </c>
      <c r="AH462" s="82" t="n">
        <v>460</v>
      </c>
    </row>
    <row r="463" ht="18" customHeight="1">
      <c r="C463" s="68">
        <f>_xlfn.XLOOKUP($A463,'01'!$G$3:$G$100,'01'!$R$3:$R$100,"-")</f>
        <v/>
      </c>
      <c r="D463" s="68">
        <f>_xlfn.XLOOKUP($A463,'02'!$G$3:$G$100,'02'!$R$3:$R$100,"-")</f>
        <v/>
      </c>
      <c r="E463" s="68">
        <f>_xlfn.XLOOKUP($A463,'03'!$G$3:$G$100,'03'!$R$3:$R$100,"-")</f>
        <v/>
      </c>
      <c r="F463" s="68">
        <f>_xlfn.XLOOKUP($A463,'04'!$G$3:$G$100,'04'!$R$3:$R$100,"-")</f>
        <v/>
      </c>
      <c r="G463" s="68">
        <f>_xlfn.XLOOKUP($A463,'05'!$G$3:$G$100,'05'!$R$3:$R$100,"-")</f>
        <v/>
      </c>
      <c r="H463" s="68">
        <f>_xlfn.XLOOKUP($A463,'06'!$G$3:$G$100,'06'!$R$3:$R$100,"-")</f>
        <v/>
      </c>
      <c r="I463" s="68">
        <f>_xlfn.XLOOKUP($A463,'07'!$G$3:$G$100,'07'!$R$3:$R$100,"-")</f>
        <v/>
      </c>
      <c r="J463" s="68">
        <f>_xlfn.XLOOKUP($A463,'08'!$G$3:$G$100,'08'!$R$3:$R$100,"-")</f>
        <v/>
      </c>
      <c r="K463" s="68">
        <f>_xlfn.XLOOKUP($A463,'09'!$G$3:$G$100,'09'!$R$3:$R$100,"-")</f>
        <v/>
      </c>
      <c r="L463" s="68">
        <f>_xlfn.XLOOKUP($A463,'10'!$G$3:$G$100,'10'!$R$3:$R$100,"-")</f>
        <v/>
      </c>
      <c r="M463" s="68">
        <f>_xlfn.XLOOKUP($A463,'11'!$G$3:$G$100,'11'!$R$3:$R$100,"-")</f>
        <v/>
      </c>
      <c r="N463" s="68">
        <f>_xlfn.XLOOKUP($A463,'12'!$G$3:$G$100,'12'!$R$3:$R$100,"-")</f>
        <v/>
      </c>
      <c r="O463" s="79">
        <f>SUM(C463:N463)</f>
        <v/>
      </c>
      <c r="P463" s="74" t="n"/>
      <c r="Q463" s="82" t="n">
        <v>461</v>
      </c>
      <c r="R463" s="38" t="n"/>
      <c r="S463" s="61" t="n">
        <v>0</v>
      </c>
      <c r="T463" s="68" t="n">
        <v>0</v>
      </c>
      <c r="U463" s="68" t="n">
        <v>0</v>
      </c>
      <c r="V463" s="68" t="n">
        <v>0</v>
      </c>
      <c r="W463" s="68" t="n">
        <v>0</v>
      </c>
      <c r="X463" s="68" t="n">
        <v>0</v>
      </c>
      <c r="Y463" s="68" t="n">
        <v>0</v>
      </c>
      <c r="Z463" s="68" t="n">
        <v>0</v>
      </c>
      <c r="AA463" s="68" t="n">
        <v>0</v>
      </c>
      <c r="AB463" s="68" t="n">
        <v>0</v>
      </c>
      <c r="AC463" s="68" t="n">
        <v>0</v>
      </c>
      <c r="AD463" s="68" t="n">
        <v>0</v>
      </c>
      <c r="AE463" s="68" t="n">
        <v>0</v>
      </c>
      <c r="AF463" s="79" t="n">
        <v>0</v>
      </c>
      <c r="AG463" s="74" t="n">
        <v>0</v>
      </c>
      <c r="AH463" s="82" t="n">
        <v>461</v>
      </c>
    </row>
    <row r="464" ht="18" customHeight="1">
      <c r="C464" s="68">
        <f>_xlfn.XLOOKUP($A464,'01'!$G$3:$G$100,'01'!$R$3:$R$100,"-")</f>
        <v/>
      </c>
      <c r="D464" s="68">
        <f>_xlfn.XLOOKUP($A464,'02'!$G$3:$G$100,'02'!$R$3:$R$100,"-")</f>
        <v/>
      </c>
      <c r="E464" s="68">
        <f>_xlfn.XLOOKUP($A464,'03'!$G$3:$G$100,'03'!$R$3:$R$100,"-")</f>
        <v/>
      </c>
      <c r="F464" s="68">
        <f>_xlfn.XLOOKUP($A464,'04'!$G$3:$G$100,'04'!$R$3:$R$100,"-")</f>
        <v/>
      </c>
      <c r="G464" s="68">
        <f>_xlfn.XLOOKUP($A464,'05'!$G$3:$G$100,'05'!$R$3:$R$100,"-")</f>
        <v/>
      </c>
      <c r="H464" s="68">
        <f>_xlfn.XLOOKUP($A464,'06'!$G$3:$G$100,'06'!$R$3:$R$100,"-")</f>
        <v/>
      </c>
      <c r="I464" s="68">
        <f>_xlfn.XLOOKUP($A464,'07'!$G$3:$G$100,'07'!$R$3:$R$100,"-")</f>
        <v/>
      </c>
      <c r="J464" s="68">
        <f>_xlfn.XLOOKUP($A464,'08'!$G$3:$G$100,'08'!$R$3:$R$100,"-")</f>
        <v/>
      </c>
      <c r="K464" s="68">
        <f>_xlfn.XLOOKUP($A464,'09'!$G$3:$G$100,'09'!$R$3:$R$100,"-")</f>
        <v/>
      </c>
      <c r="L464" s="68">
        <f>_xlfn.XLOOKUP($A464,'10'!$G$3:$G$100,'10'!$R$3:$R$100,"-")</f>
        <v/>
      </c>
      <c r="M464" s="68">
        <f>_xlfn.XLOOKUP($A464,'11'!$G$3:$G$100,'11'!$R$3:$R$100,"-")</f>
        <v/>
      </c>
      <c r="N464" s="68">
        <f>_xlfn.XLOOKUP($A464,'12'!$G$3:$G$100,'12'!$R$3:$R$100,"-")</f>
        <v/>
      </c>
      <c r="O464" s="79">
        <f>SUM(C464:N464)</f>
        <v/>
      </c>
      <c r="P464" s="74" t="n"/>
      <c r="Q464" s="82" t="n">
        <v>462</v>
      </c>
      <c r="R464" s="38" t="n"/>
      <c r="S464" s="61" t="n">
        <v>0</v>
      </c>
      <c r="T464" s="68" t="n">
        <v>0</v>
      </c>
      <c r="U464" s="68" t="n">
        <v>0</v>
      </c>
      <c r="V464" s="68" t="n">
        <v>0</v>
      </c>
      <c r="W464" s="68" t="n">
        <v>0</v>
      </c>
      <c r="X464" s="68" t="n">
        <v>0</v>
      </c>
      <c r="Y464" s="68" t="n">
        <v>0</v>
      </c>
      <c r="Z464" s="68" t="n">
        <v>0</v>
      </c>
      <c r="AA464" s="68" t="n">
        <v>0</v>
      </c>
      <c r="AB464" s="68" t="n">
        <v>0</v>
      </c>
      <c r="AC464" s="68" t="n">
        <v>0</v>
      </c>
      <c r="AD464" s="68" t="n">
        <v>0</v>
      </c>
      <c r="AE464" s="68" t="n">
        <v>0</v>
      </c>
      <c r="AF464" s="79" t="n">
        <v>0</v>
      </c>
      <c r="AG464" s="74" t="n">
        <v>0</v>
      </c>
      <c r="AH464" s="82" t="n">
        <v>462</v>
      </c>
    </row>
    <row r="465" ht="18" customHeight="1">
      <c r="C465" s="68">
        <f>_xlfn.XLOOKUP($A465,'01'!$G$3:$G$100,'01'!$R$3:$R$100,"-")</f>
        <v/>
      </c>
      <c r="D465" s="68">
        <f>_xlfn.XLOOKUP($A465,'02'!$G$3:$G$100,'02'!$R$3:$R$100,"-")</f>
        <v/>
      </c>
      <c r="E465" s="68">
        <f>_xlfn.XLOOKUP($A465,'03'!$G$3:$G$100,'03'!$R$3:$R$100,"-")</f>
        <v/>
      </c>
      <c r="F465" s="68">
        <f>_xlfn.XLOOKUP($A465,'04'!$G$3:$G$100,'04'!$R$3:$R$100,"-")</f>
        <v/>
      </c>
      <c r="G465" s="68">
        <f>_xlfn.XLOOKUP($A465,'05'!$G$3:$G$100,'05'!$R$3:$R$100,"-")</f>
        <v/>
      </c>
      <c r="H465" s="68">
        <f>_xlfn.XLOOKUP($A465,'06'!$G$3:$G$100,'06'!$R$3:$R$100,"-")</f>
        <v/>
      </c>
      <c r="I465" s="68">
        <f>_xlfn.XLOOKUP($A465,'07'!$G$3:$G$100,'07'!$R$3:$R$100,"-")</f>
        <v/>
      </c>
      <c r="J465" s="68">
        <f>_xlfn.XLOOKUP($A465,'08'!$G$3:$G$100,'08'!$R$3:$R$100,"-")</f>
        <v/>
      </c>
      <c r="K465" s="68">
        <f>_xlfn.XLOOKUP($A465,'09'!$G$3:$G$100,'09'!$R$3:$R$100,"-")</f>
        <v/>
      </c>
      <c r="L465" s="68">
        <f>_xlfn.XLOOKUP($A465,'10'!$G$3:$G$100,'10'!$R$3:$R$100,"-")</f>
        <v/>
      </c>
      <c r="M465" s="68">
        <f>_xlfn.XLOOKUP($A465,'11'!$G$3:$G$100,'11'!$R$3:$R$100,"-")</f>
        <v/>
      </c>
      <c r="N465" s="68">
        <f>_xlfn.XLOOKUP($A465,'12'!$G$3:$G$100,'12'!$R$3:$R$100,"-")</f>
        <v/>
      </c>
      <c r="O465" s="79">
        <f>SUM(C465:N465)</f>
        <v/>
      </c>
      <c r="P465" s="74" t="n"/>
      <c r="Q465" s="82" t="n">
        <v>463</v>
      </c>
      <c r="R465" s="38" t="n"/>
      <c r="S465" s="61" t="n">
        <v>0</v>
      </c>
      <c r="T465" s="68" t="n">
        <v>0</v>
      </c>
      <c r="U465" s="68" t="n">
        <v>0</v>
      </c>
      <c r="V465" s="68" t="n">
        <v>0</v>
      </c>
      <c r="W465" s="68" t="n">
        <v>0</v>
      </c>
      <c r="X465" s="68" t="n">
        <v>0</v>
      </c>
      <c r="Y465" s="68" t="n">
        <v>0</v>
      </c>
      <c r="Z465" s="68" t="n">
        <v>0</v>
      </c>
      <c r="AA465" s="68" t="n">
        <v>0</v>
      </c>
      <c r="AB465" s="68" t="n">
        <v>0</v>
      </c>
      <c r="AC465" s="68" t="n">
        <v>0</v>
      </c>
      <c r="AD465" s="68" t="n">
        <v>0</v>
      </c>
      <c r="AE465" s="68" t="n">
        <v>0</v>
      </c>
      <c r="AF465" s="79" t="n">
        <v>0</v>
      </c>
      <c r="AG465" s="74" t="n">
        <v>0</v>
      </c>
      <c r="AH465" s="82" t="n">
        <v>463</v>
      </c>
    </row>
    <row r="466" ht="18" customHeight="1">
      <c r="C466" s="68">
        <f>_xlfn.XLOOKUP($A466,'01'!$G$3:$G$100,'01'!$R$3:$R$100,"-")</f>
        <v/>
      </c>
      <c r="D466" s="68">
        <f>_xlfn.XLOOKUP($A466,'02'!$G$3:$G$100,'02'!$R$3:$R$100,"-")</f>
        <v/>
      </c>
      <c r="E466" s="68">
        <f>_xlfn.XLOOKUP($A466,'03'!$G$3:$G$100,'03'!$R$3:$R$100,"-")</f>
        <v/>
      </c>
      <c r="F466" s="68">
        <f>_xlfn.XLOOKUP($A466,'04'!$G$3:$G$100,'04'!$R$3:$R$100,"-")</f>
        <v/>
      </c>
      <c r="G466" s="68">
        <f>_xlfn.XLOOKUP($A466,'05'!$G$3:$G$100,'05'!$R$3:$R$100,"-")</f>
        <v/>
      </c>
      <c r="H466" s="68">
        <f>_xlfn.XLOOKUP($A466,'06'!$G$3:$G$100,'06'!$R$3:$R$100,"-")</f>
        <v/>
      </c>
      <c r="I466" s="68">
        <f>_xlfn.XLOOKUP($A466,'07'!$G$3:$G$100,'07'!$R$3:$R$100,"-")</f>
        <v/>
      </c>
      <c r="J466" s="68">
        <f>_xlfn.XLOOKUP($A466,'08'!$G$3:$G$100,'08'!$R$3:$R$100,"-")</f>
        <v/>
      </c>
      <c r="K466" s="68">
        <f>_xlfn.XLOOKUP($A466,'09'!$G$3:$G$100,'09'!$R$3:$R$100,"-")</f>
        <v/>
      </c>
      <c r="L466" s="68">
        <f>_xlfn.XLOOKUP($A466,'10'!$G$3:$G$100,'10'!$R$3:$R$100,"-")</f>
        <v/>
      </c>
      <c r="M466" s="68">
        <f>_xlfn.XLOOKUP($A466,'11'!$G$3:$G$100,'11'!$R$3:$R$100,"-")</f>
        <v/>
      </c>
      <c r="N466" s="68">
        <f>_xlfn.XLOOKUP($A466,'12'!$G$3:$G$100,'12'!$R$3:$R$100,"-")</f>
        <v/>
      </c>
      <c r="O466" s="79">
        <f>SUM(C466:N466)</f>
        <v/>
      </c>
      <c r="P466" s="74" t="n"/>
      <c r="Q466" s="82" t="n">
        <v>464</v>
      </c>
      <c r="R466" s="38" t="n"/>
      <c r="S466" s="61" t="n">
        <v>0</v>
      </c>
      <c r="T466" s="68" t="n">
        <v>0</v>
      </c>
      <c r="U466" s="68" t="n">
        <v>0</v>
      </c>
      <c r="V466" s="68" t="n">
        <v>0</v>
      </c>
      <c r="W466" s="68" t="n">
        <v>0</v>
      </c>
      <c r="X466" s="68" t="n">
        <v>0</v>
      </c>
      <c r="Y466" s="68" t="n">
        <v>0</v>
      </c>
      <c r="Z466" s="68" t="n">
        <v>0</v>
      </c>
      <c r="AA466" s="68" t="n">
        <v>0</v>
      </c>
      <c r="AB466" s="68" t="n">
        <v>0</v>
      </c>
      <c r="AC466" s="68" t="n">
        <v>0</v>
      </c>
      <c r="AD466" s="68" t="n">
        <v>0</v>
      </c>
      <c r="AE466" s="68" t="n">
        <v>0</v>
      </c>
      <c r="AF466" s="79" t="n">
        <v>0</v>
      </c>
      <c r="AG466" s="74" t="n">
        <v>0</v>
      </c>
      <c r="AH466" s="82" t="n">
        <v>464</v>
      </c>
    </row>
    <row r="467" ht="18" customHeight="1">
      <c r="C467" s="68">
        <f>_xlfn.XLOOKUP($A467,'01'!$G$3:$G$100,'01'!$R$3:$R$100,"-")</f>
        <v/>
      </c>
      <c r="D467" s="68">
        <f>_xlfn.XLOOKUP($A467,'02'!$G$3:$G$100,'02'!$R$3:$R$100,"-")</f>
        <v/>
      </c>
      <c r="E467" s="68">
        <f>_xlfn.XLOOKUP($A467,'03'!$G$3:$G$100,'03'!$R$3:$R$100,"-")</f>
        <v/>
      </c>
      <c r="F467" s="68">
        <f>_xlfn.XLOOKUP($A467,'04'!$G$3:$G$100,'04'!$R$3:$R$100,"-")</f>
        <v/>
      </c>
      <c r="G467" s="68">
        <f>_xlfn.XLOOKUP($A467,'05'!$G$3:$G$100,'05'!$R$3:$R$100,"-")</f>
        <v/>
      </c>
      <c r="H467" s="68">
        <f>_xlfn.XLOOKUP($A467,'06'!$G$3:$G$100,'06'!$R$3:$R$100,"-")</f>
        <v/>
      </c>
      <c r="I467" s="68">
        <f>_xlfn.XLOOKUP($A467,'07'!$G$3:$G$100,'07'!$R$3:$R$100,"-")</f>
        <v/>
      </c>
      <c r="J467" s="68">
        <f>_xlfn.XLOOKUP($A467,'08'!$G$3:$G$100,'08'!$R$3:$R$100,"-")</f>
        <v/>
      </c>
      <c r="K467" s="68">
        <f>_xlfn.XLOOKUP($A467,'09'!$G$3:$G$100,'09'!$R$3:$R$100,"-")</f>
        <v/>
      </c>
      <c r="L467" s="68">
        <f>_xlfn.XLOOKUP($A467,'10'!$G$3:$G$100,'10'!$R$3:$R$100,"-")</f>
        <v/>
      </c>
      <c r="M467" s="68">
        <f>_xlfn.XLOOKUP($A467,'11'!$G$3:$G$100,'11'!$R$3:$R$100,"-")</f>
        <v/>
      </c>
      <c r="N467" s="68">
        <f>_xlfn.XLOOKUP($A467,'12'!$G$3:$G$100,'12'!$R$3:$R$100,"-")</f>
        <v/>
      </c>
      <c r="O467" s="79">
        <f>SUM(C467:N467)</f>
        <v/>
      </c>
      <c r="P467" s="74" t="n"/>
      <c r="Q467" s="83" t="n">
        <v>465</v>
      </c>
      <c r="R467" s="38" t="n"/>
      <c r="S467" s="61" t="n">
        <v>0</v>
      </c>
      <c r="T467" s="68" t="n">
        <v>0</v>
      </c>
      <c r="U467" s="68" t="n">
        <v>0</v>
      </c>
      <c r="V467" s="68" t="n">
        <v>0</v>
      </c>
      <c r="W467" s="68" t="n">
        <v>0</v>
      </c>
      <c r="X467" s="68" t="n">
        <v>0</v>
      </c>
      <c r="Y467" s="68" t="n">
        <v>0</v>
      </c>
      <c r="Z467" s="68" t="n">
        <v>0</v>
      </c>
      <c r="AA467" s="68" t="n">
        <v>0</v>
      </c>
      <c r="AB467" s="68" t="n">
        <v>0</v>
      </c>
      <c r="AC467" s="68" t="n">
        <v>0</v>
      </c>
      <c r="AD467" s="68" t="n">
        <v>0</v>
      </c>
      <c r="AE467" s="68" t="n">
        <v>0</v>
      </c>
      <c r="AF467" s="79" t="n">
        <v>0</v>
      </c>
      <c r="AG467" s="74" t="n">
        <v>0</v>
      </c>
      <c r="AH467" s="83" t="n">
        <v>465</v>
      </c>
    </row>
    <row r="468" ht="18" customHeight="1">
      <c r="C468" s="68">
        <f>_xlfn.XLOOKUP($A468,'01'!$G$3:$G$100,'01'!$R$3:$R$100,"-")</f>
        <v/>
      </c>
      <c r="D468" s="68">
        <f>_xlfn.XLOOKUP($A468,'02'!$G$3:$G$100,'02'!$R$3:$R$100,"-")</f>
        <v/>
      </c>
      <c r="E468" s="68">
        <f>_xlfn.XLOOKUP($A468,'03'!$G$3:$G$100,'03'!$R$3:$R$100,"-")</f>
        <v/>
      </c>
      <c r="F468" s="68">
        <f>_xlfn.XLOOKUP($A468,'04'!$G$3:$G$100,'04'!$R$3:$R$100,"-")</f>
        <v/>
      </c>
      <c r="G468" s="68">
        <f>_xlfn.XLOOKUP($A468,'05'!$G$3:$G$100,'05'!$R$3:$R$100,"-")</f>
        <v/>
      </c>
      <c r="H468" s="68">
        <f>_xlfn.XLOOKUP($A468,'06'!$G$3:$G$100,'06'!$R$3:$R$100,"-")</f>
        <v/>
      </c>
      <c r="I468" s="68">
        <f>_xlfn.XLOOKUP($A468,'07'!$G$3:$G$100,'07'!$R$3:$R$100,"-")</f>
        <v/>
      </c>
      <c r="J468" s="68">
        <f>_xlfn.XLOOKUP($A468,'08'!$G$3:$G$100,'08'!$R$3:$R$100,"-")</f>
        <v/>
      </c>
      <c r="K468" s="68">
        <f>_xlfn.XLOOKUP($A468,'09'!$G$3:$G$100,'09'!$R$3:$R$100,"-")</f>
        <v/>
      </c>
      <c r="L468" s="68">
        <f>_xlfn.XLOOKUP($A468,'10'!$G$3:$G$100,'10'!$R$3:$R$100,"-")</f>
        <v/>
      </c>
      <c r="M468" s="68">
        <f>_xlfn.XLOOKUP($A468,'11'!$G$3:$G$100,'11'!$R$3:$R$100,"-")</f>
        <v/>
      </c>
      <c r="N468" s="68">
        <f>_xlfn.XLOOKUP($A468,'12'!$G$3:$G$100,'12'!$R$3:$R$100,"-")</f>
        <v/>
      </c>
      <c r="O468" s="79">
        <f>SUM(C468:N468)</f>
        <v/>
      </c>
      <c r="P468" s="74" t="n"/>
      <c r="Q468" s="82" t="n">
        <v>466</v>
      </c>
      <c r="R468" s="38" t="n"/>
      <c r="S468" s="61" t="n">
        <v>0</v>
      </c>
      <c r="T468" s="68" t="n">
        <v>0</v>
      </c>
      <c r="U468" s="68" t="n">
        <v>0</v>
      </c>
      <c r="V468" s="68" t="n">
        <v>0</v>
      </c>
      <c r="W468" s="68" t="n">
        <v>0</v>
      </c>
      <c r="X468" s="68" t="n">
        <v>0</v>
      </c>
      <c r="Y468" s="68" t="n">
        <v>0</v>
      </c>
      <c r="Z468" s="68" t="n">
        <v>0</v>
      </c>
      <c r="AA468" s="68" t="n">
        <v>0</v>
      </c>
      <c r="AB468" s="68" t="n">
        <v>0</v>
      </c>
      <c r="AC468" s="68" t="n">
        <v>0</v>
      </c>
      <c r="AD468" s="68" t="n">
        <v>0</v>
      </c>
      <c r="AE468" s="68" t="n">
        <v>0</v>
      </c>
      <c r="AF468" s="79" t="n">
        <v>0</v>
      </c>
      <c r="AG468" s="74" t="n">
        <v>0</v>
      </c>
      <c r="AH468" s="82" t="n">
        <v>466</v>
      </c>
    </row>
    <row r="469" ht="18" customHeight="1">
      <c r="C469" s="68">
        <f>_xlfn.XLOOKUP($A469,'01'!$G$3:$G$100,'01'!$R$3:$R$100,"-")</f>
        <v/>
      </c>
      <c r="D469" s="68">
        <f>_xlfn.XLOOKUP($A469,'02'!$G$3:$G$100,'02'!$R$3:$R$100,"-")</f>
        <v/>
      </c>
      <c r="E469" s="68">
        <f>_xlfn.XLOOKUP($A469,'03'!$G$3:$G$100,'03'!$R$3:$R$100,"-")</f>
        <v/>
      </c>
      <c r="F469" s="68">
        <f>_xlfn.XLOOKUP($A469,'04'!$G$3:$G$100,'04'!$R$3:$R$100,"-")</f>
        <v/>
      </c>
      <c r="G469" s="68">
        <f>_xlfn.XLOOKUP($A469,'05'!$G$3:$G$100,'05'!$R$3:$R$100,"-")</f>
        <v/>
      </c>
      <c r="H469" s="68">
        <f>_xlfn.XLOOKUP($A469,'06'!$G$3:$G$100,'06'!$R$3:$R$100,"-")</f>
        <v/>
      </c>
      <c r="I469" s="68">
        <f>_xlfn.XLOOKUP($A469,'07'!$G$3:$G$100,'07'!$R$3:$R$100,"-")</f>
        <v/>
      </c>
      <c r="J469" s="68">
        <f>_xlfn.XLOOKUP($A469,'08'!$G$3:$G$100,'08'!$R$3:$R$100,"-")</f>
        <v/>
      </c>
      <c r="K469" s="68">
        <f>_xlfn.XLOOKUP($A469,'09'!$G$3:$G$100,'09'!$R$3:$R$100,"-")</f>
        <v/>
      </c>
      <c r="L469" s="68">
        <f>_xlfn.XLOOKUP($A469,'10'!$G$3:$G$100,'10'!$R$3:$R$100,"-")</f>
        <v/>
      </c>
      <c r="M469" s="68">
        <f>_xlfn.XLOOKUP($A469,'11'!$G$3:$G$100,'11'!$R$3:$R$100,"-")</f>
        <v/>
      </c>
      <c r="N469" s="68">
        <f>_xlfn.XLOOKUP($A469,'12'!$G$3:$G$100,'12'!$R$3:$R$100,"-")</f>
        <v/>
      </c>
      <c r="O469" s="79">
        <f>SUM(C469:N469)</f>
        <v/>
      </c>
      <c r="P469" s="74" t="n"/>
      <c r="Q469" s="82" t="n">
        <v>467</v>
      </c>
      <c r="R469" s="38" t="n"/>
      <c r="S469" s="61" t="n">
        <v>0</v>
      </c>
      <c r="T469" s="68" t="n">
        <v>0</v>
      </c>
      <c r="U469" s="68" t="n">
        <v>0</v>
      </c>
      <c r="V469" s="68" t="n">
        <v>0</v>
      </c>
      <c r="W469" s="68" t="n">
        <v>0</v>
      </c>
      <c r="X469" s="68" t="n">
        <v>0</v>
      </c>
      <c r="Y469" s="68" t="n">
        <v>0</v>
      </c>
      <c r="Z469" s="68" t="n">
        <v>0</v>
      </c>
      <c r="AA469" s="68" t="n">
        <v>0</v>
      </c>
      <c r="AB469" s="68" t="n">
        <v>0</v>
      </c>
      <c r="AC469" s="68" t="n">
        <v>0</v>
      </c>
      <c r="AD469" s="68" t="n">
        <v>0</v>
      </c>
      <c r="AE469" s="68" t="n">
        <v>0</v>
      </c>
      <c r="AF469" s="79" t="n">
        <v>0</v>
      </c>
      <c r="AG469" s="74" t="n">
        <v>0</v>
      </c>
      <c r="AH469" s="82" t="n">
        <v>467</v>
      </c>
    </row>
    <row r="470" ht="18" customHeight="1">
      <c r="C470" s="68">
        <f>_xlfn.XLOOKUP($A470,'01'!$G$3:$G$100,'01'!$R$3:$R$100,"-")</f>
        <v/>
      </c>
      <c r="D470" s="68">
        <f>_xlfn.XLOOKUP($A470,'02'!$G$3:$G$100,'02'!$R$3:$R$100,"-")</f>
        <v/>
      </c>
      <c r="E470" s="68">
        <f>_xlfn.XLOOKUP($A470,'03'!$G$3:$G$100,'03'!$R$3:$R$100,"-")</f>
        <v/>
      </c>
      <c r="F470" s="68">
        <f>_xlfn.XLOOKUP($A470,'04'!$G$3:$G$100,'04'!$R$3:$R$100,"-")</f>
        <v/>
      </c>
      <c r="G470" s="68">
        <f>_xlfn.XLOOKUP($A470,'05'!$G$3:$G$100,'05'!$R$3:$R$100,"-")</f>
        <v/>
      </c>
      <c r="H470" s="68">
        <f>_xlfn.XLOOKUP($A470,'06'!$G$3:$G$100,'06'!$R$3:$R$100,"-")</f>
        <v/>
      </c>
      <c r="I470" s="68">
        <f>_xlfn.XLOOKUP($A470,'07'!$G$3:$G$100,'07'!$R$3:$R$100,"-")</f>
        <v/>
      </c>
      <c r="J470" s="68">
        <f>_xlfn.XLOOKUP($A470,'08'!$G$3:$G$100,'08'!$R$3:$R$100,"-")</f>
        <v/>
      </c>
      <c r="K470" s="68">
        <f>_xlfn.XLOOKUP($A470,'09'!$G$3:$G$100,'09'!$R$3:$R$100,"-")</f>
        <v/>
      </c>
      <c r="L470" s="68">
        <f>_xlfn.XLOOKUP($A470,'10'!$G$3:$G$100,'10'!$R$3:$R$100,"-")</f>
        <v/>
      </c>
      <c r="M470" s="68">
        <f>_xlfn.XLOOKUP($A470,'11'!$G$3:$G$100,'11'!$R$3:$R$100,"-")</f>
        <v/>
      </c>
      <c r="N470" s="68">
        <f>_xlfn.XLOOKUP($A470,'12'!$G$3:$G$100,'12'!$R$3:$R$100,"-")</f>
        <v/>
      </c>
      <c r="O470" s="79">
        <f>SUM(C470:N470)</f>
        <v/>
      </c>
      <c r="P470" s="74" t="n"/>
      <c r="Q470" s="82" t="n">
        <v>468</v>
      </c>
      <c r="R470" s="38" t="n"/>
      <c r="S470" s="61" t="n">
        <v>0</v>
      </c>
      <c r="T470" s="68" t="n">
        <v>0</v>
      </c>
      <c r="U470" s="68" t="n">
        <v>0</v>
      </c>
      <c r="V470" s="68" t="n">
        <v>0</v>
      </c>
      <c r="W470" s="68" t="n">
        <v>0</v>
      </c>
      <c r="X470" s="68" t="n">
        <v>0</v>
      </c>
      <c r="Y470" s="68" t="n">
        <v>0</v>
      </c>
      <c r="Z470" s="68" t="n">
        <v>0</v>
      </c>
      <c r="AA470" s="68" t="n">
        <v>0</v>
      </c>
      <c r="AB470" s="68" t="n">
        <v>0</v>
      </c>
      <c r="AC470" s="68" t="n">
        <v>0</v>
      </c>
      <c r="AD470" s="68" t="n">
        <v>0</v>
      </c>
      <c r="AE470" s="68" t="n">
        <v>0</v>
      </c>
      <c r="AF470" s="79" t="n">
        <v>0</v>
      </c>
      <c r="AG470" s="74" t="n">
        <v>0</v>
      </c>
      <c r="AH470" s="82" t="n">
        <v>468</v>
      </c>
    </row>
    <row r="471" ht="18" customHeight="1">
      <c r="C471" s="68">
        <f>_xlfn.XLOOKUP($A471,'01'!$G$3:$G$100,'01'!$R$3:$R$100,"-")</f>
        <v/>
      </c>
      <c r="D471" s="68">
        <f>_xlfn.XLOOKUP($A471,'02'!$G$3:$G$100,'02'!$R$3:$R$100,"-")</f>
        <v/>
      </c>
      <c r="E471" s="68">
        <f>_xlfn.XLOOKUP($A471,'03'!$G$3:$G$100,'03'!$R$3:$R$100,"-")</f>
        <v/>
      </c>
      <c r="F471" s="68">
        <f>_xlfn.XLOOKUP($A471,'04'!$G$3:$G$100,'04'!$R$3:$R$100,"-")</f>
        <v/>
      </c>
      <c r="G471" s="68">
        <f>_xlfn.XLOOKUP($A471,'05'!$G$3:$G$100,'05'!$R$3:$R$100,"-")</f>
        <v/>
      </c>
      <c r="H471" s="68">
        <f>_xlfn.XLOOKUP($A471,'06'!$G$3:$G$100,'06'!$R$3:$R$100,"-")</f>
        <v/>
      </c>
      <c r="I471" s="68">
        <f>_xlfn.XLOOKUP($A471,'07'!$G$3:$G$100,'07'!$R$3:$R$100,"-")</f>
        <v/>
      </c>
      <c r="J471" s="68">
        <f>_xlfn.XLOOKUP($A471,'08'!$G$3:$G$100,'08'!$R$3:$R$100,"-")</f>
        <v/>
      </c>
      <c r="K471" s="68">
        <f>_xlfn.XLOOKUP($A471,'09'!$G$3:$G$100,'09'!$R$3:$R$100,"-")</f>
        <v/>
      </c>
      <c r="L471" s="68">
        <f>_xlfn.XLOOKUP($A471,'10'!$G$3:$G$100,'10'!$R$3:$R$100,"-")</f>
        <v/>
      </c>
      <c r="M471" s="68">
        <f>_xlfn.XLOOKUP($A471,'11'!$G$3:$G$100,'11'!$R$3:$R$100,"-")</f>
        <v/>
      </c>
      <c r="N471" s="68">
        <f>_xlfn.XLOOKUP($A471,'12'!$G$3:$G$100,'12'!$R$3:$R$100,"-")</f>
        <v/>
      </c>
      <c r="O471" s="79">
        <f>SUM(C471:N471)</f>
        <v/>
      </c>
      <c r="P471" s="74" t="n"/>
      <c r="Q471" s="82" t="n">
        <v>469</v>
      </c>
      <c r="R471" s="38" t="n"/>
      <c r="S471" s="61" t="n">
        <v>0</v>
      </c>
      <c r="T471" s="68" t="n">
        <v>0</v>
      </c>
      <c r="U471" s="68" t="n">
        <v>0</v>
      </c>
      <c r="V471" s="68" t="n">
        <v>0</v>
      </c>
      <c r="W471" s="68" t="n">
        <v>0</v>
      </c>
      <c r="X471" s="68" t="n">
        <v>0</v>
      </c>
      <c r="Y471" s="68" t="n">
        <v>0</v>
      </c>
      <c r="Z471" s="68" t="n">
        <v>0</v>
      </c>
      <c r="AA471" s="68" t="n">
        <v>0</v>
      </c>
      <c r="AB471" s="68" t="n">
        <v>0</v>
      </c>
      <c r="AC471" s="68" t="n">
        <v>0</v>
      </c>
      <c r="AD471" s="68" t="n">
        <v>0</v>
      </c>
      <c r="AE471" s="68" t="n">
        <v>0</v>
      </c>
      <c r="AF471" s="79" t="n">
        <v>0</v>
      </c>
      <c r="AG471" s="74" t="n">
        <v>0</v>
      </c>
      <c r="AH471" s="82" t="n">
        <v>469</v>
      </c>
    </row>
    <row r="472" ht="18" customHeight="1">
      <c r="C472" s="68">
        <f>_xlfn.XLOOKUP($A472,'01'!$G$3:$G$100,'01'!$R$3:$R$100,"-")</f>
        <v/>
      </c>
      <c r="D472" s="68">
        <f>_xlfn.XLOOKUP($A472,'02'!$G$3:$G$100,'02'!$R$3:$R$100,"-")</f>
        <v/>
      </c>
      <c r="E472" s="68">
        <f>_xlfn.XLOOKUP($A472,'03'!$G$3:$G$100,'03'!$R$3:$R$100,"-")</f>
        <v/>
      </c>
      <c r="F472" s="68">
        <f>_xlfn.XLOOKUP($A472,'04'!$G$3:$G$100,'04'!$R$3:$R$100,"-")</f>
        <v/>
      </c>
      <c r="G472" s="68">
        <f>_xlfn.XLOOKUP($A472,'05'!$G$3:$G$100,'05'!$R$3:$R$100,"-")</f>
        <v/>
      </c>
      <c r="H472" s="68">
        <f>_xlfn.XLOOKUP($A472,'06'!$G$3:$G$100,'06'!$R$3:$R$100,"-")</f>
        <v/>
      </c>
      <c r="I472" s="68">
        <f>_xlfn.XLOOKUP($A472,'07'!$G$3:$G$100,'07'!$R$3:$R$100,"-")</f>
        <v/>
      </c>
      <c r="J472" s="68">
        <f>_xlfn.XLOOKUP($A472,'08'!$G$3:$G$100,'08'!$R$3:$R$100,"-")</f>
        <v/>
      </c>
      <c r="K472" s="68">
        <f>_xlfn.XLOOKUP($A472,'09'!$G$3:$G$100,'09'!$R$3:$R$100,"-")</f>
        <v/>
      </c>
      <c r="L472" s="68">
        <f>_xlfn.XLOOKUP($A472,'10'!$G$3:$G$100,'10'!$R$3:$R$100,"-")</f>
        <v/>
      </c>
      <c r="M472" s="68">
        <f>_xlfn.XLOOKUP($A472,'11'!$G$3:$G$100,'11'!$R$3:$R$100,"-")</f>
        <v/>
      </c>
      <c r="N472" s="68">
        <f>_xlfn.XLOOKUP($A472,'12'!$G$3:$G$100,'12'!$R$3:$R$100,"-")</f>
        <v/>
      </c>
      <c r="O472" s="79">
        <f>SUM(C472:N472)</f>
        <v/>
      </c>
      <c r="P472" s="74" t="n"/>
      <c r="Q472" s="82" t="n">
        <v>470</v>
      </c>
      <c r="R472" s="38" t="n"/>
      <c r="S472" s="61" t="n">
        <v>0</v>
      </c>
      <c r="T472" s="68" t="n">
        <v>0</v>
      </c>
      <c r="U472" s="68" t="n">
        <v>0</v>
      </c>
      <c r="V472" s="68" t="n">
        <v>0</v>
      </c>
      <c r="W472" s="68" t="n">
        <v>0</v>
      </c>
      <c r="X472" s="68" t="n">
        <v>0</v>
      </c>
      <c r="Y472" s="68" t="n">
        <v>0</v>
      </c>
      <c r="Z472" s="68" t="n">
        <v>0</v>
      </c>
      <c r="AA472" s="68" t="n">
        <v>0</v>
      </c>
      <c r="AB472" s="68" t="n">
        <v>0</v>
      </c>
      <c r="AC472" s="68" t="n">
        <v>0</v>
      </c>
      <c r="AD472" s="68" t="n">
        <v>0</v>
      </c>
      <c r="AE472" s="68" t="n">
        <v>0</v>
      </c>
      <c r="AF472" s="79" t="n">
        <v>0</v>
      </c>
      <c r="AG472" s="74" t="n">
        <v>0</v>
      </c>
      <c r="AH472" s="82" t="n">
        <v>470</v>
      </c>
    </row>
    <row r="473" ht="18" customHeight="1">
      <c r="C473" s="68">
        <f>_xlfn.XLOOKUP($A473,'01'!$G$3:$G$100,'01'!$R$3:$R$100,"-")</f>
        <v/>
      </c>
      <c r="D473" s="68">
        <f>_xlfn.XLOOKUP($A473,'02'!$G$3:$G$100,'02'!$R$3:$R$100,"-")</f>
        <v/>
      </c>
      <c r="E473" s="68">
        <f>_xlfn.XLOOKUP($A473,'03'!$G$3:$G$100,'03'!$R$3:$R$100,"-")</f>
        <v/>
      </c>
      <c r="F473" s="68">
        <f>_xlfn.XLOOKUP($A473,'04'!$G$3:$G$100,'04'!$R$3:$R$100,"-")</f>
        <v/>
      </c>
      <c r="G473" s="68">
        <f>_xlfn.XLOOKUP($A473,'05'!$G$3:$G$100,'05'!$R$3:$R$100,"-")</f>
        <v/>
      </c>
      <c r="H473" s="68">
        <f>_xlfn.XLOOKUP($A473,'06'!$G$3:$G$100,'06'!$R$3:$R$100,"-")</f>
        <v/>
      </c>
      <c r="I473" s="68">
        <f>_xlfn.XLOOKUP($A473,'07'!$G$3:$G$100,'07'!$R$3:$R$100,"-")</f>
        <v/>
      </c>
      <c r="J473" s="68">
        <f>_xlfn.XLOOKUP($A473,'08'!$G$3:$G$100,'08'!$R$3:$R$100,"-")</f>
        <v/>
      </c>
      <c r="K473" s="68">
        <f>_xlfn.XLOOKUP($A473,'09'!$G$3:$G$100,'09'!$R$3:$R$100,"-")</f>
        <v/>
      </c>
      <c r="L473" s="68">
        <f>_xlfn.XLOOKUP($A473,'10'!$G$3:$G$100,'10'!$R$3:$R$100,"-")</f>
        <v/>
      </c>
      <c r="M473" s="68">
        <f>_xlfn.XLOOKUP($A473,'11'!$G$3:$G$100,'11'!$R$3:$R$100,"-")</f>
        <v/>
      </c>
      <c r="N473" s="68">
        <f>_xlfn.XLOOKUP($A473,'12'!$G$3:$G$100,'12'!$R$3:$R$100,"-")</f>
        <v/>
      </c>
      <c r="O473" s="79">
        <f>SUM(C473:N473)</f>
        <v/>
      </c>
      <c r="P473" s="74" t="n"/>
      <c r="Q473" s="82" t="n">
        <v>471</v>
      </c>
      <c r="R473" s="38" t="n"/>
      <c r="S473" s="61" t="n">
        <v>0</v>
      </c>
      <c r="T473" s="68" t="n">
        <v>0</v>
      </c>
      <c r="U473" s="68" t="n">
        <v>0</v>
      </c>
      <c r="V473" s="68" t="n">
        <v>0</v>
      </c>
      <c r="W473" s="68" t="n">
        <v>0</v>
      </c>
      <c r="X473" s="68" t="n">
        <v>0</v>
      </c>
      <c r="Y473" s="68" t="n">
        <v>0</v>
      </c>
      <c r="Z473" s="68" t="n">
        <v>0</v>
      </c>
      <c r="AA473" s="68" t="n">
        <v>0</v>
      </c>
      <c r="AB473" s="68" t="n">
        <v>0</v>
      </c>
      <c r="AC473" s="68" t="n">
        <v>0</v>
      </c>
      <c r="AD473" s="68" t="n">
        <v>0</v>
      </c>
      <c r="AE473" s="68" t="n">
        <v>0</v>
      </c>
      <c r="AF473" s="79" t="n">
        <v>0</v>
      </c>
      <c r="AG473" s="74" t="n">
        <v>0</v>
      </c>
      <c r="AH473" s="82" t="n">
        <v>471</v>
      </c>
    </row>
    <row r="474" ht="18" customHeight="1">
      <c r="C474" s="68">
        <f>_xlfn.XLOOKUP($A474,'01'!$G$3:$G$100,'01'!$R$3:$R$100,"-")</f>
        <v/>
      </c>
      <c r="D474" s="68">
        <f>_xlfn.XLOOKUP($A474,'02'!$G$3:$G$100,'02'!$R$3:$R$100,"-")</f>
        <v/>
      </c>
      <c r="E474" s="68">
        <f>_xlfn.XLOOKUP($A474,'03'!$G$3:$G$100,'03'!$R$3:$R$100,"-")</f>
        <v/>
      </c>
      <c r="F474" s="68">
        <f>_xlfn.XLOOKUP($A474,'04'!$G$3:$G$100,'04'!$R$3:$R$100,"-")</f>
        <v/>
      </c>
      <c r="G474" s="68">
        <f>_xlfn.XLOOKUP($A474,'05'!$G$3:$G$100,'05'!$R$3:$R$100,"-")</f>
        <v/>
      </c>
      <c r="H474" s="68">
        <f>_xlfn.XLOOKUP($A474,'06'!$G$3:$G$100,'06'!$R$3:$R$100,"-")</f>
        <v/>
      </c>
      <c r="I474" s="68">
        <f>_xlfn.XLOOKUP($A474,'07'!$G$3:$G$100,'07'!$R$3:$R$100,"-")</f>
        <v/>
      </c>
      <c r="J474" s="68">
        <f>_xlfn.XLOOKUP($A474,'08'!$G$3:$G$100,'08'!$R$3:$R$100,"-")</f>
        <v/>
      </c>
      <c r="K474" s="68">
        <f>_xlfn.XLOOKUP($A474,'09'!$G$3:$G$100,'09'!$R$3:$R$100,"-")</f>
        <v/>
      </c>
      <c r="L474" s="68">
        <f>_xlfn.XLOOKUP($A474,'10'!$G$3:$G$100,'10'!$R$3:$R$100,"-")</f>
        <v/>
      </c>
      <c r="M474" s="68">
        <f>_xlfn.XLOOKUP($A474,'11'!$G$3:$G$100,'11'!$R$3:$R$100,"-")</f>
        <v/>
      </c>
      <c r="N474" s="68">
        <f>_xlfn.XLOOKUP($A474,'12'!$G$3:$G$100,'12'!$R$3:$R$100,"-")</f>
        <v/>
      </c>
      <c r="O474" s="79">
        <f>SUM(C474:N474)</f>
        <v/>
      </c>
      <c r="P474" s="74" t="n"/>
      <c r="Q474" s="82" t="n">
        <v>472</v>
      </c>
      <c r="R474" s="38" t="n"/>
      <c r="S474" s="61" t="n">
        <v>0</v>
      </c>
      <c r="T474" s="68" t="n">
        <v>0</v>
      </c>
      <c r="U474" s="68" t="n">
        <v>0</v>
      </c>
      <c r="V474" s="68" t="n">
        <v>0</v>
      </c>
      <c r="W474" s="68" t="n">
        <v>0</v>
      </c>
      <c r="X474" s="68" t="n">
        <v>0</v>
      </c>
      <c r="Y474" s="68" t="n">
        <v>0</v>
      </c>
      <c r="Z474" s="68" t="n">
        <v>0</v>
      </c>
      <c r="AA474" s="68" t="n">
        <v>0</v>
      </c>
      <c r="AB474" s="68" t="n">
        <v>0</v>
      </c>
      <c r="AC474" s="68" t="n">
        <v>0</v>
      </c>
      <c r="AD474" s="68" t="n">
        <v>0</v>
      </c>
      <c r="AE474" s="68" t="n">
        <v>0</v>
      </c>
      <c r="AF474" s="79" t="n">
        <v>0</v>
      </c>
      <c r="AG474" s="74" t="n">
        <v>0</v>
      </c>
      <c r="AH474" s="82" t="n">
        <v>472</v>
      </c>
    </row>
    <row r="475" ht="18" customHeight="1">
      <c r="C475" s="68">
        <f>_xlfn.XLOOKUP($A475,'01'!$G$3:$G$100,'01'!$R$3:$R$100,"-")</f>
        <v/>
      </c>
      <c r="D475" s="68">
        <f>_xlfn.XLOOKUP($A475,'02'!$G$3:$G$100,'02'!$R$3:$R$100,"-")</f>
        <v/>
      </c>
      <c r="E475" s="68">
        <f>_xlfn.XLOOKUP($A475,'03'!$G$3:$G$100,'03'!$R$3:$R$100,"-")</f>
        <v/>
      </c>
      <c r="F475" s="68">
        <f>_xlfn.XLOOKUP($A475,'04'!$G$3:$G$100,'04'!$R$3:$R$100,"-")</f>
        <v/>
      </c>
      <c r="G475" s="68">
        <f>_xlfn.XLOOKUP($A475,'05'!$G$3:$G$100,'05'!$R$3:$R$100,"-")</f>
        <v/>
      </c>
      <c r="H475" s="68">
        <f>_xlfn.XLOOKUP($A475,'06'!$G$3:$G$100,'06'!$R$3:$R$100,"-")</f>
        <v/>
      </c>
      <c r="I475" s="68">
        <f>_xlfn.XLOOKUP($A475,'07'!$G$3:$G$100,'07'!$R$3:$R$100,"-")</f>
        <v/>
      </c>
      <c r="J475" s="68">
        <f>_xlfn.XLOOKUP($A475,'08'!$G$3:$G$100,'08'!$R$3:$R$100,"-")</f>
        <v/>
      </c>
      <c r="K475" s="68">
        <f>_xlfn.XLOOKUP($A475,'09'!$G$3:$G$100,'09'!$R$3:$R$100,"-")</f>
        <v/>
      </c>
      <c r="L475" s="68">
        <f>_xlfn.XLOOKUP($A475,'10'!$G$3:$G$100,'10'!$R$3:$R$100,"-")</f>
        <v/>
      </c>
      <c r="M475" s="68">
        <f>_xlfn.XLOOKUP($A475,'11'!$G$3:$G$100,'11'!$R$3:$R$100,"-")</f>
        <v/>
      </c>
      <c r="N475" s="68">
        <f>_xlfn.XLOOKUP($A475,'12'!$G$3:$G$100,'12'!$R$3:$R$100,"-")</f>
        <v/>
      </c>
      <c r="O475" s="79">
        <f>SUM(C475:N475)</f>
        <v/>
      </c>
      <c r="P475" s="74" t="n"/>
      <c r="Q475" s="82" t="n">
        <v>473</v>
      </c>
      <c r="R475" s="38" t="n"/>
      <c r="S475" s="61" t="n">
        <v>0</v>
      </c>
      <c r="T475" s="68" t="n">
        <v>0</v>
      </c>
      <c r="U475" s="68" t="n">
        <v>0</v>
      </c>
      <c r="V475" s="68" t="n">
        <v>0</v>
      </c>
      <c r="W475" s="68" t="n">
        <v>0</v>
      </c>
      <c r="X475" s="68" t="n">
        <v>0</v>
      </c>
      <c r="Y475" s="68" t="n">
        <v>0</v>
      </c>
      <c r="Z475" s="68" t="n">
        <v>0</v>
      </c>
      <c r="AA475" s="68" t="n">
        <v>0</v>
      </c>
      <c r="AB475" s="68" t="n">
        <v>0</v>
      </c>
      <c r="AC475" s="68" t="n">
        <v>0</v>
      </c>
      <c r="AD475" s="68" t="n">
        <v>0</v>
      </c>
      <c r="AE475" s="68" t="n">
        <v>0</v>
      </c>
      <c r="AF475" s="79" t="n">
        <v>0</v>
      </c>
      <c r="AG475" s="74" t="n">
        <v>0</v>
      </c>
      <c r="AH475" s="82" t="n">
        <v>473</v>
      </c>
    </row>
    <row r="476" ht="18" customHeight="1">
      <c r="C476" s="68">
        <f>_xlfn.XLOOKUP($A476,'01'!$G$3:$G$100,'01'!$R$3:$R$100,"-")</f>
        <v/>
      </c>
      <c r="D476" s="68">
        <f>_xlfn.XLOOKUP($A476,'02'!$G$3:$G$100,'02'!$R$3:$R$100,"-")</f>
        <v/>
      </c>
      <c r="E476" s="68">
        <f>_xlfn.XLOOKUP($A476,'03'!$G$3:$G$100,'03'!$R$3:$R$100,"-")</f>
        <v/>
      </c>
      <c r="F476" s="68">
        <f>_xlfn.XLOOKUP($A476,'04'!$G$3:$G$100,'04'!$R$3:$R$100,"-")</f>
        <v/>
      </c>
      <c r="G476" s="68">
        <f>_xlfn.XLOOKUP($A476,'05'!$G$3:$G$100,'05'!$R$3:$R$100,"-")</f>
        <v/>
      </c>
      <c r="H476" s="68">
        <f>_xlfn.XLOOKUP($A476,'06'!$G$3:$G$100,'06'!$R$3:$R$100,"-")</f>
        <v/>
      </c>
      <c r="I476" s="68">
        <f>_xlfn.XLOOKUP($A476,'07'!$G$3:$G$100,'07'!$R$3:$R$100,"-")</f>
        <v/>
      </c>
      <c r="J476" s="68">
        <f>_xlfn.XLOOKUP($A476,'08'!$G$3:$G$100,'08'!$R$3:$R$100,"-")</f>
        <v/>
      </c>
      <c r="K476" s="68">
        <f>_xlfn.XLOOKUP($A476,'09'!$G$3:$G$100,'09'!$R$3:$R$100,"-")</f>
        <v/>
      </c>
      <c r="L476" s="68">
        <f>_xlfn.XLOOKUP($A476,'10'!$G$3:$G$100,'10'!$R$3:$R$100,"-")</f>
        <v/>
      </c>
      <c r="M476" s="68">
        <f>_xlfn.XLOOKUP($A476,'11'!$G$3:$G$100,'11'!$R$3:$R$100,"-")</f>
        <v/>
      </c>
      <c r="N476" s="68">
        <f>_xlfn.XLOOKUP($A476,'12'!$G$3:$G$100,'12'!$R$3:$R$100,"-")</f>
        <v/>
      </c>
      <c r="O476" s="79">
        <f>SUM(C476:N476)</f>
        <v/>
      </c>
      <c r="P476" s="74" t="n"/>
      <c r="Q476" s="82" t="n">
        <v>474</v>
      </c>
      <c r="R476" s="38" t="n"/>
      <c r="S476" s="61" t="n">
        <v>0</v>
      </c>
      <c r="T476" s="68" t="n">
        <v>0</v>
      </c>
      <c r="U476" s="68" t="n">
        <v>0</v>
      </c>
      <c r="V476" s="68" t="n">
        <v>0</v>
      </c>
      <c r="W476" s="68" t="n">
        <v>0</v>
      </c>
      <c r="X476" s="68" t="n">
        <v>0</v>
      </c>
      <c r="Y476" s="68" t="n">
        <v>0</v>
      </c>
      <c r="Z476" s="68" t="n">
        <v>0</v>
      </c>
      <c r="AA476" s="68" t="n">
        <v>0</v>
      </c>
      <c r="AB476" s="68" t="n">
        <v>0</v>
      </c>
      <c r="AC476" s="68" t="n">
        <v>0</v>
      </c>
      <c r="AD476" s="68" t="n">
        <v>0</v>
      </c>
      <c r="AE476" s="68" t="n">
        <v>0</v>
      </c>
      <c r="AF476" s="79" t="n">
        <v>0</v>
      </c>
      <c r="AG476" s="74" t="n">
        <v>0</v>
      </c>
      <c r="AH476" s="82" t="n">
        <v>474</v>
      </c>
    </row>
    <row r="477" ht="18" customHeight="1">
      <c r="C477" s="68">
        <f>_xlfn.XLOOKUP($A477,'01'!$G$3:$G$100,'01'!$R$3:$R$100,"-")</f>
        <v/>
      </c>
      <c r="D477" s="68">
        <f>_xlfn.XLOOKUP($A477,'02'!$G$3:$G$100,'02'!$R$3:$R$100,"-")</f>
        <v/>
      </c>
      <c r="E477" s="68">
        <f>_xlfn.XLOOKUP($A477,'03'!$G$3:$G$100,'03'!$R$3:$R$100,"-")</f>
        <v/>
      </c>
      <c r="F477" s="68">
        <f>_xlfn.XLOOKUP($A477,'04'!$G$3:$G$100,'04'!$R$3:$R$100,"-")</f>
        <v/>
      </c>
      <c r="G477" s="68">
        <f>_xlfn.XLOOKUP($A477,'05'!$G$3:$G$100,'05'!$R$3:$R$100,"-")</f>
        <v/>
      </c>
      <c r="H477" s="68">
        <f>_xlfn.XLOOKUP($A477,'06'!$G$3:$G$100,'06'!$R$3:$R$100,"-")</f>
        <v/>
      </c>
      <c r="I477" s="68">
        <f>_xlfn.XLOOKUP($A477,'07'!$G$3:$G$100,'07'!$R$3:$R$100,"-")</f>
        <v/>
      </c>
      <c r="J477" s="68">
        <f>_xlfn.XLOOKUP($A477,'08'!$G$3:$G$100,'08'!$R$3:$R$100,"-")</f>
        <v/>
      </c>
      <c r="K477" s="68">
        <f>_xlfn.XLOOKUP($A477,'09'!$G$3:$G$100,'09'!$R$3:$R$100,"-")</f>
        <v/>
      </c>
      <c r="L477" s="68">
        <f>_xlfn.XLOOKUP($A477,'10'!$G$3:$G$100,'10'!$R$3:$R$100,"-")</f>
        <v/>
      </c>
      <c r="M477" s="68">
        <f>_xlfn.XLOOKUP($A477,'11'!$G$3:$G$100,'11'!$R$3:$R$100,"-")</f>
        <v/>
      </c>
      <c r="N477" s="68">
        <f>_xlfn.XLOOKUP($A477,'12'!$G$3:$G$100,'12'!$R$3:$R$100,"-")</f>
        <v/>
      </c>
      <c r="O477" s="79">
        <f>SUM(C477:N477)</f>
        <v/>
      </c>
      <c r="P477" s="74" t="n"/>
      <c r="Q477" s="83" t="n">
        <v>475</v>
      </c>
      <c r="R477" s="38" t="n"/>
      <c r="S477" s="61" t="n">
        <v>0</v>
      </c>
      <c r="T477" s="68" t="n">
        <v>0</v>
      </c>
      <c r="U477" s="68" t="n">
        <v>0</v>
      </c>
      <c r="V477" s="68" t="n">
        <v>0</v>
      </c>
      <c r="W477" s="68" t="n">
        <v>0</v>
      </c>
      <c r="X477" s="68" t="n">
        <v>0</v>
      </c>
      <c r="Y477" s="68" t="n">
        <v>0</v>
      </c>
      <c r="Z477" s="68" t="n">
        <v>0</v>
      </c>
      <c r="AA477" s="68" t="n">
        <v>0</v>
      </c>
      <c r="AB477" s="68" t="n">
        <v>0</v>
      </c>
      <c r="AC477" s="68" t="n">
        <v>0</v>
      </c>
      <c r="AD477" s="68" t="n">
        <v>0</v>
      </c>
      <c r="AE477" s="68" t="n">
        <v>0</v>
      </c>
      <c r="AF477" s="79" t="n">
        <v>0</v>
      </c>
      <c r="AG477" s="74" t="n">
        <v>0</v>
      </c>
      <c r="AH477" s="83" t="n">
        <v>475</v>
      </c>
    </row>
    <row r="478" ht="18" customHeight="1">
      <c r="C478" s="68">
        <f>_xlfn.XLOOKUP($A478,'01'!$G$3:$G$100,'01'!$R$3:$R$100,"-")</f>
        <v/>
      </c>
      <c r="D478" s="68">
        <f>_xlfn.XLOOKUP($A478,'02'!$G$3:$G$100,'02'!$R$3:$R$100,"-")</f>
        <v/>
      </c>
      <c r="E478" s="68">
        <f>_xlfn.XLOOKUP($A478,'03'!$G$3:$G$100,'03'!$R$3:$R$100,"-")</f>
        <v/>
      </c>
      <c r="F478" s="68">
        <f>_xlfn.XLOOKUP($A478,'04'!$G$3:$G$100,'04'!$R$3:$R$100,"-")</f>
        <v/>
      </c>
      <c r="G478" s="68">
        <f>_xlfn.XLOOKUP($A478,'05'!$G$3:$G$100,'05'!$R$3:$R$100,"-")</f>
        <v/>
      </c>
      <c r="H478" s="68">
        <f>_xlfn.XLOOKUP($A478,'06'!$G$3:$G$100,'06'!$R$3:$R$100,"-")</f>
        <v/>
      </c>
      <c r="I478" s="68">
        <f>_xlfn.XLOOKUP($A478,'07'!$G$3:$G$100,'07'!$R$3:$R$100,"-")</f>
        <v/>
      </c>
      <c r="J478" s="68">
        <f>_xlfn.XLOOKUP($A478,'08'!$G$3:$G$100,'08'!$R$3:$R$100,"-")</f>
        <v/>
      </c>
      <c r="K478" s="68">
        <f>_xlfn.XLOOKUP($A478,'09'!$G$3:$G$100,'09'!$R$3:$R$100,"-")</f>
        <v/>
      </c>
      <c r="L478" s="68">
        <f>_xlfn.XLOOKUP($A478,'10'!$G$3:$G$100,'10'!$R$3:$R$100,"-")</f>
        <v/>
      </c>
      <c r="M478" s="68">
        <f>_xlfn.XLOOKUP($A478,'11'!$G$3:$G$100,'11'!$R$3:$R$100,"-")</f>
        <v/>
      </c>
      <c r="N478" s="68">
        <f>_xlfn.XLOOKUP($A478,'12'!$G$3:$G$100,'12'!$R$3:$R$100,"-")</f>
        <v/>
      </c>
      <c r="O478" s="79">
        <f>SUM(C478:N478)</f>
        <v/>
      </c>
      <c r="P478" s="74" t="n"/>
      <c r="Q478" s="82" t="n">
        <v>476</v>
      </c>
      <c r="R478" s="38" t="n"/>
      <c r="S478" s="61" t="n">
        <v>0</v>
      </c>
      <c r="T478" s="68" t="n">
        <v>0</v>
      </c>
      <c r="U478" s="68" t="n">
        <v>0</v>
      </c>
      <c r="V478" s="68" t="n">
        <v>0</v>
      </c>
      <c r="W478" s="68" t="n">
        <v>0</v>
      </c>
      <c r="X478" s="68" t="n">
        <v>0</v>
      </c>
      <c r="Y478" s="68" t="n">
        <v>0</v>
      </c>
      <c r="Z478" s="68" t="n">
        <v>0</v>
      </c>
      <c r="AA478" s="68" t="n">
        <v>0</v>
      </c>
      <c r="AB478" s="68" t="n">
        <v>0</v>
      </c>
      <c r="AC478" s="68" t="n">
        <v>0</v>
      </c>
      <c r="AD478" s="68" t="n">
        <v>0</v>
      </c>
      <c r="AE478" s="68" t="n">
        <v>0</v>
      </c>
      <c r="AF478" s="79" t="n">
        <v>0</v>
      </c>
      <c r="AG478" s="74" t="n">
        <v>0</v>
      </c>
      <c r="AH478" s="82" t="n">
        <v>476</v>
      </c>
    </row>
    <row r="479" ht="18" customHeight="1">
      <c r="C479" s="68">
        <f>_xlfn.XLOOKUP($A479,'01'!$G$3:$G$100,'01'!$R$3:$R$100,"-")</f>
        <v/>
      </c>
      <c r="D479" s="68">
        <f>_xlfn.XLOOKUP($A479,'02'!$G$3:$G$100,'02'!$R$3:$R$100,"-")</f>
        <v/>
      </c>
      <c r="E479" s="68">
        <f>_xlfn.XLOOKUP($A479,'03'!$G$3:$G$100,'03'!$R$3:$R$100,"-")</f>
        <v/>
      </c>
      <c r="F479" s="68">
        <f>_xlfn.XLOOKUP($A479,'04'!$G$3:$G$100,'04'!$R$3:$R$100,"-")</f>
        <v/>
      </c>
      <c r="G479" s="68">
        <f>_xlfn.XLOOKUP($A479,'05'!$G$3:$G$100,'05'!$R$3:$R$100,"-")</f>
        <v/>
      </c>
      <c r="H479" s="68">
        <f>_xlfn.XLOOKUP($A479,'06'!$G$3:$G$100,'06'!$R$3:$R$100,"-")</f>
        <v/>
      </c>
      <c r="I479" s="68">
        <f>_xlfn.XLOOKUP($A479,'07'!$G$3:$G$100,'07'!$R$3:$R$100,"-")</f>
        <v/>
      </c>
      <c r="J479" s="68">
        <f>_xlfn.XLOOKUP($A479,'08'!$G$3:$G$100,'08'!$R$3:$R$100,"-")</f>
        <v/>
      </c>
      <c r="K479" s="68">
        <f>_xlfn.XLOOKUP($A479,'09'!$G$3:$G$100,'09'!$R$3:$R$100,"-")</f>
        <v/>
      </c>
      <c r="L479" s="68">
        <f>_xlfn.XLOOKUP($A479,'10'!$G$3:$G$100,'10'!$R$3:$R$100,"-")</f>
        <v/>
      </c>
      <c r="M479" s="68">
        <f>_xlfn.XLOOKUP($A479,'11'!$G$3:$G$100,'11'!$R$3:$R$100,"-")</f>
        <v/>
      </c>
      <c r="N479" s="68">
        <f>_xlfn.XLOOKUP($A479,'12'!$G$3:$G$100,'12'!$R$3:$R$100,"-")</f>
        <v/>
      </c>
      <c r="O479" s="79">
        <f>SUM(C479:N479)</f>
        <v/>
      </c>
      <c r="P479" s="74" t="n"/>
      <c r="Q479" s="82" t="n">
        <v>477</v>
      </c>
      <c r="R479" s="38" t="n"/>
      <c r="S479" s="61" t="n">
        <v>0</v>
      </c>
      <c r="T479" s="68" t="n">
        <v>0</v>
      </c>
      <c r="U479" s="68" t="n">
        <v>0</v>
      </c>
      <c r="V479" s="68" t="n">
        <v>0</v>
      </c>
      <c r="W479" s="68" t="n">
        <v>0</v>
      </c>
      <c r="X479" s="68" t="n">
        <v>0</v>
      </c>
      <c r="Y479" s="68" t="n">
        <v>0</v>
      </c>
      <c r="Z479" s="68" t="n">
        <v>0</v>
      </c>
      <c r="AA479" s="68" t="n">
        <v>0</v>
      </c>
      <c r="AB479" s="68" t="n">
        <v>0</v>
      </c>
      <c r="AC479" s="68" t="n">
        <v>0</v>
      </c>
      <c r="AD479" s="68" t="n">
        <v>0</v>
      </c>
      <c r="AE479" s="68" t="n">
        <v>0</v>
      </c>
      <c r="AF479" s="79" t="n">
        <v>0</v>
      </c>
      <c r="AG479" s="74" t="n">
        <v>0</v>
      </c>
      <c r="AH479" s="82" t="n">
        <v>477</v>
      </c>
    </row>
    <row r="480" ht="18" customHeight="1">
      <c r="C480" s="68">
        <f>_xlfn.XLOOKUP($A480,'01'!$G$3:$G$100,'01'!$R$3:$R$100,"-")</f>
        <v/>
      </c>
      <c r="D480" s="68">
        <f>_xlfn.XLOOKUP($A480,'02'!$G$3:$G$100,'02'!$R$3:$R$100,"-")</f>
        <v/>
      </c>
      <c r="E480" s="68">
        <f>_xlfn.XLOOKUP($A480,'03'!$G$3:$G$100,'03'!$R$3:$R$100,"-")</f>
        <v/>
      </c>
      <c r="F480" s="68">
        <f>_xlfn.XLOOKUP($A480,'04'!$G$3:$G$100,'04'!$R$3:$R$100,"-")</f>
        <v/>
      </c>
      <c r="G480" s="68">
        <f>_xlfn.XLOOKUP($A480,'05'!$G$3:$G$100,'05'!$R$3:$R$100,"-")</f>
        <v/>
      </c>
      <c r="H480" s="68">
        <f>_xlfn.XLOOKUP($A480,'06'!$G$3:$G$100,'06'!$R$3:$R$100,"-")</f>
        <v/>
      </c>
      <c r="I480" s="68">
        <f>_xlfn.XLOOKUP($A480,'07'!$G$3:$G$100,'07'!$R$3:$R$100,"-")</f>
        <v/>
      </c>
      <c r="J480" s="68">
        <f>_xlfn.XLOOKUP($A480,'08'!$G$3:$G$100,'08'!$R$3:$R$100,"-")</f>
        <v/>
      </c>
      <c r="K480" s="68">
        <f>_xlfn.XLOOKUP($A480,'09'!$G$3:$G$100,'09'!$R$3:$R$100,"-")</f>
        <v/>
      </c>
      <c r="L480" s="68">
        <f>_xlfn.XLOOKUP($A480,'10'!$G$3:$G$100,'10'!$R$3:$R$100,"-")</f>
        <v/>
      </c>
      <c r="M480" s="68">
        <f>_xlfn.XLOOKUP($A480,'11'!$G$3:$G$100,'11'!$R$3:$R$100,"-")</f>
        <v/>
      </c>
      <c r="N480" s="68">
        <f>_xlfn.XLOOKUP($A480,'12'!$G$3:$G$100,'12'!$R$3:$R$100,"-")</f>
        <v/>
      </c>
      <c r="O480" s="79">
        <f>SUM(C480:N480)</f>
        <v/>
      </c>
      <c r="P480" s="74" t="n"/>
      <c r="Q480" s="82" t="n">
        <v>478</v>
      </c>
      <c r="R480" s="38" t="n"/>
      <c r="S480" s="61" t="n">
        <v>0</v>
      </c>
      <c r="T480" s="68" t="n">
        <v>0</v>
      </c>
      <c r="U480" s="68" t="n">
        <v>0</v>
      </c>
      <c r="V480" s="68" t="n">
        <v>0</v>
      </c>
      <c r="W480" s="68" t="n">
        <v>0</v>
      </c>
      <c r="X480" s="68" t="n">
        <v>0</v>
      </c>
      <c r="Y480" s="68" t="n">
        <v>0</v>
      </c>
      <c r="Z480" s="68" t="n">
        <v>0</v>
      </c>
      <c r="AA480" s="68" t="n">
        <v>0</v>
      </c>
      <c r="AB480" s="68" t="n">
        <v>0</v>
      </c>
      <c r="AC480" s="68" t="n">
        <v>0</v>
      </c>
      <c r="AD480" s="68" t="n">
        <v>0</v>
      </c>
      <c r="AE480" s="68" t="n">
        <v>0</v>
      </c>
      <c r="AF480" s="79" t="n">
        <v>0</v>
      </c>
      <c r="AG480" s="74" t="n">
        <v>0</v>
      </c>
      <c r="AH480" s="82" t="n">
        <v>478</v>
      </c>
    </row>
    <row r="481" ht="18" customHeight="1">
      <c r="C481" s="68">
        <f>_xlfn.XLOOKUP($A481,'01'!$G$3:$G$100,'01'!$R$3:$R$100,"-")</f>
        <v/>
      </c>
      <c r="D481" s="68">
        <f>_xlfn.XLOOKUP($A481,'02'!$G$3:$G$100,'02'!$R$3:$R$100,"-")</f>
        <v/>
      </c>
      <c r="E481" s="68">
        <f>_xlfn.XLOOKUP($A481,'03'!$G$3:$G$100,'03'!$R$3:$R$100,"-")</f>
        <v/>
      </c>
      <c r="F481" s="68">
        <f>_xlfn.XLOOKUP($A481,'04'!$G$3:$G$100,'04'!$R$3:$R$100,"-")</f>
        <v/>
      </c>
      <c r="G481" s="68">
        <f>_xlfn.XLOOKUP($A481,'05'!$G$3:$G$100,'05'!$R$3:$R$100,"-")</f>
        <v/>
      </c>
      <c r="H481" s="68">
        <f>_xlfn.XLOOKUP($A481,'06'!$G$3:$G$100,'06'!$R$3:$R$100,"-")</f>
        <v/>
      </c>
      <c r="I481" s="68">
        <f>_xlfn.XLOOKUP($A481,'07'!$G$3:$G$100,'07'!$R$3:$R$100,"-")</f>
        <v/>
      </c>
      <c r="J481" s="68">
        <f>_xlfn.XLOOKUP($A481,'08'!$G$3:$G$100,'08'!$R$3:$R$100,"-")</f>
        <v/>
      </c>
      <c r="K481" s="68">
        <f>_xlfn.XLOOKUP($A481,'09'!$G$3:$G$100,'09'!$R$3:$R$100,"-")</f>
        <v/>
      </c>
      <c r="L481" s="68">
        <f>_xlfn.XLOOKUP($A481,'10'!$G$3:$G$100,'10'!$R$3:$R$100,"-")</f>
        <v/>
      </c>
      <c r="M481" s="68">
        <f>_xlfn.XLOOKUP($A481,'11'!$G$3:$G$100,'11'!$R$3:$R$100,"-")</f>
        <v/>
      </c>
      <c r="N481" s="68">
        <f>_xlfn.XLOOKUP($A481,'12'!$G$3:$G$100,'12'!$R$3:$R$100,"-")</f>
        <v/>
      </c>
      <c r="O481" s="79">
        <f>SUM(C481:N481)</f>
        <v/>
      </c>
      <c r="P481" s="74" t="n"/>
      <c r="Q481" s="82" t="n">
        <v>479</v>
      </c>
      <c r="R481" s="38" t="n"/>
      <c r="S481" s="61" t="n">
        <v>0</v>
      </c>
      <c r="T481" s="68" t="n">
        <v>0</v>
      </c>
      <c r="U481" s="68" t="n">
        <v>0</v>
      </c>
      <c r="V481" s="68" t="n">
        <v>0</v>
      </c>
      <c r="W481" s="68" t="n">
        <v>0</v>
      </c>
      <c r="X481" s="68" t="n">
        <v>0</v>
      </c>
      <c r="Y481" s="68" t="n">
        <v>0</v>
      </c>
      <c r="Z481" s="68" t="n">
        <v>0</v>
      </c>
      <c r="AA481" s="68" t="n">
        <v>0</v>
      </c>
      <c r="AB481" s="68" t="n">
        <v>0</v>
      </c>
      <c r="AC481" s="68" t="n">
        <v>0</v>
      </c>
      <c r="AD481" s="68" t="n">
        <v>0</v>
      </c>
      <c r="AE481" s="68" t="n">
        <v>0</v>
      </c>
      <c r="AF481" s="79" t="n">
        <v>0</v>
      </c>
      <c r="AG481" s="74" t="n">
        <v>0</v>
      </c>
      <c r="AH481" s="82" t="n">
        <v>479</v>
      </c>
    </row>
    <row r="482" ht="18" customHeight="1">
      <c r="C482" s="68">
        <f>_xlfn.XLOOKUP($A482,'01'!$G$3:$G$100,'01'!$R$3:$R$100,"-")</f>
        <v/>
      </c>
      <c r="D482" s="68">
        <f>_xlfn.XLOOKUP($A482,'02'!$G$3:$G$100,'02'!$R$3:$R$100,"-")</f>
        <v/>
      </c>
      <c r="E482" s="68">
        <f>_xlfn.XLOOKUP($A482,'03'!$G$3:$G$100,'03'!$R$3:$R$100,"-")</f>
        <v/>
      </c>
      <c r="F482" s="68">
        <f>_xlfn.XLOOKUP($A482,'04'!$G$3:$G$100,'04'!$R$3:$R$100,"-")</f>
        <v/>
      </c>
      <c r="G482" s="68">
        <f>_xlfn.XLOOKUP($A482,'05'!$G$3:$G$100,'05'!$R$3:$R$100,"-")</f>
        <v/>
      </c>
      <c r="H482" s="68">
        <f>_xlfn.XLOOKUP($A482,'06'!$G$3:$G$100,'06'!$R$3:$R$100,"-")</f>
        <v/>
      </c>
      <c r="I482" s="68">
        <f>_xlfn.XLOOKUP($A482,'07'!$G$3:$G$100,'07'!$R$3:$R$100,"-")</f>
        <v/>
      </c>
      <c r="J482" s="68">
        <f>_xlfn.XLOOKUP($A482,'08'!$G$3:$G$100,'08'!$R$3:$R$100,"-")</f>
        <v/>
      </c>
      <c r="K482" s="68">
        <f>_xlfn.XLOOKUP($A482,'09'!$G$3:$G$100,'09'!$R$3:$R$100,"-")</f>
        <v/>
      </c>
      <c r="L482" s="68">
        <f>_xlfn.XLOOKUP($A482,'10'!$G$3:$G$100,'10'!$R$3:$R$100,"-")</f>
        <v/>
      </c>
      <c r="M482" s="68">
        <f>_xlfn.XLOOKUP($A482,'11'!$G$3:$G$100,'11'!$R$3:$R$100,"-")</f>
        <v/>
      </c>
      <c r="N482" s="68">
        <f>_xlfn.XLOOKUP($A482,'12'!$G$3:$G$100,'12'!$R$3:$R$100,"-")</f>
        <v/>
      </c>
      <c r="O482" s="79">
        <f>SUM(C482:N482)</f>
        <v/>
      </c>
      <c r="P482" s="74" t="n"/>
      <c r="Q482" s="82" t="n">
        <v>480</v>
      </c>
      <c r="R482" s="38" t="n"/>
      <c r="S482" s="61" t="n">
        <v>0</v>
      </c>
      <c r="T482" s="68" t="n">
        <v>0</v>
      </c>
      <c r="U482" s="68" t="n">
        <v>0</v>
      </c>
      <c r="V482" s="68" t="n">
        <v>0</v>
      </c>
      <c r="W482" s="68" t="n">
        <v>0</v>
      </c>
      <c r="X482" s="68" t="n">
        <v>0</v>
      </c>
      <c r="Y482" s="68" t="n">
        <v>0</v>
      </c>
      <c r="Z482" s="68" t="n">
        <v>0</v>
      </c>
      <c r="AA482" s="68" t="n">
        <v>0</v>
      </c>
      <c r="AB482" s="68" t="n">
        <v>0</v>
      </c>
      <c r="AC482" s="68" t="n">
        <v>0</v>
      </c>
      <c r="AD482" s="68" t="n">
        <v>0</v>
      </c>
      <c r="AE482" s="68" t="n">
        <v>0</v>
      </c>
      <c r="AF482" s="79" t="n">
        <v>0</v>
      </c>
      <c r="AG482" s="74" t="n">
        <v>0</v>
      </c>
      <c r="AH482" s="82" t="n">
        <v>480</v>
      </c>
    </row>
    <row r="483" ht="18" customHeight="1">
      <c r="C483" s="68">
        <f>_xlfn.XLOOKUP($A483,'01'!$G$3:$G$100,'01'!$R$3:$R$100,"-")</f>
        <v/>
      </c>
      <c r="D483" s="68">
        <f>_xlfn.XLOOKUP($A483,'02'!$G$3:$G$100,'02'!$R$3:$R$100,"-")</f>
        <v/>
      </c>
      <c r="E483" s="68">
        <f>_xlfn.XLOOKUP($A483,'03'!$G$3:$G$100,'03'!$R$3:$R$100,"-")</f>
        <v/>
      </c>
      <c r="F483" s="68">
        <f>_xlfn.XLOOKUP($A483,'04'!$G$3:$G$100,'04'!$R$3:$R$100,"-")</f>
        <v/>
      </c>
      <c r="G483" s="68">
        <f>_xlfn.XLOOKUP($A483,'05'!$G$3:$G$100,'05'!$R$3:$R$100,"-")</f>
        <v/>
      </c>
      <c r="H483" s="68">
        <f>_xlfn.XLOOKUP($A483,'06'!$G$3:$G$100,'06'!$R$3:$R$100,"-")</f>
        <v/>
      </c>
      <c r="I483" s="68">
        <f>_xlfn.XLOOKUP($A483,'07'!$G$3:$G$100,'07'!$R$3:$R$100,"-")</f>
        <v/>
      </c>
      <c r="J483" s="68">
        <f>_xlfn.XLOOKUP($A483,'08'!$G$3:$G$100,'08'!$R$3:$R$100,"-")</f>
        <v/>
      </c>
      <c r="K483" s="68">
        <f>_xlfn.XLOOKUP($A483,'09'!$G$3:$G$100,'09'!$R$3:$R$100,"-")</f>
        <v/>
      </c>
      <c r="L483" s="68">
        <f>_xlfn.XLOOKUP($A483,'10'!$G$3:$G$100,'10'!$R$3:$R$100,"-")</f>
        <v/>
      </c>
      <c r="M483" s="68">
        <f>_xlfn.XLOOKUP($A483,'11'!$G$3:$G$100,'11'!$R$3:$R$100,"-")</f>
        <v/>
      </c>
      <c r="N483" s="68">
        <f>_xlfn.XLOOKUP($A483,'12'!$G$3:$G$100,'12'!$R$3:$R$100,"-")</f>
        <v/>
      </c>
      <c r="O483" s="79">
        <f>SUM(C483:N483)</f>
        <v/>
      </c>
      <c r="P483" s="74" t="n"/>
      <c r="Q483" s="82" t="n">
        <v>481</v>
      </c>
      <c r="R483" s="38" t="n"/>
      <c r="S483" s="61" t="n">
        <v>0</v>
      </c>
      <c r="T483" s="68" t="n">
        <v>0</v>
      </c>
      <c r="U483" s="68" t="n">
        <v>0</v>
      </c>
      <c r="V483" s="68" t="n">
        <v>0</v>
      </c>
      <c r="W483" s="68" t="n">
        <v>0</v>
      </c>
      <c r="X483" s="68" t="n">
        <v>0</v>
      </c>
      <c r="Y483" s="68" t="n">
        <v>0</v>
      </c>
      <c r="Z483" s="68" t="n">
        <v>0</v>
      </c>
      <c r="AA483" s="68" t="n">
        <v>0</v>
      </c>
      <c r="AB483" s="68" t="n">
        <v>0</v>
      </c>
      <c r="AC483" s="68" t="n">
        <v>0</v>
      </c>
      <c r="AD483" s="68" t="n">
        <v>0</v>
      </c>
      <c r="AE483" s="68" t="n">
        <v>0</v>
      </c>
      <c r="AF483" s="79" t="n">
        <v>0</v>
      </c>
      <c r="AG483" s="74" t="n">
        <v>0</v>
      </c>
      <c r="AH483" s="82" t="n">
        <v>481</v>
      </c>
    </row>
    <row r="484" ht="18" customHeight="1">
      <c r="C484" s="68">
        <f>_xlfn.XLOOKUP($A484,'01'!$G$3:$G$100,'01'!$R$3:$R$100,"-")</f>
        <v/>
      </c>
      <c r="D484" s="68">
        <f>_xlfn.XLOOKUP($A484,'02'!$G$3:$G$100,'02'!$R$3:$R$100,"-")</f>
        <v/>
      </c>
      <c r="E484" s="68">
        <f>_xlfn.XLOOKUP($A484,'03'!$G$3:$G$100,'03'!$R$3:$R$100,"-")</f>
        <v/>
      </c>
      <c r="F484" s="68">
        <f>_xlfn.XLOOKUP($A484,'04'!$G$3:$G$100,'04'!$R$3:$R$100,"-")</f>
        <v/>
      </c>
      <c r="G484" s="68">
        <f>_xlfn.XLOOKUP($A484,'05'!$G$3:$G$100,'05'!$R$3:$R$100,"-")</f>
        <v/>
      </c>
      <c r="H484" s="68">
        <f>_xlfn.XLOOKUP($A484,'06'!$G$3:$G$100,'06'!$R$3:$R$100,"-")</f>
        <v/>
      </c>
      <c r="I484" s="68">
        <f>_xlfn.XLOOKUP($A484,'07'!$G$3:$G$100,'07'!$R$3:$R$100,"-")</f>
        <v/>
      </c>
      <c r="J484" s="68">
        <f>_xlfn.XLOOKUP($A484,'08'!$G$3:$G$100,'08'!$R$3:$R$100,"-")</f>
        <v/>
      </c>
      <c r="K484" s="68">
        <f>_xlfn.XLOOKUP($A484,'09'!$G$3:$G$100,'09'!$R$3:$R$100,"-")</f>
        <v/>
      </c>
      <c r="L484" s="68">
        <f>_xlfn.XLOOKUP($A484,'10'!$G$3:$G$100,'10'!$R$3:$R$100,"-")</f>
        <v/>
      </c>
      <c r="M484" s="68">
        <f>_xlfn.XLOOKUP($A484,'11'!$G$3:$G$100,'11'!$R$3:$R$100,"-")</f>
        <v/>
      </c>
      <c r="N484" s="68">
        <f>_xlfn.XLOOKUP($A484,'12'!$G$3:$G$100,'12'!$R$3:$R$100,"-")</f>
        <v/>
      </c>
      <c r="O484" s="79">
        <f>SUM(C484:N484)</f>
        <v/>
      </c>
      <c r="P484" s="74" t="n"/>
      <c r="Q484" s="82" t="n">
        <v>482</v>
      </c>
      <c r="R484" s="38" t="n"/>
      <c r="S484" s="61" t="n">
        <v>0</v>
      </c>
      <c r="T484" s="68" t="n">
        <v>0</v>
      </c>
      <c r="U484" s="68" t="n">
        <v>0</v>
      </c>
      <c r="V484" s="68" t="n">
        <v>0</v>
      </c>
      <c r="W484" s="68" t="n">
        <v>0</v>
      </c>
      <c r="X484" s="68" t="n">
        <v>0</v>
      </c>
      <c r="Y484" s="68" t="n">
        <v>0</v>
      </c>
      <c r="Z484" s="68" t="n">
        <v>0</v>
      </c>
      <c r="AA484" s="68" t="n">
        <v>0</v>
      </c>
      <c r="AB484" s="68" t="n">
        <v>0</v>
      </c>
      <c r="AC484" s="68" t="n">
        <v>0</v>
      </c>
      <c r="AD484" s="68" t="n">
        <v>0</v>
      </c>
      <c r="AE484" s="68" t="n">
        <v>0</v>
      </c>
      <c r="AF484" s="79" t="n">
        <v>0</v>
      </c>
      <c r="AG484" s="74" t="n">
        <v>0</v>
      </c>
      <c r="AH484" s="82" t="n">
        <v>482</v>
      </c>
    </row>
    <row r="485" ht="18" customHeight="1">
      <c r="C485" s="68">
        <f>_xlfn.XLOOKUP($A485,'01'!$G$3:$G$100,'01'!$R$3:$R$100,"-")</f>
        <v/>
      </c>
      <c r="D485" s="68">
        <f>_xlfn.XLOOKUP($A485,'02'!$G$3:$G$100,'02'!$R$3:$R$100,"-")</f>
        <v/>
      </c>
      <c r="E485" s="68">
        <f>_xlfn.XLOOKUP($A485,'03'!$G$3:$G$100,'03'!$R$3:$R$100,"-")</f>
        <v/>
      </c>
      <c r="F485" s="68">
        <f>_xlfn.XLOOKUP($A485,'04'!$G$3:$G$100,'04'!$R$3:$R$100,"-")</f>
        <v/>
      </c>
      <c r="G485" s="68">
        <f>_xlfn.XLOOKUP($A485,'05'!$G$3:$G$100,'05'!$R$3:$R$100,"-")</f>
        <v/>
      </c>
      <c r="H485" s="68">
        <f>_xlfn.XLOOKUP($A485,'06'!$G$3:$G$100,'06'!$R$3:$R$100,"-")</f>
        <v/>
      </c>
      <c r="I485" s="68">
        <f>_xlfn.XLOOKUP($A485,'07'!$G$3:$G$100,'07'!$R$3:$R$100,"-")</f>
        <v/>
      </c>
      <c r="J485" s="68">
        <f>_xlfn.XLOOKUP($A485,'08'!$G$3:$G$100,'08'!$R$3:$R$100,"-")</f>
        <v/>
      </c>
      <c r="K485" s="68">
        <f>_xlfn.XLOOKUP($A485,'09'!$G$3:$G$100,'09'!$R$3:$R$100,"-")</f>
        <v/>
      </c>
      <c r="L485" s="68">
        <f>_xlfn.XLOOKUP($A485,'10'!$G$3:$G$100,'10'!$R$3:$R$100,"-")</f>
        <v/>
      </c>
      <c r="M485" s="68">
        <f>_xlfn.XLOOKUP($A485,'11'!$G$3:$G$100,'11'!$R$3:$R$100,"-")</f>
        <v/>
      </c>
      <c r="N485" s="68">
        <f>_xlfn.XLOOKUP($A485,'12'!$G$3:$G$100,'12'!$R$3:$R$100,"-")</f>
        <v/>
      </c>
      <c r="O485" s="79">
        <f>SUM(C485:N485)</f>
        <v/>
      </c>
      <c r="P485" s="74" t="n"/>
      <c r="Q485" s="82" t="n">
        <v>483</v>
      </c>
      <c r="R485" s="38" t="n"/>
      <c r="S485" s="61" t="n">
        <v>0</v>
      </c>
      <c r="T485" s="68" t="n">
        <v>0</v>
      </c>
      <c r="U485" s="68" t="n">
        <v>0</v>
      </c>
      <c r="V485" s="68" t="n">
        <v>0</v>
      </c>
      <c r="W485" s="68" t="n">
        <v>0</v>
      </c>
      <c r="X485" s="68" t="n">
        <v>0</v>
      </c>
      <c r="Y485" s="68" t="n">
        <v>0</v>
      </c>
      <c r="Z485" s="68" t="n">
        <v>0</v>
      </c>
      <c r="AA485" s="68" t="n">
        <v>0</v>
      </c>
      <c r="AB485" s="68" t="n">
        <v>0</v>
      </c>
      <c r="AC485" s="68" t="n">
        <v>0</v>
      </c>
      <c r="AD485" s="68" t="n">
        <v>0</v>
      </c>
      <c r="AE485" s="68" t="n">
        <v>0</v>
      </c>
      <c r="AF485" s="79" t="n">
        <v>0</v>
      </c>
      <c r="AG485" s="74" t="n">
        <v>0</v>
      </c>
      <c r="AH485" s="82" t="n">
        <v>483</v>
      </c>
    </row>
    <row r="486" ht="18" customHeight="1">
      <c r="C486" s="68">
        <f>_xlfn.XLOOKUP($A486,'01'!$G$3:$G$100,'01'!$R$3:$R$100,"-")</f>
        <v/>
      </c>
      <c r="D486" s="68">
        <f>_xlfn.XLOOKUP($A486,'02'!$G$3:$G$100,'02'!$R$3:$R$100,"-")</f>
        <v/>
      </c>
      <c r="E486" s="68">
        <f>_xlfn.XLOOKUP($A486,'03'!$G$3:$G$100,'03'!$R$3:$R$100,"-")</f>
        <v/>
      </c>
      <c r="F486" s="68">
        <f>_xlfn.XLOOKUP($A486,'04'!$G$3:$G$100,'04'!$R$3:$R$100,"-")</f>
        <v/>
      </c>
      <c r="G486" s="68">
        <f>_xlfn.XLOOKUP($A486,'05'!$G$3:$G$100,'05'!$R$3:$R$100,"-")</f>
        <v/>
      </c>
      <c r="H486" s="68">
        <f>_xlfn.XLOOKUP($A486,'06'!$G$3:$G$100,'06'!$R$3:$R$100,"-")</f>
        <v/>
      </c>
      <c r="I486" s="68">
        <f>_xlfn.XLOOKUP($A486,'07'!$G$3:$G$100,'07'!$R$3:$R$100,"-")</f>
        <v/>
      </c>
      <c r="J486" s="68">
        <f>_xlfn.XLOOKUP($A486,'08'!$G$3:$G$100,'08'!$R$3:$R$100,"-")</f>
        <v/>
      </c>
      <c r="K486" s="68">
        <f>_xlfn.XLOOKUP($A486,'09'!$G$3:$G$100,'09'!$R$3:$R$100,"-")</f>
        <v/>
      </c>
      <c r="L486" s="68">
        <f>_xlfn.XLOOKUP($A486,'10'!$G$3:$G$100,'10'!$R$3:$R$100,"-")</f>
        <v/>
      </c>
      <c r="M486" s="68">
        <f>_xlfn.XLOOKUP($A486,'11'!$G$3:$G$100,'11'!$R$3:$R$100,"-")</f>
        <v/>
      </c>
      <c r="N486" s="68">
        <f>_xlfn.XLOOKUP($A486,'12'!$G$3:$G$100,'12'!$R$3:$R$100,"-")</f>
        <v/>
      </c>
      <c r="O486" s="79">
        <f>SUM(C486:N486)</f>
        <v/>
      </c>
      <c r="P486" s="74" t="n"/>
      <c r="Q486" s="82" t="n">
        <v>484</v>
      </c>
      <c r="R486" s="38" t="n"/>
      <c r="S486" s="61" t="n">
        <v>0</v>
      </c>
      <c r="T486" s="68" t="n">
        <v>0</v>
      </c>
      <c r="U486" s="68" t="n">
        <v>0</v>
      </c>
      <c r="V486" s="68" t="n">
        <v>0</v>
      </c>
      <c r="W486" s="68" t="n">
        <v>0</v>
      </c>
      <c r="X486" s="68" t="n">
        <v>0</v>
      </c>
      <c r="Y486" s="68" t="n">
        <v>0</v>
      </c>
      <c r="Z486" s="68" t="n">
        <v>0</v>
      </c>
      <c r="AA486" s="68" t="n">
        <v>0</v>
      </c>
      <c r="AB486" s="68" t="n">
        <v>0</v>
      </c>
      <c r="AC486" s="68" t="n">
        <v>0</v>
      </c>
      <c r="AD486" s="68" t="n">
        <v>0</v>
      </c>
      <c r="AE486" s="68" t="n">
        <v>0</v>
      </c>
      <c r="AF486" s="79" t="n">
        <v>0</v>
      </c>
      <c r="AG486" s="74" t="n">
        <v>0</v>
      </c>
      <c r="AH486" s="82" t="n">
        <v>484</v>
      </c>
    </row>
    <row r="487" ht="18" customHeight="1">
      <c r="C487" s="68">
        <f>_xlfn.XLOOKUP($A487,'01'!$G$3:$G$100,'01'!$R$3:$R$100,"-")</f>
        <v/>
      </c>
      <c r="D487" s="68">
        <f>_xlfn.XLOOKUP($A487,'02'!$G$3:$G$100,'02'!$R$3:$R$100,"-")</f>
        <v/>
      </c>
      <c r="E487" s="68">
        <f>_xlfn.XLOOKUP($A487,'03'!$G$3:$G$100,'03'!$R$3:$R$100,"-")</f>
        <v/>
      </c>
      <c r="F487" s="68">
        <f>_xlfn.XLOOKUP($A487,'04'!$G$3:$G$100,'04'!$R$3:$R$100,"-")</f>
        <v/>
      </c>
      <c r="G487" s="68">
        <f>_xlfn.XLOOKUP($A487,'05'!$G$3:$G$100,'05'!$R$3:$R$100,"-")</f>
        <v/>
      </c>
      <c r="H487" s="68">
        <f>_xlfn.XLOOKUP($A487,'06'!$G$3:$G$100,'06'!$R$3:$R$100,"-")</f>
        <v/>
      </c>
      <c r="I487" s="68">
        <f>_xlfn.XLOOKUP($A487,'07'!$G$3:$G$100,'07'!$R$3:$R$100,"-")</f>
        <v/>
      </c>
      <c r="J487" s="68">
        <f>_xlfn.XLOOKUP($A487,'08'!$G$3:$G$100,'08'!$R$3:$R$100,"-")</f>
        <v/>
      </c>
      <c r="K487" s="68">
        <f>_xlfn.XLOOKUP($A487,'09'!$G$3:$G$100,'09'!$R$3:$R$100,"-")</f>
        <v/>
      </c>
      <c r="L487" s="68">
        <f>_xlfn.XLOOKUP($A487,'10'!$G$3:$G$100,'10'!$R$3:$R$100,"-")</f>
        <v/>
      </c>
      <c r="M487" s="68">
        <f>_xlfn.XLOOKUP($A487,'11'!$G$3:$G$100,'11'!$R$3:$R$100,"-")</f>
        <v/>
      </c>
      <c r="N487" s="68">
        <f>_xlfn.XLOOKUP($A487,'12'!$G$3:$G$100,'12'!$R$3:$R$100,"-")</f>
        <v/>
      </c>
      <c r="O487" s="79">
        <f>SUM(C487:N487)</f>
        <v/>
      </c>
      <c r="P487" s="74" t="n"/>
      <c r="Q487" s="83" t="n">
        <v>485</v>
      </c>
      <c r="R487" s="38" t="n"/>
      <c r="S487" s="61" t="n">
        <v>0</v>
      </c>
      <c r="T487" s="68" t="n">
        <v>0</v>
      </c>
      <c r="U487" s="68" t="n">
        <v>0</v>
      </c>
      <c r="V487" s="68" t="n">
        <v>0</v>
      </c>
      <c r="W487" s="68" t="n">
        <v>0</v>
      </c>
      <c r="X487" s="68" t="n">
        <v>0</v>
      </c>
      <c r="Y487" s="68" t="n">
        <v>0</v>
      </c>
      <c r="Z487" s="68" t="n">
        <v>0</v>
      </c>
      <c r="AA487" s="68" t="n">
        <v>0</v>
      </c>
      <c r="AB487" s="68" t="n">
        <v>0</v>
      </c>
      <c r="AC487" s="68" t="n">
        <v>0</v>
      </c>
      <c r="AD487" s="68" t="n">
        <v>0</v>
      </c>
      <c r="AE487" s="68" t="n">
        <v>0</v>
      </c>
      <c r="AF487" s="79" t="n">
        <v>0</v>
      </c>
      <c r="AG487" s="74" t="n">
        <v>0</v>
      </c>
      <c r="AH487" s="83" t="n">
        <v>485</v>
      </c>
    </row>
    <row r="488" ht="18" customHeight="1">
      <c r="C488" s="68">
        <f>_xlfn.XLOOKUP($A488,'01'!$G$3:$G$100,'01'!$R$3:$R$100,"-")</f>
        <v/>
      </c>
      <c r="D488" s="68">
        <f>_xlfn.XLOOKUP($A488,'02'!$G$3:$G$100,'02'!$R$3:$R$100,"-")</f>
        <v/>
      </c>
      <c r="E488" s="68">
        <f>_xlfn.XLOOKUP($A488,'03'!$G$3:$G$100,'03'!$R$3:$R$100,"-")</f>
        <v/>
      </c>
      <c r="F488" s="68">
        <f>_xlfn.XLOOKUP($A488,'04'!$G$3:$G$100,'04'!$R$3:$R$100,"-")</f>
        <v/>
      </c>
      <c r="G488" s="68">
        <f>_xlfn.XLOOKUP($A488,'05'!$G$3:$G$100,'05'!$R$3:$R$100,"-")</f>
        <v/>
      </c>
      <c r="H488" s="68">
        <f>_xlfn.XLOOKUP($A488,'06'!$G$3:$G$100,'06'!$R$3:$R$100,"-")</f>
        <v/>
      </c>
      <c r="I488" s="68">
        <f>_xlfn.XLOOKUP($A488,'07'!$G$3:$G$100,'07'!$R$3:$R$100,"-")</f>
        <v/>
      </c>
      <c r="J488" s="68">
        <f>_xlfn.XLOOKUP($A488,'08'!$G$3:$G$100,'08'!$R$3:$R$100,"-")</f>
        <v/>
      </c>
      <c r="K488" s="68">
        <f>_xlfn.XLOOKUP($A488,'09'!$G$3:$G$100,'09'!$R$3:$R$100,"-")</f>
        <v/>
      </c>
      <c r="L488" s="68">
        <f>_xlfn.XLOOKUP($A488,'10'!$G$3:$G$100,'10'!$R$3:$R$100,"-")</f>
        <v/>
      </c>
      <c r="M488" s="68">
        <f>_xlfn.XLOOKUP($A488,'11'!$G$3:$G$100,'11'!$R$3:$R$100,"-")</f>
        <v/>
      </c>
      <c r="N488" s="68">
        <f>_xlfn.XLOOKUP($A488,'12'!$G$3:$G$100,'12'!$R$3:$R$100,"-")</f>
        <v/>
      </c>
      <c r="O488" s="79">
        <f>SUM(C488:N488)</f>
        <v/>
      </c>
      <c r="P488" s="74" t="n"/>
      <c r="Q488" s="82" t="n">
        <v>486</v>
      </c>
      <c r="R488" s="38" t="n"/>
      <c r="S488" s="61" t="n">
        <v>0</v>
      </c>
      <c r="T488" s="68" t="n">
        <v>0</v>
      </c>
      <c r="U488" s="68" t="n">
        <v>0</v>
      </c>
      <c r="V488" s="68" t="n">
        <v>0</v>
      </c>
      <c r="W488" s="68" t="n">
        <v>0</v>
      </c>
      <c r="X488" s="68" t="n">
        <v>0</v>
      </c>
      <c r="Y488" s="68" t="n">
        <v>0</v>
      </c>
      <c r="Z488" s="68" t="n">
        <v>0</v>
      </c>
      <c r="AA488" s="68" t="n">
        <v>0</v>
      </c>
      <c r="AB488" s="68" t="n">
        <v>0</v>
      </c>
      <c r="AC488" s="68" t="n">
        <v>0</v>
      </c>
      <c r="AD488" s="68" t="n">
        <v>0</v>
      </c>
      <c r="AE488" s="68" t="n">
        <v>0</v>
      </c>
      <c r="AF488" s="79" t="n">
        <v>0</v>
      </c>
      <c r="AG488" s="74" t="n">
        <v>0</v>
      </c>
      <c r="AH488" s="82" t="n">
        <v>486</v>
      </c>
    </row>
    <row r="489" ht="18" customHeight="1">
      <c r="C489" s="68">
        <f>_xlfn.XLOOKUP($A489,'01'!$G$3:$G$100,'01'!$R$3:$R$100,"-")</f>
        <v/>
      </c>
      <c r="D489" s="68">
        <f>_xlfn.XLOOKUP($A489,'02'!$G$3:$G$100,'02'!$R$3:$R$100,"-")</f>
        <v/>
      </c>
      <c r="E489" s="68">
        <f>_xlfn.XLOOKUP($A489,'03'!$G$3:$G$100,'03'!$R$3:$R$100,"-")</f>
        <v/>
      </c>
      <c r="F489" s="68">
        <f>_xlfn.XLOOKUP($A489,'04'!$G$3:$G$100,'04'!$R$3:$R$100,"-")</f>
        <v/>
      </c>
      <c r="G489" s="68">
        <f>_xlfn.XLOOKUP($A489,'05'!$G$3:$G$100,'05'!$R$3:$R$100,"-")</f>
        <v/>
      </c>
      <c r="H489" s="68">
        <f>_xlfn.XLOOKUP($A489,'06'!$G$3:$G$100,'06'!$R$3:$R$100,"-")</f>
        <v/>
      </c>
      <c r="I489" s="68">
        <f>_xlfn.XLOOKUP($A489,'07'!$G$3:$G$100,'07'!$R$3:$R$100,"-")</f>
        <v/>
      </c>
      <c r="J489" s="68">
        <f>_xlfn.XLOOKUP($A489,'08'!$G$3:$G$100,'08'!$R$3:$R$100,"-")</f>
        <v/>
      </c>
      <c r="K489" s="68">
        <f>_xlfn.XLOOKUP($A489,'09'!$G$3:$G$100,'09'!$R$3:$R$100,"-")</f>
        <v/>
      </c>
      <c r="L489" s="68">
        <f>_xlfn.XLOOKUP($A489,'10'!$G$3:$G$100,'10'!$R$3:$R$100,"-")</f>
        <v/>
      </c>
      <c r="M489" s="68">
        <f>_xlfn.XLOOKUP($A489,'11'!$G$3:$G$100,'11'!$R$3:$R$100,"-")</f>
        <v/>
      </c>
      <c r="N489" s="68">
        <f>_xlfn.XLOOKUP($A489,'12'!$G$3:$G$100,'12'!$R$3:$R$100,"-")</f>
        <v/>
      </c>
      <c r="O489" s="79">
        <f>SUM(C489:N489)</f>
        <v/>
      </c>
      <c r="P489" s="74" t="n"/>
      <c r="Q489" s="82" t="n">
        <v>487</v>
      </c>
      <c r="R489" s="38" t="n"/>
      <c r="S489" s="61" t="n">
        <v>0</v>
      </c>
      <c r="T489" s="68" t="n">
        <v>0</v>
      </c>
      <c r="U489" s="68" t="n">
        <v>0</v>
      </c>
      <c r="V489" s="68" t="n">
        <v>0</v>
      </c>
      <c r="W489" s="68" t="n">
        <v>0</v>
      </c>
      <c r="X489" s="68" t="n">
        <v>0</v>
      </c>
      <c r="Y489" s="68" t="n">
        <v>0</v>
      </c>
      <c r="Z489" s="68" t="n">
        <v>0</v>
      </c>
      <c r="AA489" s="68" t="n">
        <v>0</v>
      </c>
      <c r="AB489" s="68" t="n">
        <v>0</v>
      </c>
      <c r="AC489" s="68" t="n">
        <v>0</v>
      </c>
      <c r="AD489" s="68" t="n">
        <v>0</v>
      </c>
      <c r="AE489" s="68" t="n">
        <v>0</v>
      </c>
      <c r="AF489" s="79" t="n">
        <v>0</v>
      </c>
      <c r="AG489" s="74" t="n">
        <v>0</v>
      </c>
      <c r="AH489" s="82" t="n">
        <v>487</v>
      </c>
    </row>
    <row r="490" ht="18" customHeight="1">
      <c r="C490" s="68">
        <f>_xlfn.XLOOKUP($A490,'01'!$G$3:$G$100,'01'!$R$3:$R$100,"-")</f>
        <v/>
      </c>
      <c r="D490" s="68">
        <f>_xlfn.XLOOKUP($A490,'02'!$G$3:$G$100,'02'!$R$3:$R$100,"-")</f>
        <v/>
      </c>
      <c r="E490" s="68">
        <f>_xlfn.XLOOKUP($A490,'03'!$G$3:$G$100,'03'!$R$3:$R$100,"-")</f>
        <v/>
      </c>
      <c r="F490" s="68">
        <f>_xlfn.XLOOKUP($A490,'04'!$G$3:$G$100,'04'!$R$3:$R$100,"-")</f>
        <v/>
      </c>
      <c r="G490" s="68">
        <f>_xlfn.XLOOKUP($A490,'05'!$G$3:$G$100,'05'!$R$3:$R$100,"-")</f>
        <v/>
      </c>
      <c r="H490" s="68">
        <f>_xlfn.XLOOKUP($A490,'06'!$G$3:$G$100,'06'!$R$3:$R$100,"-")</f>
        <v/>
      </c>
      <c r="I490" s="68">
        <f>_xlfn.XLOOKUP($A490,'07'!$G$3:$G$100,'07'!$R$3:$R$100,"-")</f>
        <v/>
      </c>
      <c r="J490" s="68">
        <f>_xlfn.XLOOKUP($A490,'08'!$G$3:$G$100,'08'!$R$3:$R$100,"-")</f>
        <v/>
      </c>
      <c r="K490" s="68">
        <f>_xlfn.XLOOKUP($A490,'09'!$G$3:$G$100,'09'!$R$3:$R$100,"-")</f>
        <v/>
      </c>
      <c r="L490" s="68">
        <f>_xlfn.XLOOKUP($A490,'10'!$G$3:$G$100,'10'!$R$3:$R$100,"-")</f>
        <v/>
      </c>
      <c r="M490" s="68">
        <f>_xlfn.XLOOKUP($A490,'11'!$G$3:$G$100,'11'!$R$3:$R$100,"-")</f>
        <v/>
      </c>
      <c r="N490" s="68">
        <f>_xlfn.XLOOKUP($A490,'12'!$G$3:$G$100,'12'!$R$3:$R$100,"-")</f>
        <v/>
      </c>
      <c r="O490" s="79">
        <f>SUM(C490:N490)</f>
        <v/>
      </c>
      <c r="P490" s="74" t="n"/>
      <c r="Q490" s="82" t="n">
        <v>488</v>
      </c>
      <c r="R490" s="38" t="n"/>
      <c r="S490" s="61" t="n">
        <v>0</v>
      </c>
      <c r="T490" s="68" t="n">
        <v>0</v>
      </c>
      <c r="U490" s="68" t="n">
        <v>0</v>
      </c>
      <c r="V490" s="68" t="n">
        <v>0</v>
      </c>
      <c r="W490" s="68" t="n">
        <v>0</v>
      </c>
      <c r="X490" s="68" t="n">
        <v>0</v>
      </c>
      <c r="Y490" s="68" t="n">
        <v>0</v>
      </c>
      <c r="Z490" s="68" t="n">
        <v>0</v>
      </c>
      <c r="AA490" s="68" t="n">
        <v>0</v>
      </c>
      <c r="AB490" s="68" t="n">
        <v>0</v>
      </c>
      <c r="AC490" s="68" t="n">
        <v>0</v>
      </c>
      <c r="AD490" s="68" t="n">
        <v>0</v>
      </c>
      <c r="AE490" s="68" t="n">
        <v>0</v>
      </c>
      <c r="AF490" s="79" t="n">
        <v>0</v>
      </c>
      <c r="AG490" s="74" t="n">
        <v>0</v>
      </c>
      <c r="AH490" s="82" t="n">
        <v>488</v>
      </c>
    </row>
    <row r="491" ht="18" customHeight="1">
      <c r="C491" s="68">
        <f>_xlfn.XLOOKUP($A491,'01'!$G$3:$G$100,'01'!$R$3:$R$100,"-")</f>
        <v/>
      </c>
      <c r="D491" s="68">
        <f>_xlfn.XLOOKUP($A491,'02'!$G$3:$G$100,'02'!$R$3:$R$100,"-")</f>
        <v/>
      </c>
      <c r="E491" s="68">
        <f>_xlfn.XLOOKUP($A491,'03'!$G$3:$G$100,'03'!$R$3:$R$100,"-")</f>
        <v/>
      </c>
      <c r="F491" s="68">
        <f>_xlfn.XLOOKUP($A491,'04'!$G$3:$G$100,'04'!$R$3:$R$100,"-")</f>
        <v/>
      </c>
      <c r="G491" s="68">
        <f>_xlfn.XLOOKUP($A491,'05'!$G$3:$G$100,'05'!$R$3:$R$100,"-")</f>
        <v/>
      </c>
      <c r="H491" s="68">
        <f>_xlfn.XLOOKUP($A491,'06'!$G$3:$G$100,'06'!$R$3:$R$100,"-")</f>
        <v/>
      </c>
      <c r="I491" s="68">
        <f>_xlfn.XLOOKUP($A491,'07'!$G$3:$G$100,'07'!$R$3:$R$100,"-")</f>
        <v/>
      </c>
      <c r="J491" s="68">
        <f>_xlfn.XLOOKUP($A491,'08'!$G$3:$G$100,'08'!$R$3:$R$100,"-")</f>
        <v/>
      </c>
      <c r="K491" s="68">
        <f>_xlfn.XLOOKUP($A491,'09'!$G$3:$G$100,'09'!$R$3:$R$100,"-")</f>
        <v/>
      </c>
      <c r="L491" s="68">
        <f>_xlfn.XLOOKUP($A491,'10'!$G$3:$G$100,'10'!$R$3:$R$100,"-")</f>
        <v/>
      </c>
      <c r="M491" s="68">
        <f>_xlfn.XLOOKUP($A491,'11'!$G$3:$G$100,'11'!$R$3:$R$100,"-")</f>
        <v/>
      </c>
      <c r="N491" s="68">
        <f>_xlfn.XLOOKUP($A491,'12'!$G$3:$G$100,'12'!$R$3:$R$100,"-")</f>
        <v/>
      </c>
      <c r="O491" s="79">
        <f>SUM(C491:N491)</f>
        <v/>
      </c>
      <c r="P491" s="74" t="n"/>
      <c r="Q491" s="82" t="n">
        <v>489</v>
      </c>
      <c r="R491" s="38" t="n"/>
      <c r="S491" s="61" t="n">
        <v>0</v>
      </c>
      <c r="T491" s="68" t="n">
        <v>0</v>
      </c>
      <c r="U491" s="68" t="n">
        <v>0</v>
      </c>
      <c r="V491" s="68" t="n">
        <v>0</v>
      </c>
      <c r="W491" s="68" t="n">
        <v>0</v>
      </c>
      <c r="X491" s="68" t="n">
        <v>0</v>
      </c>
      <c r="Y491" s="68" t="n">
        <v>0</v>
      </c>
      <c r="Z491" s="68" t="n">
        <v>0</v>
      </c>
      <c r="AA491" s="68" t="n">
        <v>0</v>
      </c>
      <c r="AB491" s="68" t="n">
        <v>0</v>
      </c>
      <c r="AC491" s="68" t="n">
        <v>0</v>
      </c>
      <c r="AD491" s="68" t="n">
        <v>0</v>
      </c>
      <c r="AE491" s="68" t="n">
        <v>0</v>
      </c>
      <c r="AF491" s="79" t="n">
        <v>0</v>
      </c>
      <c r="AG491" s="74" t="n">
        <v>0</v>
      </c>
      <c r="AH491" s="82" t="n">
        <v>489</v>
      </c>
    </row>
    <row r="492" ht="18" customHeight="1">
      <c r="C492" s="68">
        <f>_xlfn.XLOOKUP($A492,'01'!$G$3:$G$100,'01'!$R$3:$R$100,"-")</f>
        <v/>
      </c>
      <c r="D492" s="68">
        <f>_xlfn.XLOOKUP($A492,'02'!$G$3:$G$100,'02'!$R$3:$R$100,"-")</f>
        <v/>
      </c>
      <c r="E492" s="68">
        <f>_xlfn.XLOOKUP($A492,'03'!$G$3:$G$100,'03'!$R$3:$R$100,"-")</f>
        <v/>
      </c>
      <c r="F492" s="68">
        <f>_xlfn.XLOOKUP($A492,'04'!$G$3:$G$100,'04'!$R$3:$R$100,"-")</f>
        <v/>
      </c>
      <c r="G492" s="68">
        <f>_xlfn.XLOOKUP($A492,'05'!$G$3:$G$100,'05'!$R$3:$R$100,"-")</f>
        <v/>
      </c>
      <c r="H492" s="68">
        <f>_xlfn.XLOOKUP($A492,'06'!$G$3:$G$100,'06'!$R$3:$R$100,"-")</f>
        <v/>
      </c>
      <c r="I492" s="68">
        <f>_xlfn.XLOOKUP($A492,'07'!$G$3:$G$100,'07'!$R$3:$R$100,"-")</f>
        <v/>
      </c>
      <c r="J492" s="68">
        <f>_xlfn.XLOOKUP($A492,'08'!$G$3:$G$100,'08'!$R$3:$R$100,"-")</f>
        <v/>
      </c>
      <c r="K492" s="68">
        <f>_xlfn.XLOOKUP($A492,'09'!$G$3:$G$100,'09'!$R$3:$R$100,"-")</f>
        <v/>
      </c>
      <c r="L492" s="68">
        <f>_xlfn.XLOOKUP($A492,'10'!$G$3:$G$100,'10'!$R$3:$R$100,"-")</f>
        <v/>
      </c>
      <c r="M492" s="68">
        <f>_xlfn.XLOOKUP($A492,'11'!$G$3:$G$100,'11'!$R$3:$R$100,"-")</f>
        <v/>
      </c>
      <c r="N492" s="68">
        <f>_xlfn.XLOOKUP($A492,'12'!$G$3:$G$100,'12'!$R$3:$R$100,"-")</f>
        <v/>
      </c>
      <c r="O492" s="79">
        <f>SUM(C492:N492)</f>
        <v/>
      </c>
      <c r="P492" s="74" t="n"/>
      <c r="Q492" s="82" t="n">
        <v>490</v>
      </c>
      <c r="R492" s="38" t="n"/>
      <c r="S492" s="61" t="n">
        <v>0</v>
      </c>
      <c r="T492" s="68" t="n">
        <v>0</v>
      </c>
      <c r="U492" s="68" t="n">
        <v>0</v>
      </c>
      <c r="V492" s="68" t="n">
        <v>0</v>
      </c>
      <c r="W492" s="68" t="n">
        <v>0</v>
      </c>
      <c r="X492" s="68" t="n">
        <v>0</v>
      </c>
      <c r="Y492" s="68" t="n">
        <v>0</v>
      </c>
      <c r="Z492" s="68" t="n">
        <v>0</v>
      </c>
      <c r="AA492" s="68" t="n">
        <v>0</v>
      </c>
      <c r="AB492" s="68" t="n">
        <v>0</v>
      </c>
      <c r="AC492" s="68" t="n">
        <v>0</v>
      </c>
      <c r="AD492" s="68" t="n">
        <v>0</v>
      </c>
      <c r="AE492" s="68" t="n">
        <v>0</v>
      </c>
      <c r="AF492" s="79" t="n">
        <v>0</v>
      </c>
      <c r="AG492" s="74" t="n">
        <v>0</v>
      </c>
      <c r="AH492" s="82" t="n">
        <v>490</v>
      </c>
    </row>
    <row r="493" ht="18" customHeight="1">
      <c r="C493" s="68">
        <f>_xlfn.XLOOKUP($A493,'01'!$G$3:$G$100,'01'!$R$3:$R$100,"-")</f>
        <v/>
      </c>
      <c r="D493" s="68">
        <f>_xlfn.XLOOKUP($A493,'02'!$G$3:$G$100,'02'!$R$3:$R$100,"-")</f>
        <v/>
      </c>
      <c r="E493" s="68">
        <f>_xlfn.XLOOKUP($A493,'03'!$G$3:$G$100,'03'!$R$3:$R$100,"-")</f>
        <v/>
      </c>
      <c r="F493" s="68">
        <f>_xlfn.XLOOKUP($A493,'04'!$G$3:$G$100,'04'!$R$3:$R$100,"-")</f>
        <v/>
      </c>
      <c r="G493" s="68">
        <f>_xlfn.XLOOKUP($A493,'05'!$G$3:$G$100,'05'!$R$3:$R$100,"-")</f>
        <v/>
      </c>
      <c r="H493" s="68">
        <f>_xlfn.XLOOKUP($A493,'06'!$G$3:$G$100,'06'!$R$3:$R$100,"-")</f>
        <v/>
      </c>
      <c r="I493" s="68">
        <f>_xlfn.XLOOKUP($A493,'07'!$G$3:$G$100,'07'!$R$3:$R$100,"-")</f>
        <v/>
      </c>
      <c r="J493" s="68">
        <f>_xlfn.XLOOKUP($A493,'08'!$G$3:$G$100,'08'!$R$3:$R$100,"-")</f>
        <v/>
      </c>
      <c r="K493" s="68">
        <f>_xlfn.XLOOKUP($A493,'09'!$G$3:$G$100,'09'!$R$3:$R$100,"-")</f>
        <v/>
      </c>
      <c r="L493" s="68">
        <f>_xlfn.XLOOKUP($A493,'10'!$G$3:$G$100,'10'!$R$3:$R$100,"-")</f>
        <v/>
      </c>
      <c r="M493" s="68">
        <f>_xlfn.XLOOKUP($A493,'11'!$G$3:$G$100,'11'!$R$3:$R$100,"-")</f>
        <v/>
      </c>
      <c r="N493" s="68">
        <f>_xlfn.XLOOKUP($A493,'12'!$G$3:$G$100,'12'!$R$3:$R$100,"-")</f>
        <v/>
      </c>
      <c r="O493" s="79">
        <f>SUM(C493:N493)</f>
        <v/>
      </c>
      <c r="P493" s="74" t="n"/>
      <c r="Q493" s="82" t="n">
        <v>491</v>
      </c>
      <c r="R493" s="38" t="n"/>
      <c r="S493" s="61" t="n">
        <v>0</v>
      </c>
      <c r="T493" s="68" t="n">
        <v>0</v>
      </c>
      <c r="U493" s="68" t="n">
        <v>0</v>
      </c>
      <c r="V493" s="68" t="n">
        <v>0</v>
      </c>
      <c r="W493" s="68" t="n">
        <v>0</v>
      </c>
      <c r="X493" s="68" t="n">
        <v>0</v>
      </c>
      <c r="Y493" s="68" t="n">
        <v>0</v>
      </c>
      <c r="Z493" s="68" t="n">
        <v>0</v>
      </c>
      <c r="AA493" s="68" t="n">
        <v>0</v>
      </c>
      <c r="AB493" s="68" t="n">
        <v>0</v>
      </c>
      <c r="AC493" s="68" t="n">
        <v>0</v>
      </c>
      <c r="AD493" s="68" t="n">
        <v>0</v>
      </c>
      <c r="AE493" s="68" t="n">
        <v>0</v>
      </c>
      <c r="AF493" s="79" t="n">
        <v>0</v>
      </c>
      <c r="AG493" s="74" t="n">
        <v>0</v>
      </c>
      <c r="AH493" s="82" t="n">
        <v>491</v>
      </c>
    </row>
    <row r="494" ht="18" customHeight="1">
      <c r="C494" s="68">
        <f>_xlfn.XLOOKUP($A494,'01'!$G$3:$G$100,'01'!$R$3:$R$100,"-")</f>
        <v/>
      </c>
      <c r="D494" s="68">
        <f>_xlfn.XLOOKUP($A494,'02'!$G$3:$G$100,'02'!$R$3:$R$100,"-")</f>
        <v/>
      </c>
      <c r="E494" s="68">
        <f>_xlfn.XLOOKUP($A494,'03'!$G$3:$G$100,'03'!$R$3:$R$100,"-")</f>
        <v/>
      </c>
      <c r="F494" s="68">
        <f>_xlfn.XLOOKUP($A494,'04'!$G$3:$G$100,'04'!$R$3:$R$100,"-")</f>
        <v/>
      </c>
      <c r="G494" s="68">
        <f>_xlfn.XLOOKUP($A494,'05'!$G$3:$G$100,'05'!$R$3:$R$100,"-")</f>
        <v/>
      </c>
      <c r="H494" s="68">
        <f>_xlfn.XLOOKUP($A494,'06'!$G$3:$G$100,'06'!$R$3:$R$100,"-")</f>
        <v/>
      </c>
      <c r="I494" s="68">
        <f>_xlfn.XLOOKUP($A494,'07'!$G$3:$G$100,'07'!$R$3:$R$100,"-")</f>
        <v/>
      </c>
      <c r="J494" s="68">
        <f>_xlfn.XLOOKUP($A494,'08'!$G$3:$G$100,'08'!$R$3:$R$100,"-")</f>
        <v/>
      </c>
      <c r="K494" s="68">
        <f>_xlfn.XLOOKUP($A494,'09'!$G$3:$G$100,'09'!$R$3:$R$100,"-")</f>
        <v/>
      </c>
      <c r="L494" s="68">
        <f>_xlfn.XLOOKUP($A494,'10'!$G$3:$G$100,'10'!$R$3:$R$100,"-")</f>
        <v/>
      </c>
      <c r="M494" s="68">
        <f>_xlfn.XLOOKUP($A494,'11'!$G$3:$G$100,'11'!$R$3:$R$100,"-")</f>
        <v/>
      </c>
      <c r="N494" s="68">
        <f>_xlfn.XLOOKUP($A494,'12'!$G$3:$G$100,'12'!$R$3:$R$100,"-")</f>
        <v/>
      </c>
      <c r="O494" s="79">
        <f>SUM(C494:N494)</f>
        <v/>
      </c>
      <c r="P494" s="74" t="n"/>
      <c r="Q494" s="82" t="n">
        <v>492</v>
      </c>
      <c r="R494" s="38" t="n"/>
      <c r="S494" s="61" t="n">
        <v>0</v>
      </c>
      <c r="T494" s="68" t="n">
        <v>0</v>
      </c>
      <c r="U494" s="68" t="n">
        <v>0</v>
      </c>
      <c r="V494" s="68" t="n">
        <v>0</v>
      </c>
      <c r="W494" s="68" t="n">
        <v>0</v>
      </c>
      <c r="X494" s="68" t="n">
        <v>0</v>
      </c>
      <c r="Y494" s="68" t="n">
        <v>0</v>
      </c>
      <c r="Z494" s="68" t="n">
        <v>0</v>
      </c>
      <c r="AA494" s="68" t="n">
        <v>0</v>
      </c>
      <c r="AB494" s="68" t="n">
        <v>0</v>
      </c>
      <c r="AC494" s="68" t="n">
        <v>0</v>
      </c>
      <c r="AD494" s="68" t="n">
        <v>0</v>
      </c>
      <c r="AE494" s="68" t="n">
        <v>0</v>
      </c>
      <c r="AF494" s="79" t="n">
        <v>0</v>
      </c>
      <c r="AG494" s="74" t="n">
        <v>0</v>
      </c>
      <c r="AH494" s="82" t="n">
        <v>492</v>
      </c>
    </row>
    <row r="495" ht="18" customHeight="1">
      <c r="C495" s="68">
        <f>_xlfn.XLOOKUP($A495,'01'!$G$3:$G$100,'01'!$R$3:$R$100,"-")</f>
        <v/>
      </c>
      <c r="D495" s="68">
        <f>_xlfn.XLOOKUP($A495,'02'!$G$3:$G$100,'02'!$R$3:$R$100,"-")</f>
        <v/>
      </c>
      <c r="E495" s="68">
        <f>_xlfn.XLOOKUP($A495,'03'!$G$3:$G$100,'03'!$R$3:$R$100,"-")</f>
        <v/>
      </c>
      <c r="F495" s="68">
        <f>_xlfn.XLOOKUP($A495,'04'!$G$3:$G$100,'04'!$R$3:$R$100,"-")</f>
        <v/>
      </c>
      <c r="G495" s="68">
        <f>_xlfn.XLOOKUP($A495,'05'!$G$3:$G$100,'05'!$R$3:$R$100,"-")</f>
        <v/>
      </c>
      <c r="H495" s="68">
        <f>_xlfn.XLOOKUP($A495,'06'!$G$3:$G$100,'06'!$R$3:$R$100,"-")</f>
        <v/>
      </c>
      <c r="I495" s="68">
        <f>_xlfn.XLOOKUP($A495,'07'!$G$3:$G$100,'07'!$R$3:$R$100,"-")</f>
        <v/>
      </c>
      <c r="J495" s="68">
        <f>_xlfn.XLOOKUP($A495,'08'!$G$3:$G$100,'08'!$R$3:$R$100,"-")</f>
        <v/>
      </c>
      <c r="K495" s="68">
        <f>_xlfn.XLOOKUP($A495,'09'!$G$3:$G$100,'09'!$R$3:$R$100,"-")</f>
        <v/>
      </c>
      <c r="L495" s="68">
        <f>_xlfn.XLOOKUP($A495,'10'!$G$3:$G$100,'10'!$R$3:$R$100,"-")</f>
        <v/>
      </c>
      <c r="M495" s="68">
        <f>_xlfn.XLOOKUP($A495,'11'!$G$3:$G$100,'11'!$R$3:$R$100,"-")</f>
        <v/>
      </c>
      <c r="N495" s="68">
        <f>_xlfn.XLOOKUP($A495,'12'!$G$3:$G$100,'12'!$R$3:$R$100,"-")</f>
        <v/>
      </c>
      <c r="O495" s="79">
        <f>SUM(C495:N495)</f>
        <v/>
      </c>
      <c r="P495" s="74" t="n"/>
      <c r="Q495" s="82" t="n">
        <v>493</v>
      </c>
      <c r="R495" s="38" t="n"/>
      <c r="S495" s="61" t="n">
        <v>0</v>
      </c>
      <c r="T495" s="68" t="n">
        <v>0</v>
      </c>
      <c r="U495" s="68" t="n">
        <v>0</v>
      </c>
      <c r="V495" s="68" t="n">
        <v>0</v>
      </c>
      <c r="W495" s="68" t="n">
        <v>0</v>
      </c>
      <c r="X495" s="68" t="n">
        <v>0</v>
      </c>
      <c r="Y495" s="68" t="n">
        <v>0</v>
      </c>
      <c r="Z495" s="68" t="n">
        <v>0</v>
      </c>
      <c r="AA495" s="68" t="n">
        <v>0</v>
      </c>
      <c r="AB495" s="68" t="n">
        <v>0</v>
      </c>
      <c r="AC495" s="68" t="n">
        <v>0</v>
      </c>
      <c r="AD495" s="68" t="n">
        <v>0</v>
      </c>
      <c r="AE495" s="68" t="n">
        <v>0</v>
      </c>
      <c r="AF495" s="79" t="n">
        <v>0</v>
      </c>
      <c r="AG495" s="74" t="n">
        <v>0</v>
      </c>
      <c r="AH495" s="82" t="n">
        <v>493</v>
      </c>
    </row>
    <row r="496" ht="18" customHeight="1">
      <c r="C496" s="68">
        <f>_xlfn.XLOOKUP($A496,'01'!$G$3:$G$100,'01'!$R$3:$R$100,"-")</f>
        <v/>
      </c>
      <c r="D496" s="68">
        <f>_xlfn.XLOOKUP($A496,'02'!$G$3:$G$100,'02'!$R$3:$R$100,"-")</f>
        <v/>
      </c>
      <c r="E496" s="68">
        <f>_xlfn.XLOOKUP($A496,'03'!$G$3:$G$100,'03'!$R$3:$R$100,"-")</f>
        <v/>
      </c>
      <c r="F496" s="68">
        <f>_xlfn.XLOOKUP($A496,'04'!$G$3:$G$100,'04'!$R$3:$R$100,"-")</f>
        <v/>
      </c>
      <c r="G496" s="68">
        <f>_xlfn.XLOOKUP($A496,'05'!$G$3:$G$100,'05'!$R$3:$R$100,"-")</f>
        <v/>
      </c>
      <c r="H496" s="68">
        <f>_xlfn.XLOOKUP($A496,'06'!$G$3:$G$100,'06'!$R$3:$R$100,"-")</f>
        <v/>
      </c>
      <c r="I496" s="68">
        <f>_xlfn.XLOOKUP($A496,'07'!$G$3:$G$100,'07'!$R$3:$R$100,"-")</f>
        <v/>
      </c>
      <c r="J496" s="68">
        <f>_xlfn.XLOOKUP($A496,'08'!$G$3:$G$100,'08'!$R$3:$R$100,"-")</f>
        <v/>
      </c>
      <c r="K496" s="68">
        <f>_xlfn.XLOOKUP($A496,'09'!$G$3:$G$100,'09'!$R$3:$R$100,"-")</f>
        <v/>
      </c>
      <c r="L496" s="68">
        <f>_xlfn.XLOOKUP($A496,'10'!$G$3:$G$100,'10'!$R$3:$R$100,"-")</f>
        <v/>
      </c>
      <c r="M496" s="68">
        <f>_xlfn.XLOOKUP($A496,'11'!$G$3:$G$100,'11'!$R$3:$R$100,"-")</f>
        <v/>
      </c>
      <c r="N496" s="68">
        <f>_xlfn.XLOOKUP($A496,'12'!$G$3:$G$100,'12'!$R$3:$R$100,"-")</f>
        <v/>
      </c>
      <c r="O496" s="79">
        <f>SUM(C496:N496)</f>
        <v/>
      </c>
      <c r="P496" s="74" t="n"/>
      <c r="Q496" s="82" t="n">
        <v>494</v>
      </c>
      <c r="R496" s="38" t="n"/>
      <c r="S496" s="61" t="n">
        <v>0</v>
      </c>
      <c r="T496" s="68" t="n">
        <v>0</v>
      </c>
      <c r="U496" s="68" t="n">
        <v>0</v>
      </c>
      <c r="V496" s="68" t="n">
        <v>0</v>
      </c>
      <c r="W496" s="68" t="n">
        <v>0</v>
      </c>
      <c r="X496" s="68" t="n">
        <v>0</v>
      </c>
      <c r="Y496" s="68" t="n">
        <v>0</v>
      </c>
      <c r="Z496" s="68" t="n">
        <v>0</v>
      </c>
      <c r="AA496" s="68" t="n">
        <v>0</v>
      </c>
      <c r="AB496" s="68" t="n">
        <v>0</v>
      </c>
      <c r="AC496" s="68" t="n">
        <v>0</v>
      </c>
      <c r="AD496" s="68" t="n">
        <v>0</v>
      </c>
      <c r="AE496" s="68" t="n">
        <v>0</v>
      </c>
      <c r="AF496" s="79" t="n">
        <v>0</v>
      </c>
      <c r="AG496" s="74" t="n">
        <v>0</v>
      </c>
      <c r="AH496" s="82" t="n">
        <v>494</v>
      </c>
    </row>
    <row r="497" ht="18" customHeight="1">
      <c r="C497" s="68">
        <f>_xlfn.XLOOKUP($A497,'01'!$G$3:$G$100,'01'!$R$3:$R$100,"-")</f>
        <v/>
      </c>
      <c r="D497" s="68">
        <f>_xlfn.XLOOKUP($A497,'02'!$G$3:$G$100,'02'!$R$3:$R$100,"-")</f>
        <v/>
      </c>
      <c r="E497" s="68">
        <f>_xlfn.XLOOKUP($A497,'03'!$G$3:$G$100,'03'!$R$3:$R$100,"-")</f>
        <v/>
      </c>
      <c r="F497" s="68">
        <f>_xlfn.XLOOKUP($A497,'04'!$G$3:$G$100,'04'!$R$3:$R$100,"-")</f>
        <v/>
      </c>
      <c r="G497" s="68">
        <f>_xlfn.XLOOKUP($A497,'05'!$G$3:$G$100,'05'!$R$3:$R$100,"-")</f>
        <v/>
      </c>
      <c r="H497" s="68">
        <f>_xlfn.XLOOKUP($A497,'06'!$G$3:$G$100,'06'!$R$3:$R$100,"-")</f>
        <v/>
      </c>
      <c r="I497" s="68">
        <f>_xlfn.XLOOKUP($A497,'07'!$G$3:$G$100,'07'!$R$3:$R$100,"-")</f>
        <v/>
      </c>
      <c r="J497" s="68">
        <f>_xlfn.XLOOKUP($A497,'08'!$G$3:$G$100,'08'!$R$3:$R$100,"-")</f>
        <v/>
      </c>
      <c r="K497" s="68">
        <f>_xlfn.XLOOKUP($A497,'09'!$G$3:$G$100,'09'!$R$3:$R$100,"-")</f>
        <v/>
      </c>
      <c r="L497" s="68">
        <f>_xlfn.XLOOKUP($A497,'10'!$G$3:$G$100,'10'!$R$3:$R$100,"-")</f>
        <v/>
      </c>
      <c r="M497" s="68">
        <f>_xlfn.XLOOKUP($A497,'11'!$G$3:$G$100,'11'!$R$3:$R$100,"-")</f>
        <v/>
      </c>
      <c r="N497" s="68">
        <f>_xlfn.XLOOKUP($A497,'12'!$G$3:$G$100,'12'!$R$3:$R$100,"-")</f>
        <v/>
      </c>
      <c r="O497" s="79">
        <f>SUM(C497:N497)</f>
        <v/>
      </c>
      <c r="P497" s="74" t="n"/>
      <c r="Q497" s="83" t="n">
        <v>495</v>
      </c>
      <c r="R497" s="38" t="n"/>
      <c r="S497" s="61" t="n">
        <v>0</v>
      </c>
      <c r="T497" s="68" t="n">
        <v>0</v>
      </c>
      <c r="U497" s="68" t="n">
        <v>0</v>
      </c>
      <c r="V497" s="68" t="n">
        <v>0</v>
      </c>
      <c r="W497" s="68" t="n">
        <v>0</v>
      </c>
      <c r="X497" s="68" t="n">
        <v>0</v>
      </c>
      <c r="Y497" s="68" t="n">
        <v>0</v>
      </c>
      <c r="Z497" s="68" t="n">
        <v>0</v>
      </c>
      <c r="AA497" s="68" t="n">
        <v>0</v>
      </c>
      <c r="AB497" s="68" t="n">
        <v>0</v>
      </c>
      <c r="AC497" s="68" t="n">
        <v>0</v>
      </c>
      <c r="AD497" s="68" t="n">
        <v>0</v>
      </c>
      <c r="AE497" s="68" t="n">
        <v>0</v>
      </c>
      <c r="AF497" s="79" t="n">
        <v>0</v>
      </c>
      <c r="AG497" s="74" t="n">
        <v>0</v>
      </c>
      <c r="AH497" s="83" t="n">
        <v>495</v>
      </c>
    </row>
    <row r="498" ht="18" customHeight="1">
      <c r="C498" s="68">
        <f>_xlfn.XLOOKUP($A498,'01'!$G$3:$G$100,'01'!$R$3:$R$100,"-")</f>
        <v/>
      </c>
      <c r="D498" s="68">
        <f>_xlfn.XLOOKUP($A498,'02'!$G$3:$G$100,'02'!$R$3:$R$100,"-")</f>
        <v/>
      </c>
      <c r="E498" s="68">
        <f>_xlfn.XLOOKUP($A498,'03'!$G$3:$G$100,'03'!$R$3:$R$100,"-")</f>
        <v/>
      </c>
      <c r="F498" s="68">
        <f>_xlfn.XLOOKUP($A498,'04'!$G$3:$G$100,'04'!$R$3:$R$100,"-")</f>
        <v/>
      </c>
      <c r="G498" s="68">
        <f>_xlfn.XLOOKUP($A498,'05'!$G$3:$G$100,'05'!$R$3:$R$100,"-")</f>
        <v/>
      </c>
      <c r="H498" s="68">
        <f>_xlfn.XLOOKUP($A498,'06'!$G$3:$G$100,'06'!$R$3:$R$100,"-")</f>
        <v/>
      </c>
      <c r="I498" s="68">
        <f>_xlfn.XLOOKUP($A498,'07'!$G$3:$G$100,'07'!$R$3:$R$100,"-")</f>
        <v/>
      </c>
      <c r="J498" s="68">
        <f>_xlfn.XLOOKUP($A498,'08'!$G$3:$G$100,'08'!$R$3:$R$100,"-")</f>
        <v/>
      </c>
      <c r="K498" s="68">
        <f>_xlfn.XLOOKUP($A498,'09'!$G$3:$G$100,'09'!$R$3:$R$100,"-")</f>
        <v/>
      </c>
      <c r="L498" s="68">
        <f>_xlfn.XLOOKUP($A498,'10'!$G$3:$G$100,'10'!$R$3:$R$100,"-")</f>
        <v/>
      </c>
      <c r="M498" s="68">
        <f>_xlfn.XLOOKUP($A498,'11'!$G$3:$G$100,'11'!$R$3:$R$100,"-")</f>
        <v/>
      </c>
      <c r="N498" s="68">
        <f>_xlfn.XLOOKUP($A498,'12'!$G$3:$G$100,'12'!$R$3:$R$100,"-")</f>
        <v/>
      </c>
      <c r="O498" s="79">
        <f>SUM(C498:N498)</f>
        <v/>
      </c>
      <c r="P498" s="74" t="n"/>
      <c r="Q498" s="82" t="n">
        <v>496</v>
      </c>
      <c r="R498" s="38" t="n"/>
      <c r="S498" s="61" t="n">
        <v>0</v>
      </c>
      <c r="T498" s="68" t="n">
        <v>0</v>
      </c>
      <c r="U498" s="68" t="n">
        <v>0</v>
      </c>
      <c r="V498" s="68" t="n">
        <v>0</v>
      </c>
      <c r="W498" s="68" t="n">
        <v>0</v>
      </c>
      <c r="X498" s="68" t="n">
        <v>0</v>
      </c>
      <c r="Y498" s="68" t="n">
        <v>0</v>
      </c>
      <c r="Z498" s="68" t="n">
        <v>0</v>
      </c>
      <c r="AA498" s="68" t="n">
        <v>0</v>
      </c>
      <c r="AB498" s="68" t="n">
        <v>0</v>
      </c>
      <c r="AC498" s="68" t="n">
        <v>0</v>
      </c>
      <c r="AD498" s="68" t="n">
        <v>0</v>
      </c>
      <c r="AE498" s="68" t="n">
        <v>0</v>
      </c>
      <c r="AF498" s="79" t="n">
        <v>0</v>
      </c>
      <c r="AG498" s="74" t="n">
        <v>0</v>
      </c>
      <c r="AH498" s="82" t="n">
        <v>496</v>
      </c>
    </row>
    <row r="499" ht="18" customHeight="1">
      <c r="C499" s="68">
        <f>_xlfn.XLOOKUP($A499,'01'!$G$3:$G$100,'01'!$R$3:$R$100,"-")</f>
        <v/>
      </c>
      <c r="D499" s="68">
        <f>_xlfn.XLOOKUP($A499,'02'!$G$3:$G$100,'02'!$R$3:$R$100,"-")</f>
        <v/>
      </c>
      <c r="E499" s="68">
        <f>_xlfn.XLOOKUP($A499,'03'!$G$3:$G$100,'03'!$R$3:$R$100,"-")</f>
        <v/>
      </c>
      <c r="F499" s="68">
        <f>_xlfn.XLOOKUP($A499,'04'!$G$3:$G$100,'04'!$R$3:$R$100,"-")</f>
        <v/>
      </c>
      <c r="G499" s="68">
        <f>_xlfn.XLOOKUP($A499,'05'!$G$3:$G$100,'05'!$R$3:$R$100,"-")</f>
        <v/>
      </c>
      <c r="H499" s="68">
        <f>_xlfn.XLOOKUP($A499,'06'!$G$3:$G$100,'06'!$R$3:$R$100,"-")</f>
        <v/>
      </c>
      <c r="I499" s="68">
        <f>_xlfn.XLOOKUP($A499,'07'!$G$3:$G$100,'07'!$R$3:$R$100,"-")</f>
        <v/>
      </c>
      <c r="J499" s="68">
        <f>_xlfn.XLOOKUP($A499,'08'!$G$3:$G$100,'08'!$R$3:$R$100,"-")</f>
        <v/>
      </c>
      <c r="K499" s="68">
        <f>_xlfn.XLOOKUP($A499,'09'!$G$3:$G$100,'09'!$R$3:$R$100,"-")</f>
        <v/>
      </c>
      <c r="L499" s="68">
        <f>_xlfn.XLOOKUP($A499,'10'!$G$3:$G$100,'10'!$R$3:$R$100,"-")</f>
        <v/>
      </c>
      <c r="M499" s="68">
        <f>_xlfn.XLOOKUP($A499,'11'!$G$3:$G$100,'11'!$R$3:$R$100,"-")</f>
        <v/>
      </c>
      <c r="N499" s="68">
        <f>_xlfn.XLOOKUP($A499,'12'!$G$3:$G$100,'12'!$R$3:$R$100,"-")</f>
        <v/>
      </c>
      <c r="O499" s="79">
        <f>SUM(C499:N499)</f>
        <v/>
      </c>
      <c r="P499" s="74" t="n"/>
      <c r="Q499" s="82" t="n">
        <v>497</v>
      </c>
      <c r="R499" s="38" t="n"/>
      <c r="S499" s="61" t="n">
        <v>0</v>
      </c>
      <c r="T499" s="68" t="n">
        <v>0</v>
      </c>
      <c r="U499" s="68" t="n">
        <v>0</v>
      </c>
      <c r="V499" s="68" t="n">
        <v>0</v>
      </c>
      <c r="W499" s="68" t="n">
        <v>0</v>
      </c>
      <c r="X499" s="68" t="n">
        <v>0</v>
      </c>
      <c r="Y499" s="68" t="n">
        <v>0</v>
      </c>
      <c r="Z499" s="68" t="n">
        <v>0</v>
      </c>
      <c r="AA499" s="68" t="n">
        <v>0</v>
      </c>
      <c r="AB499" s="68" t="n">
        <v>0</v>
      </c>
      <c r="AC499" s="68" t="n">
        <v>0</v>
      </c>
      <c r="AD499" s="68" t="n">
        <v>0</v>
      </c>
      <c r="AE499" s="68" t="n">
        <v>0</v>
      </c>
      <c r="AF499" s="79" t="n">
        <v>0</v>
      </c>
      <c r="AG499" s="74" t="n">
        <v>0</v>
      </c>
      <c r="AH499" s="82" t="n">
        <v>497</v>
      </c>
    </row>
    <row r="500" ht="18" customHeight="1">
      <c r="C500" s="68">
        <f>_xlfn.XLOOKUP($A500,'01'!$G$3:$G$100,'01'!$R$3:$R$100,"-")</f>
        <v/>
      </c>
      <c r="D500" s="68">
        <f>_xlfn.XLOOKUP($A500,'02'!$G$3:$G$100,'02'!$R$3:$R$100,"-")</f>
        <v/>
      </c>
      <c r="E500" s="68">
        <f>_xlfn.XLOOKUP($A500,'03'!$G$3:$G$100,'03'!$R$3:$R$100,"-")</f>
        <v/>
      </c>
      <c r="F500" s="68">
        <f>_xlfn.XLOOKUP($A500,'04'!$G$3:$G$100,'04'!$R$3:$R$100,"-")</f>
        <v/>
      </c>
      <c r="G500" s="68">
        <f>_xlfn.XLOOKUP($A500,'05'!$G$3:$G$100,'05'!$R$3:$R$100,"-")</f>
        <v/>
      </c>
      <c r="H500" s="68">
        <f>_xlfn.XLOOKUP($A500,'06'!$G$3:$G$100,'06'!$R$3:$R$100,"-")</f>
        <v/>
      </c>
      <c r="I500" s="68">
        <f>_xlfn.XLOOKUP($A500,'07'!$G$3:$G$100,'07'!$R$3:$R$100,"-")</f>
        <v/>
      </c>
      <c r="J500" s="68">
        <f>_xlfn.XLOOKUP($A500,'08'!$G$3:$G$100,'08'!$R$3:$R$100,"-")</f>
        <v/>
      </c>
      <c r="K500" s="68">
        <f>_xlfn.XLOOKUP($A500,'09'!$G$3:$G$100,'09'!$R$3:$R$100,"-")</f>
        <v/>
      </c>
      <c r="L500" s="68">
        <f>_xlfn.XLOOKUP($A500,'10'!$G$3:$G$100,'10'!$R$3:$R$100,"-")</f>
        <v/>
      </c>
      <c r="M500" s="68">
        <f>_xlfn.XLOOKUP($A500,'11'!$G$3:$G$100,'11'!$R$3:$R$100,"-")</f>
        <v/>
      </c>
      <c r="N500" s="68">
        <f>_xlfn.XLOOKUP($A500,'12'!$G$3:$G$100,'12'!$R$3:$R$100,"-")</f>
        <v/>
      </c>
      <c r="O500" s="79">
        <f>SUM(C500:N500)</f>
        <v/>
      </c>
      <c r="P500" s="74" t="n"/>
      <c r="Q500" s="82" t="n">
        <v>498</v>
      </c>
      <c r="R500" s="38" t="n"/>
      <c r="S500" s="61" t="n">
        <v>0</v>
      </c>
      <c r="T500" s="68" t="n">
        <v>0</v>
      </c>
      <c r="U500" s="68" t="n">
        <v>0</v>
      </c>
      <c r="V500" s="68" t="n">
        <v>0</v>
      </c>
      <c r="W500" s="68" t="n">
        <v>0</v>
      </c>
      <c r="X500" s="68" t="n">
        <v>0</v>
      </c>
      <c r="Y500" s="68" t="n">
        <v>0</v>
      </c>
      <c r="Z500" s="68" t="n">
        <v>0</v>
      </c>
      <c r="AA500" s="68" t="n">
        <v>0</v>
      </c>
      <c r="AB500" s="68" t="n">
        <v>0</v>
      </c>
      <c r="AC500" s="68" t="n">
        <v>0</v>
      </c>
      <c r="AD500" s="68" t="n">
        <v>0</v>
      </c>
      <c r="AE500" s="68" t="n">
        <v>0</v>
      </c>
      <c r="AF500" s="79" t="n">
        <v>0</v>
      </c>
      <c r="AG500" s="74" t="n">
        <v>0</v>
      </c>
      <c r="AH500" s="82" t="n">
        <v>498</v>
      </c>
    </row>
    <row r="501" ht="18" customHeight="1"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80" t="n"/>
      <c r="P501" s="76" t="n"/>
      <c r="Q501" s="77" t="n"/>
      <c r="R501" s="38" t="n"/>
      <c r="T501" s="68" t="n"/>
      <c r="U501" s="68" t="n"/>
      <c r="V501" s="68" t="n"/>
      <c r="W501" s="68" t="n"/>
      <c r="X501" s="68" t="n"/>
      <c r="Y501" s="68" t="n"/>
      <c r="Z501" s="68" t="n"/>
      <c r="AA501" s="68" t="n"/>
      <c r="AB501" s="68" t="n"/>
      <c r="AC501" s="68" t="n"/>
      <c r="AD501" s="68" t="n"/>
      <c r="AE501" s="68" t="n"/>
      <c r="AF501" s="80" t="n"/>
      <c r="AG501" s="76" t="n"/>
      <c r="AH501" s="77" t="n"/>
    </row>
    <row r="502" ht="18" customHeight="1"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80" t="n"/>
      <c r="P502" s="76" t="n"/>
      <c r="Q502" s="77" t="n"/>
      <c r="R502" s="38" t="n"/>
      <c r="T502" s="68" t="n"/>
      <c r="U502" s="68" t="n"/>
      <c r="V502" s="68" t="n"/>
      <c r="W502" s="68" t="n"/>
      <c r="X502" s="68" t="n"/>
      <c r="Y502" s="68" t="n"/>
      <c r="Z502" s="68" t="n"/>
      <c r="AA502" s="68" t="n"/>
      <c r="AB502" s="68" t="n"/>
      <c r="AC502" s="68" t="n"/>
      <c r="AD502" s="68" t="n"/>
      <c r="AE502" s="68" t="n"/>
      <c r="AF502" s="80" t="n"/>
      <c r="AG502" s="76" t="n"/>
      <c r="AH502" s="77" t="n"/>
    </row>
    <row r="503" ht="18" customHeight="1"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80" t="n"/>
      <c r="P503" s="76" t="n"/>
      <c r="Q503" s="77" t="n"/>
      <c r="R503" s="38" t="n"/>
      <c r="T503" s="68" t="n"/>
      <c r="U503" s="68" t="n"/>
      <c r="V503" s="68" t="n"/>
      <c r="W503" s="68" t="n"/>
      <c r="X503" s="68" t="n"/>
      <c r="Y503" s="68" t="n"/>
      <c r="Z503" s="68" t="n"/>
      <c r="AA503" s="68" t="n"/>
      <c r="AB503" s="68" t="n"/>
      <c r="AC503" s="68" t="n"/>
      <c r="AD503" s="68" t="n"/>
      <c r="AE503" s="68" t="n"/>
      <c r="AF503" s="80" t="n"/>
      <c r="AG503" s="76" t="n"/>
      <c r="AH503" s="77" t="n"/>
    </row>
    <row r="504" ht="18" customHeight="1"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80" t="n"/>
      <c r="P504" s="76" t="n"/>
      <c r="Q504" s="77" t="n"/>
      <c r="R504" s="38" t="n"/>
      <c r="T504" s="68" t="n"/>
      <c r="U504" s="68" t="n"/>
      <c r="V504" s="68" t="n"/>
      <c r="W504" s="68" t="n"/>
      <c r="X504" s="68" t="n"/>
      <c r="Y504" s="68" t="n"/>
      <c r="Z504" s="68" t="n"/>
      <c r="AA504" s="68" t="n"/>
      <c r="AB504" s="68" t="n"/>
      <c r="AC504" s="68" t="n"/>
      <c r="AD504" s="68" t="n"/>
      <c r="AE504" s="68" t="n"/>
      <c r="AF504" s="80" t="n"/>
      <c r="AG504" s="76" t="n"/>
      <c r="AH504" s="77" t="n"/>
    </row>
    <row r="505" ht="18" customHeight="1"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80" t="n"/>
      <c r="P505" s="76" t="n"/>
      <c r="Q505" s="77" t="n"/>
      <c r="R505" s="38" t="n"/>
      <c r="T505" s="68" t="n"/>
      <c r="U505" s="68" t="n"/>
      <c r="V505" s="68" t="n"/>
      <c r="W505" s="68" t="n"/>
      <c r="X505" s="68" t="n"/>
      <c r="Y505" s="68" t="n"/>
      <c r="Z505" s="68" t="n"/>
      <c r="AA505" s="68" t="n"/>
      <c r="AB505" s="68" t="n"/>
      <c r="AC505" s="68" t="n"/>
      <c r="AD505" s="68" t="n"/>
      <c r="AE505" s="68" t="n"/>
      <c r="AF505" s="80" t="n"/>
      <c r="AG505" s="76" t="n"/>
      <c r="AH505" s="77" t="n"/>
    </row>
    <row r="506" ht="18" customHeight="1"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80" t="n"/>
      <c r="P506" s="76" t="n"/>
      <c r="Q506" s="77" t="n"/>
      <c r="R506" s="38" t="n"/>
      <c r="T506" s="68" t="n"/>
      <c r="U506" s="68" t="n"/>
      <c r="V506" s="68" t="n"/>
      <c r="W506" s="68" t="n"/>
      <c r="X506" s="68" t="n"/>
      <c r="Y506" s="68" t="n"/>
      <c r="Z506" s="68" t="n"/>
      <c r="AA506" s="68" t="n"/>
      <c r="AB506" s="68" t="n"/>
      <c r="AC506" s="68" t="n"/>
      <c r="AD506" s="68" t="n"/>
      <c r="AE506" s="68" t="n"/>
      <c r="AF506" s="80" t="n"/>
      <c r="AG506" s="76" t="n"/>
      <c r="AH506" s="77" t="n"/>
    </row>
    <row r="507" ht="18" customHeight="1"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80" t="n"/>
      <c r="P507" s="76" t="n"/>
      <c r="Q507" s="77" t="n"/>
      <c r="R507" s="38" t="n"/>
      <c r="T507" s="68" t="n"/>
      <c r="U507" s="68" t="n"/>
      <c r="V507" s="68" t="n"/>
      <c r="W507" s="68" t="n"/>
      <c r="X507" s="68" t="n"/>
      <c r="Y507" s="68" t="n"/>
      <c r="Z507" s="68" t="n"/>
      <c r="AA507" s="68" t="n"/>
      <c r="AB507" s="68" t="n"/>
      <c r="AC507" s="68" t="n"/>
      <c r="AD507" s="68" t="n"/>
      <c r="AE507" s="68" t="n"/>
      <c r="AF507" s="80" t="n"/>
      <c r="AG507" s="76" t="n"/>
      <c r="AH507" s="77" t="n"/>
    </row>
    <row r="508" ht="18" customHeight="1"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80" t="n"/>
      <c r="P508" s="76" t="n"/>
      <c r="Q508" s="77" t="n"/>
      <c r="R508" s="38" t="n"/>
      <c r="T508" s="68" t="n"/>
      <c r="U508" s="68" t="n"/>
      <c r="V508" s="68" t="n"/>
      <c r="W508" s="68" t="n"/>
      <c r="X508" s="68" t="n"/>
      <c r="Y508" s="68" t="n"/>
      <c r="Z508" s="68" t="n"/>
      <c r="AA508" s="68" t="n"/>
      <c r="AB508" s="68" t="n"/>
      <c r="AC508" s="68" t="n"/>
      <c r="AD508" s="68" t="n"/>
      <c r="AE508" s="68" t="n"/>
      <c r="AF508" s="80" t="n"/>
      <c r="AG508" s="76" t="n"/>
      <c r="AH508" s="77" t="n"/>
    </row>
    <row r="509" ht="18" customHeight="1"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80" t="n"/>
      <c r="P509" s="76" t="n"/>
      <c r="Q509" s="77" t="n"/>
      <c r="R509" s="38" t="n"/>
      <c r="T509" s="68" t="n"/>
      <c r="U509" s="68" t="n"/>
      <c r="V509" s="68" t="n"/>
      <c r="W509" s="68" t="n"/>
      <c r="X509" s="68" t="n"/>
      <c r="Y509" s="68" t="n"/>
      <c r="Z509" s="68" t="n"/>
      <c r="AA509" s="68" t="n"/>
      <c r="AB509" s="68" t="n"/>
      <c r="AC509" s="68" t="n"/>
      <c r="AD509" s="68" t="n"/>
      <c r="AE509" s="68" t="n"/>
      <c r="AF509" s="80" t="n"/>
      <c r="AG509" s="76" t="n"/>
      <c r="AH509" s="77" t="n"/>
    </row>
    <row r="510" ht="18" customHeight="1"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80" t="n"/>
      <c r="P510" s="76" t="n"/>
      <c r="Q510" s="77" t="n"/>
      <c r="R510" s="38" t="n"/>
      <c r="T510" s="68" t="n"/>
      <c r="U510" s="68" t="n"/>
      <c r="V510" s="68" t="n"/>
      <c r="W510" s="68" t="n"/>
      <c r="X510" s="68" t="n"/>
      <c r="Y510" s="68" t="n"/>
      <c r="Z510" s="68" t="n"/>
      <c r="AA510" s="68" t="n"/>
      <c r="AB510" s="68" t="n"/>
      <c r="AC510" s="68" t="n"/>
      <c r="AD510" s="68" t="n"/>
      <c r="AE510" s="68" t="n"/>
      <c r="AF510" s="80" t="n"/>
      <c r="AG510" s="76" t="n"/>
      <c r="AH510" s="77" t="n"/>
    </row>
    <row r="511" ht="18" customHeight="1"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80" t="n"/>
      <c r="P511" s="76" t="n"/>
      <c r="Q511" s="77" t="n"/>
      <c r="R511" s="38" t="n"/>
      <c r="T511" s="68" t="n"/>
      <c r="U511" s="68" t="n"/>
      <c r="V511" s="68" t="n"/>
      <c r="W511" s="68" t="n"/>
      <c r="X511" s="68" t="n"/>
      <c r="Y511" s="68" t="n"/>
      <c r="Z511" s="68" t="n"/>
      <c r="AA511" s="68" t="n"/>
      <c r="AB511" s="68" t="n"/>
      <c r="AC511" s="68" t="n"/>
      <c r="AD511" s="68" t="n"/>
      <c r="AE511" s="68" t="n"/>
      <c r="AF511" s="80" t="n"/>
      <c r="AG511" s="76" t="n"/>
      <c r="AH511" s="77" t="n"/>
    </row>
    <row r="512" ht="18" customHeight="1"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80" t="n"/>
      <c r="P512" s="76" t="n"/>
      <c r="Q512" s="77" t="n"/>
      <c r="R512" s="38" t="n"/>
      <c r="T512" s="68" t="n"/>
      <c r="U512" s="68" t="n"/>
      <c r="V512" s="68" t="n"/>
      <c r="W512" s="68" t="n"/>
      <c r="X512" s="68" t="n"/>
      <c r="Y512" s="68" t="n"/>
      <c r="Z512" s="68" t="n"/>
      <c r="AA512" s="68" t="n"/>
      <c r="AB512" s="68" t="n"/>
      <c r="AC512" s="68" t="n"/>
      <c r="AD512" s="68" t="n"/>
      <c r="AE512" s="68" t="n"/>
      <c r="AF512" s="80" t="n"/>
      <c r="AG512" s="76" t="n"/>
      <c r="AH512" s="77" t="n"/>
    </row>
    <row r="513" ht="18" customHeight="1"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80" t="n"/>
      <c r="P513" s="76" t="n"/>
      <c r="Q513" s="77" t="n"/>
      <c r="R513" s="38" t="n"/>
      <c r="T513" s="68" t="n"/>
      <c r="U513" s="68" t="n"/>
      <c r="V513" s="68" t="n"/>
      <c r="W513" s="68" t="n"/>
      <c r="X513" s="68" t="n"/>
      <c r="Y513" s="68" t="n"/>
      <c r="Z513" s="68" t="n"/>
      <c r="AA513" s="68" t="n"/>
      <c r="AB513" s="68" t="n"/>
      <c r="AC513" s="68" t="n"/>
      <c r="AD513" s="68" t="n"/>
      <c r="AE513" s="68" t="n"/>
      <c r="AF513" s="80" t="n"/>
      <c r="AG513" s="76" t="n"/>
      <c r="AH513" s="77" t="n"/>
    </row>
    <row r="514" ht="18" customHeight="1"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80" t="n"/>
      <c r="P514" s="76" t="n"/>
      <c r="Q514" s="77" t="n"/>
      <c r="R514" s="38" t="n"/>
      <c r="T514" s="68" t="n"/>
      <c r="U514" s="68" t="n"/>
      <c r="V514" s="68" t="n"/>
      <c r="W514" s="68" t="n"/>
      <c r="X514" s="68" t="n"/>
      <c r="Y514" s="68" t="n"/>
      <c r="Z514" s="68" t="n"/>
      <c r="AA514" s="68" t="n"/>
      <c r="AB514" s="68" t="n"/>
      <c r="AC514" s="68" t="n"/>
      <c r="AD514" s="68" t="n"/>
      <c r="AE514" s="68" t="n"/>
      <c r="AF514" s="80" t="n"/>
      <c r="AG514" s="76" t="n"/>
      <c r="AH514" s="77" t="n"/>
    </row>
    <row r="515" ht="18" customHeight="1"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80" t="n"/>
      <c r="P515" s="76" t="n"/>
      <c r="Q515" s="77" t="n"/>
      <c r="R515" s="38" t="n"/>
      <c r="T515" s="68" t="n"/>
      <c r="U515" s="68" t="n"/>
      <c r="V515" s="68" t="n"/>
      <c r="W515" s="68" t="n"/>
      <c r="X515" s="68" t="n"/>
      <c r="Y515" s="68" t="n"/>
      <c r="Z515" s="68" t="n"/>
      <c r="AA515" s="68" t="n"/>
      <c r="AB515" s="68" t="n"/>
      <c r="AC515" s="68" t="n"/>
      <c r="AD515" s="68" t="n"/>
      <c r="AE515" s="68" t="n"/>
      <c r="AF515" s="80" t="n"/>
      <c r="AG515" s="76" t="n"/>
      <c r="AH515" s="77" t="n"/>
    </row>
    <row r="516" ht="18" customHeight="1"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80" t="n"/>
      <c r="P516" s="76" t="n"/>
      <c r="Q516" s="77" t="n"/>
      <c r="R516" s="38" t="n"/>
      <c r="T516" s="68" t="n"/>
      <c r="U516" s="68" t="n"/>
      <c r="V516" s="68" t="n"/>
      <c r="W516" s="68" t="n"/>
      <c r="X516" s="68" t="n"/>
      <c r="Y516" s="68" t="n"/>
      <c r="Z516" s="68" t="n"/>
      <c r="AA516" s="68" t="n"/>
      <c r="AB516" s="68" t="n"/>
      <c r="AC516" s="68" t="n"/>
      <c r="AD516" s="68" t="n"/>
      <c r="AE516" s="68" t="n"/>
      <c r="AF516" s="80" t="n"/>
      <c r="AG516" s="76" t="n"/>
      <c r="AH516" s="77" t="n"/>
    </row>
    <row r="517" ht="18" customHeight="1"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80" t="n"/>
      <c r="P517" s="76" t="n"/>
      <c r="Q517" s="77" t="n"/>
      <c r="R517" s="38" t="n"/>
      <c r="T517" s="68" t="n"/>
      <c r="U517" s="68" t="n"/>
      <c r="V517" s="68" t="n"/>
      <c r="W517" s="68" t="n"/>
      <c r="X517" s="68" t="n"/>
      <c r="Y517" s="68" t="n"/>
      <c r="Z517" s="68" t="n"/>
      <c r="AA517" s="68" t="n"/>
      <c r="AB517" s="68" t="n"/>
      <c r="AC517" s="68" t="n"/>
      <c r="AD517" s="68" t="n"/>
      <c r="AE517" s="68" t="n"/>
      <c r="AF517" s="80" t="n"/>
      <c r="AG517" s="76" t="n"/>
      <c r="AH517" s="77" t="n"/>
    </row>
    <row r="518" ht="18" customHeight="1"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80" t="n"/>
      <c r="P518" s="76" t="n"/>
      <c r="Q518" s="77" t="n"/>
      <c r="R518" s="38" t="n"/>
      <c r="T518" s="68" t="n"/>
      <c r="U518" s="68" t="n"/>
      <c r="V518" s="68" t="n"/>
      <c r="W518" s="68" t="n"/>
      <c r="X518" s="68" t="n"/>
      <c r="Y518" s="68" t="n"/>
      <c r="Z518" s="68" t="n"/>
      <c r="AA518" s="68" t="n"/>
      <c r="AB518" s="68" t="n"/>
      <c r="AC518" s="68" t="n"/>
      <c r="AD518" s="68" t="n"/>
      <c r="AE518" s="68" t="n"/>
      <c r="AF518" s="80" t="n"/>
      <c r="AG518" s="76" t="n"/>
      <c r="AH518" s="77" t="n"/>
    </row>
    <row r="519" ht="18" customHeight="1"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80" t="n"/>
      <c r="P519" s="76" t="n"/>
      <c r="Q519" s="77" t="n"/>
      <c r="R519" s="38" t="n"/>
      <c r="T519" s="68" t="n"/>
      <c r="U519" s="68" t="n"/>
      <c r="V519" s="68" t="n"/>
      <c r="W519" s="68" t="n"/>
      <c r="X519" s="68" t="n"/>
      <c r="Y519" s="68" t="n"/>
      <c r="Z519" s="68" t="n"/>
      <c r="AA519" s="68" t="n"/>
      <c r="AB519" s="68" t="n"/>
      <c r="AC519" s="68" t="n"/>
      <c r="AD519" s="68" t="n"/>
      <c r="AE519" s="68" t="n"/>
      <c r="AF519" s="80" t="n"/>
      <c r="AG519" s="76" t="n"/>
      <c r="AH519" s="77" t="n"/>
    </row>
    <row r="520" ht="18" customHeight="1"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80" t="n"/>
      <c r="P520" s="76" t="n"/>
      <c r="Q520" s="77" t="n"/>
      <c r="R520" s="38" t="n"/>
      <c r="T520" s="68" t="n"/>
      <c r="U520" s="68" t="n"/>
      <c r="V520" s="68" t="n"/>
      <c r="W520" s="68" t="n"/>
      <c r="X520" s="68" t="n"/>
      <c r="Y520" s="68" t="n"/>
      <c r="Z520" s="68" t="n"/>
      <c r="AA520" s="68" t="n"/>
      <c r="AB520" s="68" t="n"/>
      <c r="AC520" s="68" t="n"/>
      <c r="AD520" s="68" t="n"/>
      <c r="AE520" s="68" t="n"/>
      <c r="AF520" s="80" t="n"/>
      <c r="AG520" s="76" t="n"/>
      <c r="AH520" s="77" t="n"/>
    </row>
    <row r="521" ht="18" customHeight="1"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80" t="n"/>
      <c r="P521" s="76" t="n"/>
      <c r="Q521" s="77" t="n"/>
      <c r="R521" s="38" t="n"/>
      <c r="T521" s="68" t="n"/>
      <c r="U521" s="68" t="n"/>
      <c r="V521" s="68" t="n"/>
      <c r="W521" s="68" t="n"/>
      <c r="X521" s="68" t="n"/>
      <c r="Y521" s="68" t="n"/>
      <c r="Z521" s="68" t="n"/>
      <c r="AA521" s="68" t="n"/>
      <c r="AB521" s="68" t="n"/>
      <c r="AC521" s="68" t="n"/>
      <c r="AD521" s="68" t="n"/>
      <c r="AE521" s="68" t="n"/>
      <c r="AF521" s="80" t="n"/>
      <c r="AG521" s="76" t="n"/>
      <c r="AH521" s="77" t="n"/>
    </row>
    <row r="522" ht="18" customHeight="1"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80" t="n"/>
      <c r="P522" s="76" t="n"/>
      <c r="Q522" s="77" t="n"/>
      <c r="R522" s="38" t="n"/>
      <c r="T522" s="68" t="n"/>
      <c r="U522" s="68" t="n"/>
      <c r="V522" s="68" t="n"/>
      <c r="W522" s="68" t="n"/>
      <c r="X522" s="68" t="n"/>
      <c r="Y522" s="68" t="n"/>
      <c r="Z522" s="68" t="n"/>
      <c r="AA522" s="68" t="n"/>
      <c r="AB522" s="68" t="n"/>
      <c r="AC522" s="68" t="n"/>
      <c r="AD522" s="68" t="n"/>
      <c r="AE522" s="68" t="n"/>
      <c r="AF522" s="80" t="n"/>
      <c r="AG522" s="76" t="n"/>
      <c r="AH522" s="77" t="n"/>
    </row>
    <row r="523" ht="18" customHeight="1"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80" t="n"/>
      <c r="P523" s="76" t="n"/>
      <c r="Q523" s="77" t="n"/>
      <c r="R523" s="38" t="n"/>
      <c r="T523" s="68" t="n"/>
      <c r="U523" s="68" t="n"/>
      <c r="V523" s="68" t="n"/>
      <c r="W523" s="68" t="n"/>
      <c r="X523" s="68" t="n"/>
      <c r="Y523" s="68" t="n"/>
      <c r="Z523" s="68" t="n"/>
      <c r="AA523" s="68" t="n"/>
      <c r="AB523" s="68" t="n"/>
      <c r="AC523" s="68" t="n"/>
      <c r="AD523" s="68" t="n"/>
      <c r="AE523" s="68" t="n"/>
      <c r="AF523" s="80" t="n"/>
      <c r="AG523" s="76" t="n"/>
      <c r="AH523" s="77" t="n"/>
    </row>
    <row r="524" ht="18" customHeight="1"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80" t="n"/>
      <c r="P524" s="76" t="n"/>
      <c r="Q524" s="77" t="n"/>
      <c r="R524" s="38" t="n"/>
      <c r="T524" s="68" t="n"/>
      <c r="U524" s="68" t="n"/>
      <c r="V524" s="68" t="n"/>
      <c r="W524" s="68" t="n"/>
      <c r="X524" s="68" t="n"/>
      <c r="Y524" s="68" t="n"/>
      <c r="Z524" s="68" t="n"/>
      <c r="AA524" s="68" t="n"/>
      <c r="AB524" s="68" t="n"/>
      <c r="AC524" s="68" t="n"/>
      <c r="AD524" s="68" t="n"/>
      <c r="AE524" s="68" t="n"/>
      <c r="AF524" s="80" t="n"/>
      <c r="AG524" s="76" t="n"/>
      <c r="AH524" s="77" t="n"/>
    </row>
    <row r="525" ht="18" customHeight="1"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80" t="n"/>
      <c r="P525" s="76" t="n"/>
      <c r="Q525" s="77" t="n"/>
      <c r="R525" s="38" t="n"/>
      <c r="T525" s="68" t="n"/>
      <c r="U525" s="68" t="n"/>
      <c r="V525" s="68" t="n"/>
      <c r="W525" s="68" t="n"/>
      <c r="X525" s="68" t="n"/>
      <c r="Y525" s="68" t="n"/>
      <c r="Z525" s="68" t="n"/>
      <c r="AA525" s="68" t="n"/>
      <c r="AB525" s="68" t="n"/>
      <c r="AC525" s="68" t="n"/>
      <c r="AD525" s="68" t="n"/>
      <c r="AE525" s="68" t="n"/>
      <c r="AF525" s="80" t="n"/>
      <c r="AG525" s="76" t="n"/>
      <c r="AH525" s="77" t="n"/>
    </row>
    <row r="526" ht="18" customHeight="1"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80" t="n"/>
      <c r="P526" s="76" t="n"/>
      <c r="Q526" s="77" t="n"/>
      <c r="R526" s="38" t="n"/>
      <c r="T526" s="68" t="n"/>
      <c r="U526" s="68" t="n"/>
      <c r="V526" s="68" t="n"/>
      <c r="W526" s="68" t="n"/>
      <c r="X526" s="68" t="n"/>
      <c r="Y526" s="68" t="n"/>
      <c r="Z526" s="68" t="n"/>
      <c r="AA526" s="68" t="n"/>
      <c r="AB526" s="68" t="n"/>
      <c r="AC526" s="68" t="n"/>
      <c r="AD526" s="68" t="n"/>
      <c r="AE526" s="68" t="n"/>
      <c r="AF526" s="80" t="n"/>
      <c r="AG526" s="76" t="n"/>
      <c r="AH526" s="77" t="n"/>
    </row>
    <row r="527" ht="18" customHeight="1"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80" t="n"/>
      <c r="P527" s="76" t="n"/>
      <c r="Q527" s="77" t="n"/>
      <c r="R527" s="38" t="n"/>
      <c r="T527" s="68" t="n"/>
      <c r="U527" s="68" t="n"/>
      <c r="V527" s="68" t="n"/>
      <c r="W527" s="68" t="n"/>
      <c r="X527" s="68" t="n"/>
      <c r="Y527" s="68" t="n"/>
      <c r="Z527" s="68" t="n"/>
      <c r="AA527" s="68" t="n"/>
      <c r="AB527" s="68" t="n"/>
      <c r="AC527" s="68" t="n"/>
      <c r="AD527" s="68" t="n"/>
      <c r="AE527" s="68" t="n"/>
      <c r="AF527" s="80" t="n"/>
      <c r="AG527" s="76" t="n"/>
      <c r="AH527" s="77" t="n"/>
    </row>
    <row r="528" ht="18" customHeight="1"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80" t="n"/>
      <c r="P528" s="76" t="n"/>
      <c r="Q528" s="77" t="n"/>
      <c r="R528" s="38" t="n"/>
      <c r="T528" s="68" t="n"/>
      <c r="U528" s="68" t="n"/>
      <c r="V528" s="68" t="n"/>
      <c r="W528" s="68" t="n"/>
      <c r="X528" s="68" t="n"/>
      <c r="Y528" s="68" t="n"/>
      <c r="Z528" s="68" t="n"/>
      <c r="AA528" s="68" t="n"/>
      <c r="AB528" s="68" t="n"/>
      <c r="AC528" s="68" t="n"/>
      <c r="AD528" s="68" t="n"/>
      <c r="AE528" s="68" t="n"/>
      <c r="AF528" s="80" t="n"/>
      <c r="AG528" s="76" t="n"/>
      <c r="AH528" s="77" t="n"/>
    </row>
    <row r="529" ht="18" customHeight="1"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80" t="n"/>
      <c r="P529" s="76" t="n"/>
      <c r="Q529" s="77" t="n"/>
      <c r="R529" s="38" t="n"/>
      <c r="T529" s="68" t="n"/>
      <c r="U529" s="68" t="n"/>
      <c r="V529" s="68" t="n"/>
      <c r="W529" s="68" t="n"/>
      <c r="X529" s="68" t="n"/>
      <c r="Y529" s="68" t="n"/>
      <c r="Z529" s="68" t="n"/>
      <c r="AA529" s="68" t="n"/>
      <c r="AB529" s="68" t="n"/>
      <c r="AC529" s="68" t="n"/>
      <c r="AD529" s="68" t="n"/>
      <c r="AE529" s="68" t="n"/>
      <c r="AF529" s="80" t="n"/>
      <c r="AG529" s="76" t="n"/>
      <c r="AH529" s="77" t="n"/>
    </row>
    <row r="530" ht="18" customHeight="1"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80" t="n"/>
      <c r="P530" s="76" t="n"/>
      <c r="Q530" s="77" t="n"/>
      <c r="R530" s="38" t="n"/>
      <c r="T530" s="68" t="n"/>
      <c r="U530" s="68" t="n"/>
      <c r="V530" s="68" t="n"/>
      <c r="W530" s="68" t="n"/>
      <c r="X530" s="68" t="n"/>
      <c r="Y530" s="68" t="n"/>
      <c r="Z530" s="68" t="n"/>
      <c r="AA530" s="68" t="n"/>
      <c r="AB530" s="68" t="n"/>
      <c r="AC530" s="68" t="n"/>
      <c r="AD530" s="68" t="n"/>
      <c r="AE530" s="68" t="n"/>
      <c r="AF530" s="80" t="n"/>
      <c r="AG530" s="76" t="n"/>
      <c r="AH530" s="77" t="n"/>
    </row>
    <row r="531" ht="18" customHeight="1"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80" t="n"/>
      <c r="P531" s="76" t="n"/>
      <c r="Q531" s="77" t="n"/>
      <c r="R531" s="38" t="n"/>
      <c r="T531" s="68" t="n"/>
      <c r="U531" s="68" t="n"/>
      <c r="V531" s="68" t="n"/>
      <c r="W531" s="68" t="n"/>
      <c r="X531" s="68" t="n"/>
      <c r="Y531" s="68" t="n"/>
      <c r="Z531" s="68" t="n"/>
      <c r="AA531" s="68" t="n"/>
      <c r="AB531" s="68" t="n"/>
      <c r="AC531" s="68" t="n"/>
      <c r="AD531" s="68" t="n"/>
      <c r="AE531" s="68" t="n"/>
      <c r="AF531" s="80" t="n"/>
      <c r="AG531" s="76" t="n"/>
      <c r="AH531" s="77" t="n"/>
    </row>
    <row r="532" ht="18" customHeight="1"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80" t="n"/>
      <c r="P532" s="76" t="n"/>
      <c r="Q532" s="77" t="n"/>
      <c r="R532" s="38" t="n"/>
      <c r="T532" s="68" t="n"/>
      <c r="U532" s="68" t="n"/>
      <c r="V532" s="68" t="n"/>
      <c r="W532" s="68" t="n"/>
      <c r="X532" s="68" t="n"/>
      <c r="Y532" s="68" t="n"/>
      <c r="Z532" s="68" t="n"/>
      <c r="AA532" s="68" t="n"/>
      <c r="AB532" s="68" t="n"/>
      <c r="AC532" s="68" t="n"/>
      <c r="AD532" s="68" t="n"/>
      <c r="AE532" s="68" t="n"/>
      <c r="AF532" s="80" t="n"/>
      <c r="AG532" s="76" t="n"/>
      <c r="AH532" s="77" t="n"/>
    </row>
    <row r="533" ht="18" customHeight="1"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80" t="n"/>
      <c r="P533" s="76" t="n"/>
      <c r="Q533" s="77" t="n"/>
      <c r="R533" s="38" t="n"/>
      <c r="T533" s="68" t="n"/>
      <c r="U533" s="68" t="n"/>
      <c r="V533" s="68" t="n"/>
      <c r="W533" s="68" t="n"/>
      <c r="X533" s="68" t="n"/>
      <c r="Y533" s="68" t="n"/>
      <c r="Z533" s="68" t="n"/>
      <c r="AA533" s="68" t="n"/>
      <c r="AB533" s="68" t="n"/>
      <c r="AC533" s="68" t="n"/>
      <c r="AD533" s="68" t="n"/>
      <c r="AE533" s="68" t="n"/>
      <c r="AF533" s="80" t="n"/>
      <c r="AG533" s="76" t="n"/>
      <c r="AH533" s="77" t="n"/>
    </row>
    <row r="534" ht="18" customHeight="1"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80" t="n"/>
      <c r="P534" s="76" t="n"/>
      <c r="Q534" s="77" t="n"/>
      <c r="R534" s="38" t="n"/>
      <c r="T534" s="68" t="n"/>
      <c r="U534" s="68" t="n"/>
      <c r="V534" s="68" t="n"/>
      <c r="W534" s="68" t="n"/>
      <c r="X534" s="68" t="n"/>
      <c r="Y534" s="68" t="n"/>
      <c r="Z534" s="68" t="n"/>
      <c r="AA534" s="68" t="n"/>
      <c r="AB534" s="68" t="n"/>
      <c r="AC534" s="68" t="n"/>
      <c r="AD534" s="68" t="n"/>
      <c r="AE534" s="68" t="n"/>
      <c r="AF534" s="80" t="n"/>
      <c r="AG534" s="76" t="n"/>
      <c r="AH534" s="77" t="n"/>
    </row>
    <row r="535" ht="18" customHeight="1"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80" t="n"/>
      <c r="P535" s="76" t="n"/>
      <c r="Q535" s="77" t="n"/>
      <c r="R535" s="38" t="n"/>
      <c r="T535" s="68" t="n"/>
      <c r="U535" s="68" t="n"/>
      <c r="V535" s="68" t="n"/>
      <c r="W535" s="68" t="n"/>
      <c r="X535" s="68" t="n"/>
      <c r="Y535" s="68" t="n"/>
      <c r="Z535" s="68" t="n"/>
      <c r="AA535" s="68" t="n"/>
      <c r="AB535" s="68" t="n"/>
      <c r="AC535" s="68" t="n"/>
      <c r="AD535" s="68" t="n"/>
      <c r="AE535" s="68" t="n"/>
      <c r="AF535" s="80" t="n"/>
      <c r="AG535" s="76" t="n"/>
      <c r="AH535" s="77" t="n"/>
    </row>
    <row r="536" ht="18" customHeight="1"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80" t="n"/>
      <c r="P536" s="76" t="n"/>
      <c r="Q536" s="77" t="n"/>
      <c r="R536" s="38" t="n"/>
      <c r="T536" s="68" t="n"/>
      <c r="U536" s="68" t="n"/>
      <c r="V536" s="68" t="n"/>
      <c r="W536" s="68" t="n"/>
      <c r="X536" s="68" t="n"/>
      <c r="Y536" s="68" t="n"/>
      <c r="Z536" s="68" t="n"/>
      <c r="AA536" s="68" t="n"/>
      <c r="AB536" s="68" t="n"/>
      <c r="AC536" s="68" t="n"/>
      <c r="AD536" s="68" t="n"/>
      <c r="AE536" s="68" t="n"/>
      <c r="AF536" s="80" t="n"/>
      <c r="AG536" s="76" t="n"/>
      <c r="AH536" s="77" t="n"/>
    </row>
    <row r="537" ht="18" customHeight="1"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80" t="n"/>
      <c r="P537" s="76" t="n"/>
      <c r="Q537" s="77" t="n"/>
      <c r="R537" s="38" t="n"/>
      <c r="T537" s="68" t="n"/>
      <c r="U537" s="68" t="n"/>
      <c r="V537" s="68" t="n"/>
      <c r="W537" s="68" t="n"/>
      <c r="X537" s="68" t="n"/>
      <c r="Y537" s="68" t="n"/>
      <c r="Z537" s="68" t="n"/>
      <c r="AA537" s="68" t="n"/>
      <c r="AB537" s="68" t="n"/>
      <c r="AC537" s="68" t="n"/>
      <c r="AD537" s="68" t="n"/>
      <c r="AE537" s="68" t="n"/>
      <c r="AF537" s="80" t="n"/>
      <c r="AG537" s="76" t="n"/>
      <c r="AH537" s="77" t="n"/>
    </row>
    <row r="538" ht="18" customHeight="1"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80" t="n"/>
      <c r="P538" s="76" t="n"/>
      <c r="Q538" s="77" t="n"/>
      <c r="R538" s="38" t="n"/>
      <c r="T538" s="68" t="n"/>
      <c r="U538" s="68" t="n"/>
      <c r="V538" s="68" t="n"/>
      <c r="W538" s="68" t="n"/>
      <c r="X538" s="68" t="n"/>
      <c r="Y538" s="68" t="n"/>
      <c r="Z538" s="68" t="n"/>
      <c r="AA538" s="68" t="n"/>
      <c r="AB538" s="68" t="n"/>
      <c r="AC538" s="68" t="n"/>
      <c r="AD538" s="68" t="n"/>
      <c r="AE538" s="68" t="n"/>
      <c r="AF538" s="80" t="n"/>
      <c r="AG538" s="76" t="n"/>
      <c r="AH538" s="77" t="n"/>
    </row>
    <row r="539" ht="18" customHeight="1"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80" t="n"/>
      <c r="P539" s="76" t="n"/>
      <c r="Q539" s="77" t="n"/>
      <c r="R539" s="38" t="n"/>
      <c r="T539" s="68" t="n"/>
      <c r="U539" s="68" t="n"/>
      <c r="V539" s="68" t="n"/>
      <c r="W539" s="68" t="n"/>
      <c r="X539" s="68" t="n"/>
      <c r="Y539" s="68" t="n"/>
      <c r="Z539" s="68" t="n"/>
      <c r="AA539" s="68" t="n"/>
      <c r="AB539" s="68" t="n"/>
      <c r="AC539" s="68" t="n"/>
      <c r="AD539" s="68" t="n"/>
      <c r="AE539" s="68" t="n"/>
      <c r="AF539" s="80" t="n"/>
      <c r="AG539" s="76" t="n"/>
      <c r="AH539" s="77" t="n"/>
    </row>
    <row r="540" ht="18" customHeight="1"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80" t="n"/>
      <c r="P540" s="76" t="n"/>
      <c r="Q540" s="77" t="n"/>
      <c r="R540" s="38" t="n"/>
      <c r="T540" s="68" t="n"/>
      <c r="U540" s="68" t="n"/>
      <c r="V540" s="68" t="n"/>
      <c r="W540" s="68" t="n"/>
      <c r="X540" s="68" t="n"/>
      <c r="Y540" s="68" t="n"/>
      <c r="Z540" s="68" t="n"/>
      <c r="AA540" s="68" t="n"/>
      <c r="AB540" s="68" t="n"/>
      <c r="AC540" s="68" t="n"/>
      <c r="AD540" s="68" t="n"/>
      <c r="AE540" s="68" t="n"/>
      <c r="AF540" s="80" t="n"/>
      <c r="AG540" s="76" t="n"/>
      <c r="AH540" s="77" t="n"/>
    </row>
    <row r="541" ht="18" customHeight="1"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80" t="n"/>
      <c r="P541" s="76" t="n"/>
      <c r="Q541" s="77" t="n"/>
      <c r="R541" s="38" t="n"/>
      <c r="T541" s="68" t="n"/>
      <c r="U541" s="68" t="n"/>
      <c r="V541" s="68" t="n"/>
      <c r="W541" s="68" t="n"/>
      <c r="X541" s="68" t="n"/>
      <c r="Y541" s="68" t="n"/>
      <c r="Z541" s="68" t="n"/>
      <c r="AA541" s="68" t="n"/>
      <c r="AB541" s="68" t="n"/>
      <c r="AC541" s="68" t="n"/>
      <c r="AD541" s="68" t="n"/>
      <c r="AE541" s="68" t="n"/>
      <c r="AF541" s="80" t="n"/>
      <c r="AG541" s="76" t="n"/>
      <c r="AH541" s="77" t="n"/>
    </row>
    <row r="542" ht="18" customHeight="1"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80" t="n"/>
      <c r="P542" s="76" t="n"/>
      <c r="Q542" s="77" t="n"/>
      <c r="R542" s="38" t="n"/>
      <c r="T542" s="68" t="n"/>
      <c r="U542" s="68" t="n"/>
      <c r="V542" s="68" t="n"/>
      <c r="W542" s="68" t="n"/>
      <c r="X542" s="68" t="n"/>
      <c r="Y542" s="68" t="n"/>
      <c r="Z542" s="68" t="n"/>
      <c r="AA542" s="68" t="n"/>
      <c r="AB542" s="68" t="n"/>
      <c r="AC542" s="68" t="n"/>
      <c r="AD542" s="68" t="n"/>
      <c r="AE542" s="68" t="n"/>
      <c r="AF542" s="80" t="n"/>
      <c r="AG542" s="76" t="n"/>
      <c r="AH542" s="77" t="n"/>
    </row>
    <row r="543" ht="18" customHeight="1"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80" t="n"/>
      <c r="P543" s="76" t="n"/>
      <c r="Q543" s="77" t="n"/>
      <c r="R543" s="38" t="n"/>
      <c r="T543" s="68" t="n"/>
      <c r="U543" s="68" t="n"/>
      <c r="V543" s="68" t="n"/>
      <c r="W543" s="68" t="n"/>
      <c r="X543" s="68" t="n"/>
      <c r="Y543" s="68" t="n"/>
      <c r="Z543" s="68" t="n"/>
      <c r="AA543" s="68" t="n"/>
      <c r="AB543" s="68" t="n"/>
      <c r="AC543" s="68" t="n"/>
      <c r="AD543" s="68" t="n"/>
      <c r="AE543" s="68" t="n"/>
      <c r="AF543" s="80" t="n"/>
      <c r="AG543" s="76" t="n"/>
      <c r="AH543" s="77" t="n"/>
    </row>
    <row r="544" ht="18" customHeight="1"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80" t="n"/>
      <c r="P544" s="76" t="n"/>
      <c r="Q544" s="77" t="n"/>
      <c r="R544" s="38" t="n"/>
      <c r="T544" s="68" t="n"/>
      <c r="U544" s="68" t="n"/>
      <c r="V544" s="68" t="n"/>
      <c r="W544" s="68" t="n"/>
      <c r="X544" s="68" t="n"/>
      <c r="Y544" s="68" t="n"/>
      <c r="Z544" s="68" t="n"/>
      <c r="AA544" s="68" t="n"/>
      <c r="AB544" s="68" t="n"/>
      <c r="AC544" s="68" t="n"/>
      <c r="AD544" s="68" t="n"/>
      <c r="AE544" s="68" t="n"/>
      <c r="AF544" s="80" t="n"/>
      <c r="AG544" s="76" t="n"/>
      <c r="AH544" s="77" t="n"/>
    </row>
    <row r="545" ht="18" customHeight="1"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80" t="n"/>
      <c r="P545" s="76" t="n"/>
      <c r="Q545" s="77" t="n"/>
      <c r="R545" s="38" t="n"/>
      <c r="T545" s="68" t="n"/>
      <c r="U545" s="68" t="n"/>
      <c r="V545" s="68" t="n"/>
      <c r="W545" s="68" t="n"/>
      <c r="X545" s="68" t="n"/>
      <c r="Y545" s="68" t="n"/>
      <c r="Z545" s="68" t="n"/>
      <c r="AA545" s="68" t="n"/>
      <c r="AB545" s="68" t="n"/>
      <c r="AC545" s="68" t="n"/>
      <c r="AD545" s="68" t="n"/>
      <c r="AE545" s="68" t="n"/>
      <c r="AF545" s="80" t="n"/>
      <c r="AG545" s="76" t="n"/>
      <c r="AH545" s="77" t="n"/>
    </row>
    <row r="546" ht="18" customHeight="1"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80" t="n"/>
      <c r="P546" s="76" t="n"/>
      <c r="Q546" s="77" t="n"/>
      <c r="R546" s="38" t="n"/>
      <c r="T546" s="68" t="n"/>
      <c r="U546" s="68" t="n"/>
      <c r="V546" s="68" t="n"/>
      <c r="W546" s="68" t="n"/>
      <c r="X546" s="68" t="n"/>
      <c r="Y546" s="68" t="n"/>
      <c r="Z546" s="68" t="n"/>
      <c r="AA546" s="68" t="n"/>
      <c r="AB546" s="68" t="n"/>
      <c r="AC546" s="68" t="n"/>
      <c r="AD546" s="68" t="n"/>
      <c r="AE546" s="68" t="n"/>
      <c r="AF546" s="80" t="n"/>
      <c r="AG546" s="76" t="n"/>
      <c r="AH546" s="77" t="n"/>
    </row>
    <row r="547" ht="18" customHeight="1"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80" t="n"/>
      <c r="P547" s="76" t="n"/>
      <c r="Q547" s="77" t="n"/>
      <c r="R547" s="38" t="n"/>
      <c r="T547" s="68" t="n"/>
      <c r="U547" s="68" t="n"/>
      <c r="V547" s="68" t="n"/>
      <c r="W547" s="68" t="n"/>
      <c r="X547" s="68" t="n"/>
      <c r="Y547" s="68" t="n"/>
      <c r="Z547" s="68" t="n"/>
      <c r="AA547" s="68" t="n"/>
      <c r="AB547" s="68" t="n"/>
      <c r="AC547" s="68" t="n"/>
      <c r="AD547" s="68" t="n"/>
      <c r="AE547" s="68" t="n"/>
      <c r="AF547" s="80" t="n"/>
      <c r="AG547" s="76" t="n"/>
      <c r="AH547" s="77" t="n"/>
    </row>
    <row r="548" ht="18" customHeight="1"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80" t="n"/>
      <c r="P548" s="76" t="n"/>
      <c r="Q548" s="77" t="n"/>
      <c r="R548" s="38" t="n"/>
      <c r="T548" s="68" t="n"/>
      <c r="U548" s="68" t="n"/>
      <c r="V548" s="68" t="n"/>
      <c r="W548" s="68" t="n"/>
      <c r="X548" s="68" t="n"/>
      <c r="Y548" s="68" t="n"/>
      <c r="Z548" s="68" t="n"/>
      <c r="AA548" s="68" t="n"/>
      <c r="AB548" s="68" t="n"/>
      <c r="AC548" s="68" t="n"/>
      <c r="AD548" s="68" t="n"/>
      <c r="AE548" s="68" t="n"/>
      <c r="AF548" s="80" t="n"/>
      <c r="AG548" s="76" t="n"/>
      <c r="AH548" s="77" t="n"/>
    </row>
    <row r="549" ht="18" customHeight="1"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80" t="n"/>
      <c r="P549" s="76" t="n"/>
      <c r="Q549" s="77" t="n"/>
      <c r="R549" s="38" t="n"/>
      <c r="T549" s="68" t="n"/>
      <c r="U549" s="68" t="n"/>
      <c r="V549" s="68" t="n"/>
      <c r="W549" s="68" t="n"/>
      <c r="X549" s="68" t="n"/>
      <c r="Y549" s="68" t="n"/>
      <c r="Z549" s="68" t="n"/>
      <c r="AA549" s="68" t="n"/>
      <c r="AB549" s="68" t="n"/>
      <c r="AC549" s="68" t="n"/>
      <c r="AD549" s="68" t="n"/>
      <c r="AE549" s="68" t="n"/>
      <c r="AF549" s="80" t="n"/>
      <c r="AG549" s="76" t="n"/>
      <c r="AH549" s="77" t="n"/>
    </row>
    <row r="550" ht="18" customHeight="1"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80" t="n"/>
      <c r="P550" s="76" t="n"/>
      <c r="Q550" s="77" t="n"/>
      <c r="R550" s="38" t="n"/>
      <c r="T550" s="68" t="n"/>
      <c r="U550" s="68" t="n"/>
      <c r="V550" s="68" t="n"/>
      <c r="W550" s="68" t="n"/>
      <c r="X550" s="68" t="n"/>
      <c r="Y550" s="68" t="n"/>
      <c r="Z550" s="68" t="n"/>
      <c r="AA550" s="68" t="n"/>
      <c r="AB550" s="68" t="n"/>
      <c r="AC550" s="68" t="n"/>
      <c r="AD550" s="68" t="n"/>
      <c r="AE550" s="68" t="n"/>
      <c r="AF550" s="80" t="n"/>
      <c r="AG550" s="76" t="n"/>
      <c r="AH550" s="77" t="n"/>
    </row>
    <row r="551" ht="18" customHeight="1"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80" t="n"/>
      <c r="P551" s="76" t="n"/>
      <c r="Q551" s="77" t="n"/>
      <c r="R551" s="38" t="n"/>
      <c r="T551" s="68" t="n"/>
      <c r="U551" s="68" t="n"/>
      <c r="V551" s="68" t="n"/>
      <c r="W551" s="68" t="n"/>
      <c r="X551" s="68" t="n"/>
      <c r="Y551" s="68" t="n"/>
      <c r="Z551" s="68" t="n"/>
      <c r="AA551" s="68" t="n"/>
      <c r="AB551" s="68" t="n"/>
      <c r="AC551" s="68" t="n"/>
      <c r="AD551" s="68" t="n"/>
      <c r="AE551" s="68" t="n"/>
      <c r="AF551" s="80" t="n"/>
      <c r="AG551" s="76" t="n"/>
      <c r="AH551" s="77" t="n"/>
    </row>
    <row r="552" ht="18" customHeight="1"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80" t="n"/>
      <c r="P552" s="76" t="n"/>
      <c r="Q552" s="77" t="n"/>
      <c r="R552" s="38" t="n"/>
      <c r="T552" s="68" t="n"/>
      <c r="U552" s="68" t="n"/>
      <c r="V552" s="68" t="n"/>
      <c r="W552" s="68" t="n"/>
      <c r="X552" s="68" t="n"/>
      <c r="Y552" s="68" t="n"/>
      <c r="Z552" s="68" t="n"/>
      <c r="AA552" s="68" t="n"/>
      <c r="AB552" s="68" t="n"/>
      <c r="AC552" s="68" t="n"/>
      <c r="AD552" s="68" t="n"/>
      <c r="AE552" s="68" t="n"/>
      <c r="AF552" s="80" t="n"/>
      <c r="AG552" s="76" t="n"/>
      <c r="AH552" s="77" t="n"/>
    </row>
    <row r="553" ht="18" customHeight="1"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80" t="n"/>
      <c r="P553" s="76" t="n"/>
      <c r="Q553" s="77" t="n"/>
      <c r="R553" s="38" t="n"/>
      <c r="T553" s="68" t="n"/>
      <c r="U553" s="68" t="n"/>
      <c r="V553" s="68" t="n"/>
      <c r="W553" s="68" t="n"/>
      <c r="X553" s="68" t="n"/>
      <c r="Y553" s="68" t="n"/>
      <c r="Z553" s="68" t="n"/>
      <c r="AA553" s="68" t="n"/>
      <c r="AB553" s="68" t="n"/>
      <c r="AC553" s="68" t="n"/>
      <c r="AD553" s="68" t="n"/>
      <c r="AE553" s="68" t="n"/>
      <c r="AF553" s="80" t="n"/>
      <c r="AG553" s="76" t="n"/>
      <c r="AH553" s="77" t="n"/>
    </row>
    <row r="554" ht="18" customHeight="1"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80" t="n"/>
      <c r="P554" s="76" t="n"/>
      <c r="Q554" s="77" t="n"/>
      <c r="R554" s="38" t="n"/>
      <c r="T554" s="68" t="n"/>
      <c r="U554" s="68" t="n"/>
      <c r="V554" s="68" t="n"/>
      <c r="W554" s="68" t="n"/>
      <c r="X554" s="68" t="n"/>
      <c r="Y554" s="68" t="n"/>
      <c r="Z554" s="68" t="n"/>
      <c r="AA554" s="68" t="n"/>
      <c r="AB554" s="68" t="n"/>
      <c r="AC554" s="68" t="n"/>
      <c r="AD554" s="68" t="n"/>
      <c r="AE554" s="68" t="n"/>
      <c r="AF554" s="80" t="n"/>
      <c r="AG554" s="76" t="n"/>
      <c r="AH554" s="77" t="n"/>
    </row>
    <row r="555" ht="18" customHeight="1"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80" t="n"/>
      <c r="P555" s="76" t="n"/>
      <c r="Q555" s="77" t="n"/>
      <c r="R555" s="38" t="n"/>
      <c r="T555" s="68" t="n"/>
      <c r="U555" s="68" t="n"/>
      <c r="V555" s="68" t="n"/>
      <c r="W555" s="68" t="n"/>
      <c r="X555" s="68" t="n"/>
      <c r="Y555" s="68" t="n"/>
      <c r="Z555" s="68" t="n"/>
      <c r="AA555" s="68" t="n"/>
      <c r="AB555" s="68" t="n"/>
      <c r="AC555" s="68" t="n"/>
      <c r="AD555" s="68" t="n"/>
      <c r="AE555" s="68" t="n"/>
      <c r="AF555" s="80" t="n"/>
      <c r="AG555" s="76" t="n"/>
      <c r="AH555" s="77" t="n"/>
    </row>
    <row r="556" ht="18" customHeight="1"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80" t="n"/>
      <c r="P556" s="76" t="n"/>
      <c r="Q556" s="77" t="n"/>
      <c r="R556" s="38" t="n"/>
      <c r="T556" s="68" t="n"/>
      <c r="U556" s="68" t="n"/>
      <c r="V556" s="68" t="n"/>
      <c r="W556" s="68" t="n"/>
      <c r="X556" s="68" t="n"/>
      <c r="Y556" s="68" t="n"/>
      <c r="Z556" s="68" t="n"/>
      <c r="AA556" s="68" t="n"/>
      <c r="AB556" s="68" t="n"/>
      <c r="AC556" s="68" t="n"/>
      <c r="AD556" s="68" t="n"/>
      <c r="AE556" s="68" t="n"/>
      <c r="AF556" s="80" t="n"/>
      <c r="AG556" s="76" t="n"/>
      <c r="AH556" s="77" t="n"/>
    </row>
    <row r="557" ht="18" customHeight="1"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80" t="n"/>
      <c r="P557" s="76" t="n"/>
      <c r="Q557" s="77" t="n"/>
      <c r="R557" s="38" t="n"/>
      <c r="T557" s="68" t="n"/>
      <c r="U557" s="68" t="n"/>
      <c r="V557" s="68" t="n"/>
      <c r="W557" s="68" t="n"/>
      <c r="X557" s="68" t="n"/>
      <c r="Y557" s="68" t="n"/>
      <c r="Z557" s="68" t="n"/>
      <c r="AA557" s="68" t="n"/>
      <c r="AB557" s="68" t="n"/>
      <c r="AC557" s="68" t="n"/>
      <c r="AD557" s="68" t="n"/>
      <c r="AE557" s="68" t="n"/>
      <c r="AF557" s="80" t="n"/>
      <c r="AG557" s="76" t="n"/>
      <c r="AH557" s="77" t="n"/>
    </row>
    <row r="558" ht="18" customHeight="1"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80" t="n"/>
      <c r="P558" s="76" t="n"/>
      <c r="Q558" s="77" t="n"/>
      <c r="R558" s="38" t="n"/>
      <c r="T558" s="68" t="n"/>
      <c r="U558" s="68" t="n"/>
      <c r="V558" s="68" t="n"/>
      <c r="W558" s="68" t="n"/>
      <c r="X558" s="68" t="n"/>
      <c r="Y558" s="68" t="n"/>
      <c r="Z558" s="68" t="n"/>
      <c r="AA558" s="68" t="n"/>
      <c r="AB558" s="68" t="n"/>
      <c r="AC558" s="68" t="n"/>
      <c r="AD558" s="68" t="n"/>
      <c r="AE558" s="68" t="n"/>
      <c r="AF558" s="80" t="n"/>
      <c r="AG558" s="76" t="n"/>
      <c r="AH558" s="77" t="n"/>
    </row>
    <row r="559" ht="18" customHeight="1"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80" t="n"/>
      <c r="P559" s="76" t="n"/>
      <c r="Q559" s="77" t="n"/>
      <c r="R559" s="38" t="n"/>
      <c r="T559" s="68" t="n"/>
      <c r="U559" s="68" t="n"/>
      <c r="V559" s="68" t="n"/>
      <c r="W559" s="68" t="n"/>
      <c r="X559" s="68" t="n"/>
      <c r="Y559" s="68" t="n"/>
      <c r="Z559" s="68" t="n"/>
      <c r="AA559" s="68" t="n"/>
      <c r="AB559" s="68" t="n"/>
      <c r="AC559" s="68" t="n"/>
      <c r="AD559" s="68" t="n"/>
      <c r="AE559" s="68" t="n"/>
      <c r="AF559" s="80" t="n"/>
      <c r="AG559" s="76" t="n"/>
      <c r="AH559" s="77" t="n"/>
    </row>
    <row r="560" ht="18" customHeight="1"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80" t="n"/>
      <c r="P560" s="76" t="n"/>
      <c r="Q560" s="77" t="n"/>
      <c r="R560" s="38" t="n"/>
      <c r="T560" s="68" t="n"/>
      <c r="U560" s="68" t="n"/>
      <c r="V560" s="68" t="n"/>
      <c r="W560" s="68" t="n"/>
      <c r="X560" s="68" t="n"/>
      <c r="Y560" s="68" t="n"/>
      <c r="Z560" s="68" t="n"/>
      <c r="AA560" s="68" t="n"/>
      <c r="AB560" s="68" t="n"/>
      <c r="AC560" s="68" t="n"/>
      <c r="AD560" s="68" t="n"/>
      <c r="AE560" s="68" t="n"/>
      <c r="AF560" s="80" t="n"/>
      <c r="AG560" s="76" t="n"/>
      <c r="AH560" s="77" t="n"/>
    </row>
    <row r="561" ht="18" customHeight="1"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80" t="n"/>
      <c r="P561" s="76" t="n"/>
      <c r="Q561" s="77" t="n"/>
      <c r="R561" s="38" t="n"/>
      <c r="T561" s="68" t="n"/>
      <c r="U561" s="68" t="n"/>
      <c r="V561" s="68" t="n"/>
      <c r="W561" s="68" t="n"/>
      <c r="X561" s="68" t="n"/>
      <c r="Y561" s="68" t="n"/>
      <c r="Z561" s="68" t="n"/>
      <c r="AA561" s="68" t="n"/>
      <c r="AB561" s="68" t="n"/>
      <c r="AC561" s="68" t="n"/>
      <c r="AD561" s="68" t="n"/>
      <c r="AE561" s="68" t="n"/>
      <c r="AF561" s="80" t="n"/>
      <c r="AG561" s="76" t="n"/>
      <c r="AH561" s="77" t="n"/>
    </row>
    <row r="562" ht="18" customHeight="1"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80" t="n"/>
      <c r="P562" s="76" t="n"/>
      <c r="Q562" s="77" t="n"/>
      <c r="R562" s="38" t="n"/>
      <c r="T562" s="68" t="n"/>
      <c r="U562" s="68" t="n"/>
      <c r="V562" s="68" t="n"/>
      <c r="W562" s="68" t="n"/>
      <c r="X562" s="68" t="n"/>
      <c r="Y562" s="68" t="n"/>
      <c r="Z562" s="68" t="n"/>
      <c r="AA562" s="68" t="n"/>
      <c r="AB562" s="68" t="n"/>
      <c r="AC562" s="68" t="n"/>
      <c r="AD562" s="68" t="n"/>
      <c r="AE562" s="68" t="n"/>
      <c r="AF562" s="80" t="n"/>
      <c r="AG562" s="76" t="n"/>
      <c r="AH562" s="77" t="n"/>
    </row>
    <row r="563" ht="18" customHeight="1"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80" t="n"/>
      <c r="P563" s="76" t="n"/>
      <c r="Q563" s="77" t="n"/>
      <c r="R563" s="38" t="n"/>
      <c r="T563" s="68" t="n"/>
      <c r="U563" s="68" t="n"/>
      <c r="V563" s="68" t="n"/>
      <c r="W563" s="68" t="n"/>
      <c r="X563" s="68" t="n"/>
      <c r="Y563" s="68" t="n"/>
      <c r="Z563" s="68" t="n"/>
      <c r="AA563" s="68" t="n"/>
      <c r="AB563" s="68" t="n"/>
      <c r="AC563" s="68" t="n"/>
      <c r="AD563" s="68" t="n"/>
      <c r="AE563" s="68" t="n"/>
      <c r="AF563" s="80" t="n"/>
      <c r="AG563" s="76" t="n"/>
      <c r="AH563" s="77" t="n"/>
    </row>
    <row r="564" ht="18" customHeight="1"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80" t="n"/>
      <c r="P564" s="76" t="n"/>
      <c r="Q564" s="77" t="n"/>
      <c r="R564" s="38" t="n"/>
      <c r="T564" s="68" t="n"/>
      <c r="U564" s="68" t="n"/>
      <c r="V564" s="68" t="n"/>
      <c r="W564" s="68" t="n"/>
      <c r="X564" s="68" t="n"/>
      <c r="Y564" s="68" t="n"/>
      <c r="Z564" s="68" t="n"/>
      <c r="AA564" s="68" t="n"/>
      <c r="AB564" s="68" t="n"/>
      <c r="AC564" s="68" t="n"/>
      <c r="AD564" s="68" t="n"/>
      <c r="AE564" s="68" t="n"/>
      <c r="AF564" s="80" t="n"/>
      <c r="AG564" s="76" t="n"/>
      <c r="AH564" s="77" t="n"/>
    </row>
    <row r="565" ht="18" customHeight="1"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80" t="n"/>
      <c r="P565" s="76" t="n"/>
      <c r="Q565" s="77" t="n"/>
      <c r="R565" s="38" t="n"/>
      <c r="T565" s="68" t="n"/>
      <c r="U565" s="68" t="n"/>
      <c r="V565" s="68" t="n"/>
      <c r="W565" s="68" t="n"/>
      <c r="X565" s="68" t="n"/>
      <c r="Y565" s="68" t="n"/>
      <c r="Z565" s="68" t="n"/>
      <c r="AA565" s="68" t="n"/>
      <c r="AB565" s="68" t="n"/>
      <c r="AC565" s="68" t="n"/>
      <c r="AD565" s="68" t="n"/>
      <c r="AE565" s="68" t="n"/>
      <c r="AF565" s="80" t="n"/>
      <c r="AG565" s="76" t="n"/>
      <c r="AH565" s="77" t="n"/>
    </row>
    <row r="566" ht="18" customHeight="1"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80" t="n"/>
      <c r="P566" s="76" t="n"/>
      <c r="Q566" s="77" t="n"/>
      <c r="R566" s="38" t="n"/>
      <c r="T566" s="68" t="n"/>
      <c r="U566" s="68" t="n"/>
      <c r="V566" s="68" t="n"/>
      <c r="W566" s="68" t="n"/>
      <c r="X566" s="68" t="n"/>
      <c r="Y566" s="68" t="n"/>
      <c r="Z566" s="68" t="n"/>
      <c r="AA566" s="68" t="n"/>
      <c r="AB566" s="68" t="n"/>
      <c r="AC566" s="68" t="n"/>
      <c r="AD566" s="68" t="n"/>
      <c r="AE566" s="68" t="n"/>
      <c r="AF566" s="80" t="n"/>
      <c r="AG566" s="76" t="n"/>
      <c r="AH566" s="77" t="n"/>
    </row>
    <row r="567" ht="18" customHeight="1"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80" t="n"/>
      <c r="P567" s="76" t="n"/>
      <c r="Q567" s="77" t="n"/>
      <c r="R567" s="38" t="n"/>
      <c r="T567" s="68" t="n"/>
      <c r="U567" s="68" t="n"/>
      <c r="V567" s="68" t="n"/>
      <c r="W567" s="68" t="n"/>
      <c r="X567" s="68" t="n"/>
      <c r="Y567" s="68" t="n"/>
      <c r="Z567" s="68" t="n"/>
      <c r="AA567" s="68" t="n"/>
      <c r="AB567" s="68" t="n"/>
      <c r="AC567" s="68" t="n"/>
      <c r="AD567" s="68" t="n"/>
      <c r="AE567" s="68" t="n"/>
      <c r="AF567" s="80" t="n"/>
      <c r="AG567" s="76" t="n"/>
      <c r="AH567" s="77" t="n"/>
    </row>
    <row r="568" ht="18" customHeight="1"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80" t="n"/>
      <c r="P568" s="76" t="n"/>
      <c r="Q568" s="77" t="n"/>
      <c r="R568" s="38" t="n"/>
      <c r="T568" s="68" t="n"/>
      <c r="U568" s="68" t="n"/>
      <c r="V568" s="68" t="n"/>
      <c r="W568" s="68" t="n"/>
      <c r="X568" s="68" t="n"/>
      <c r="Y568" s="68" t="n"/>
      <c r="Z568" s="68" t="n"/>
      <c r="AA568" s="68" t="n"/>
      <c r="AB568" s="68" t="n"/>
      <c r="AC568" s="68" t="n"/>
      <c r="AD568" s="68" t="n"/>
      <c r="AE568" s="68" t="n"/>
      <c r="AF568" s="80" t="n"/>
      <c r="AG568" s="76" t="n"/>
      <c r="AH568" s="77" t="n"/>
    </row>
    <row r="569" ht="18" customHeight="1"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80" t="n"/>
      <c r="P569" s="76" t="n"/>
      <c r="Q569" s="77" t="n"/>
      <c r="R569" s="38" t="n"/>
      <c r="T569" s="68" t="n"/>
      <c r="U569" s="68" t="n"/>
      <c r="V569" s="68" t="n"/>
      <c r="W569" s="68" t="n"/>
      <c r="X569" s="68" t="n"/>
      <c r="Y569" s="68" t="n"/>
      <c r="Z569" s="68" t="n"/>
      <c r="AA569" s="68" t="n"/>
      <c r="AB569" s="68" t="n"/>
      <c r="AC569" s="68" t="n"/>
      <c r="AD569" s="68" t="n"/>
      <c r="AE569" s="68" t="n"/>
      <c r="AF569" s="80" t="n"/>
      <c r="AG569" s="76" t="n"/>
      <c r="AH569" s="77" t="n"/>
    </row>
    <row r="570" ht="18" customHeight="1"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80" t="n"/>
      <c r="P570" s="76" t="n"/>
      <c r="Q570" s="77" t="n"/>
      <c r="R570" s="38" t="n"/>
      <c r="T570" s="68" t="n"/>
      <c r="U570" s="68" t="n"/>
      <c r="V570" s="68" t="n"/>
      <c r="W570" s="68" t="n"/>
      <c r="X570" s="68" t="n"/>
      <c r="Y570" s="68" t="n"/>
      <c r="Z570" s="68" t="n"/>
      <c r="AA570" s="68" t="n"/>
      <c r="AB570" s="68" t="n"/>
      <c r="AC570" s="68" t="n"/>
      <c r="AD570" s="68" t="n"/>
      <c r="AE570" s="68" t="n"/>
      <c r="AF570" s="80" t="n"/>
      <c r="AG570" s="76" t="n"/>
      <c r="AH570" s="77" t="n"/>
    </row>
    <row r="571" ht="18" customHeight="1"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80" t="n"/>
      <c r="P571" s="76" t="n"/>
      <c r="Q571" s="77" t="n"/>
      <c r="R571" s="38" t="n"/>
      <c r="T571" s="68" t="n"/>
      <c r="U571" s="68" t="n"/>
      <c r="V571" s="68" t="n"/>
      <c r="W571" s="68" t="n"/>
      <c r="X571" s="68" t="n"/>
      <c r="Y571" s="68" t="n"/>
      <c r="Z571" s="68" t="n"/>
      <c r="AA571" s="68" t="n"/>
      <c r="AB571" s="68" t="n"/>
      <c r="AC571" s="68" t="n"/>
      <c r="AD571" s="68" t="n"/>
      <c r="AE571" s="68" t="n"/>
      <c r="AF571" s="80" t="n"/>
      <c r="AG571" s="76" t="n"/>
      <c r="AH571" s="77" t="n"/>
    </row>
    <row r="572" ht="18" customHeight="1"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80" t="n"/>
      <c r="P572" s="76" t="n"/>
      <c r="Q572" s="77" t="n"/>
      <c r="R572" s="38" t="n"/>
      <c r="T572" s="68" t="n"/>
      <c r="U572" s="68" t="n"/>
      <c r="V572" s="68" t="n"/>
      <c r="W572" s="68" t="n"/>
      <c r="X572" s="68" t="n"/>
      <c r="Y572" s="68" t="n"/>
      <c r="Z572" s="68" t="n"/>
      <c r="AA572" s="68" t="n"/>
      <c r="AB572" s="68" t="n"/>
      <c r="AC572" s="68" t="n"/>
      <c r="AD572" s="68" t="n"/>
      <c r="AE572" s="68" t="n"/>
      <c r="AF572" s="80" t="n"/>
      <c r="AG572" s="76" t="n"/>
      <c r="AH572" s="77" t="n"/>
    </row>
    <row r="573" ht="18" customHeight="1"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80" t="n"/>
      <c r="P573" s="76" t="n"/>
      <c r="Q573" s="77" t="n"/>
      <c r="R573" s="38" t="n"/>
      <c r="T573" s="68" t="n"/>
      <c r="U573" s="68" t="n"/>
      <c r="V573" s="68" t="n"/>
      <c r="W573" s="68" t="n"/>
      <c r="X573" s="68" t="n"/>
      <c r="Y573" s="68" t="n"/>
      <c r="Z573" s="68" t="n"/>
      <c r="AA573" s="68" t="n"/>
      <c r="AB573" s="68" t="n"/>
      <c r="AC573" s="68" t="n"/>
      <c r="AD573" s="68" t="n"/>
      <c r="AE573" s="68" t="n"/>
      <c r="AF573" s="80" t="n"/>
      <c r="AG573" s="76" t="n"/>
      <c r="AH573" s="77" t="n"/>
    </row>
    <row r="574" ht="18" customHeight="1"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80" t="n"/>
      <c r="P574" s="76" t="n"/>
      <c r="Q574" s="77" t="n"/>
      <c r="R574" s="38" t="n"/>
      <c r="T574" s="68" t="n"/>
      <c r="U574" s="68" t="n"/>
      <c r="V574" s="68" t="n"/>
      <c r="W574" s="68" t="n"/>
      <c r="X574" s="68" t="n"/>
      <c r="Y574" s="68" t="n"/>
      <c r="Z574" s="68" t="n"/>
      <c r="AA574" s="68" t="n"/>
      <c r="AB574" s="68" t="n"/>
      <c r="AC574" s="68" t="n"/>
      <c r="AD574" s="68" t="n"/>
      <c r="AE574" s="68" t="n"/>
      <c r="AF574" s="80" t="n"/>
      <c r="AG574" s="76" t="n"/>
      <c r="AH574" s="77" t="n"/>
    </row>
    <row r="575" ht="18" customHeight="1"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80" t="n"/>
      <c r="P575" s="76" t="n"/>
      <c r="Q575" s="77" t="n"/>
      <c r="R575" s="38" t="n"/>
      <c r="T575" s="68" t="n"/>
      <c r="U575" s="68" t="n"/>
      <c r="V575" s="68" t="n"/>
      <c r="W575" s="68" t="n"/>
      <c r="X575" s="68" t="n"/>
      <c r="Y575" s="68" t="n"/>
      <c r="Z575" s="68" t="n"/>
      <c r="AA575" s="68" t="n"/>
      <c r="AB575" s="68" t="n"/>
      <c r="AC575" s="68" t="n"/>
      <c r="AD575" s="68" t="n"/>
      <c r="AE575" s="68" t="n"/>
      <c r="AF575" s="80" t="n"/>
      <c r="AG575" s="76" t="n"/>
      <c r="AH575" s="77" t="n"/>
    </row>
    <row r="576" ht="18" customHeight="1"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80" t="n"/>
      <c r="P576" s="76" t="n"/>
      <c r="Q576" s="77" t="n"/>
      <c r="R576" s="38" t="n"/>
      <c r="T576" s="68" t="n"/>
      <c r="U576" s="68" t="n"/>
      <c r="V576" s="68" t="n"/>
      <c r="W576" s="68" t="n"/>
      <c r="X576" s="68" t="n"/>
      <c r="Y576" s="68" t="n"/>
      <c r="Z576" s="68" t="n"/>
      <c r="AA576" s="68" t="n"/>
      <c r="AB576" s="68" t="n"/>
      <c r="AC576" s="68" t="n"/>
      <c r="AD576" s="68" t="n"/>
      <c r="AE576" s="68" t="n"/>
      <c r="AF576" s="80" t="n"/>
      <c r="AG576" s="76" t="n"/>
      <c r="AH576" s="77" t="n"/>
    </row>
    <row r="577" ht="18" customHeight="1"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80" t="n"/>
      <c r="P577" s="76" t="n"/>
      <c r="Q577" s="77" t="n"/>
      <c r="R577" s="38" t="n"/>
      <c r="T577" s="68" t="n"/>
      <c r="U577" s="68" t="n"/>
      <c r="V577" s="68" t="n"/>
      <c r="W577" s="68" t="n"/>
      <c r="X577" s="68" t="n"/>
      <c r="Y577" s="68" t="n"/>
      <c r="Z577" s="68" t="n"/>
      <c r="AA577" s="68" t="n"/>
      <c r="AB577" s="68" t="n"/>
      <c r="AC577" s="68" t="n"/>
      <c r="AD577" s="68" t="n"/>
      <c r="AE577" s="68" t="n"/>
      <c r="AF577" s="80" t="n"/>
      <c r="AG577" s="76" t="n"/>
      <c r="AH577" s="77" t="n"/>
    </row>
    <row r="578" ht="18" customHeight="1"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80" t="n"/>
      <c r="P578" s="76" t="n"/>
      <c r="Q578" s="77" t="n"/>
      <c r="R578" s="38" t="n"/>
      <c r="T578" s="68" t="n"/>
      <c r="U578" s="68" t="n"/>
      <c r="V578" s="68" t="n"/>
      <c r="W578" s="68" t="n"/>
      <c r="X578" s="68" t="n"/>
      <c r="Y578" s="68" t="n"/>
      <c r="Z578" s="68" t="n"/>
      <c r="AA578" s="68" t="n"/>
      <c r="AB578" s="68" t="n"/>
      <c r="AC578" s="68" t="n"/>
      <c r="AD578" s="68" t="n"/>
      <c r="AE578" s="68" t="n"/>
      <c r="AF578" s="80" t="n"/>
      <c r="AG578" s="76" t="n"/>
      <c r="AH578" s="77" t="n"/>
    </row>
    <row r="579" ht="18" customHeight="1"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80" t="n"/>
      <c r="P579" s="76" t="n"/>
      <c r="Q579" s="77" t="n"/>
      <c r="R579" s="38" t="n"/>
      <c r="T579" s="68" t="n"/>
      <c r="U579" s="68" t="n"/>
      <c r="V579" s="68" t="n"/>
      <c r="W579" s="68" t="n"/>
      <c r="X579" s="68" t="n"/>
      <c r="Y579" s="68" t="n"/>
      <c r="Z579" s="68" t="n"/>
      <c r="AA579" s="68" t="n"/>
      <c r="AB579" s="68" t="n"/>
      <c r="AC579" s="68" t="n"/>
      <c r="AD579" s="68" t="n"/>
      <c r="AE579" s="68" t="n"/>
      <c r="AF579" s="80" t="n"/>
      <c r="AG579" s="76" t="n"/>
      <c r="AH579" s="77" t="n"/>
    </row>
    <row r="580" ht="18" customHeight="1"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80" t="n"/>
      <c r="P580" s="76" t="n"/>
      <c r="Q580" s="77" t="n"/>
      <c r="R580" s="38" t="n"/>
      <c r="T580" s="68" t="n"/>
      <c r="U580" s="68" t="n"/>
      <c r="V580" s="68" t="n"/>
      <c r="W580" s="68" t="n"/>
      <c r="X580" s="68" t="n"/>
      <c r="Y580" s="68" t="n"/>
      <c r="Z580" s="68" t="n"/>
      <c r="AA580" s="68" t="n"/>
      <c r="AB580" s="68" t="n"/>
      <c r="AC580" s="68" t="n"/>
      <c r="AD580" s="68" t="n"/>
      <c r="AE580" s="68" t="n"/>
      <c r="AF580" s="80" t="n"/>
      <c r="AG580" s="76" t="n"/>
      <c r="AH580" s="77" t="n"/>
    </row>
    <row r="581" ht="18" customHeight="1"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80" t="n"/>
      <c r="P581" s="76" t="n"/>
      <c r="Q581" s="77" t="n"/>
      <c r="R581" s="38" t="n"/>
      <c r="T581" s="68" t="n"/>
      <c r="U581" s="68" t="n"/>
      <c r="V581" s="68" t="n"/>
      <c r="W581" s="68" t="n"/>
      <c r="X581" s="68" t="n"/>
      <c r="Y581" s="68" t="n"/>
      <c r="Z581" s="68" t="n"/>
      <c r="AA581" s="68" t="n"/>
      <c r="AB581" s="68" t="n"/>
      <c r="AC581" s="68" t="n"/>
      <c r="AD581" s="68" t="n"/>
      <c r="AE581" s="68" t="n"/>
      <c r="AF581" s="80" t="n"/>
      <c r="AG581" s="76" t="n"/>
      <c r="AH581" s="77" t="n"/>
    </row>
    <row r="582" ht="18" customHeight="1"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80" t="n"/>
      <c r="P582" s="76" t="n"/>
      <c r="Q582" s="77" t="n"/>
      <c r="R582" s="38" t="n"/>
      <c r="T582" s="68" t="n"/>
      <c r="U582" s="68" t="n"/>
      <c r="V582" s="68" t="n"/>
      <c r="W582" s="68" t="n"/>
      <c r="X582" s="68" t="n"/>
      <c r="Y582" s="68" t="n"/>
      <c r="Z582" s="68" t="n"/>
      <c r="AA582" s="68" t="n"/>
      <c r="AB582" s="68" t="n"/>
      <c r="AC582" s="68" t="n"/>
      <c r="AD582" s="68" t="n"/>
      <c r="AE582" s="68" t="n"/>
      <c r="AF582" s="80" t="n"/>
      <c r="AG582" s="76" t="n"/>
      <c r="AH582" s="77" t="n"/>
    </row>
    <row r="583" ht="18" customHeight="1"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80" t="n"/>
      <c r="P583" s="76" t="n"/>
      <c r="Q583" s="77" t="n"/>
      <c r="R583" s="38" t="n"/>
      <c r="T583" s="68" t="n"/>
      <c r="U583" s="68" t="n"/>
      <c r="V583" s="68" t="n"/>
      <c r="W583" s="68" t="n"/>
      <c r="X583" s="68" t="n"/>
      <c r="Y583" s="68" t="n"/>
      <c r="Z583" s="68" t="n"/>
      <c r="AA583" s="68" t="n"/>
      <c r="AB583" s="68" t="n"/>
      <c r="AC583" s="68" t="n"/>
      <c r="AD583" s="68" t="n"/>
      <c r="AE583" s="68" t="n"/>
      <c r="AF583" s="80" t="n"/>
      <c r="AG583" s="76" t="n"/>
      <c r="AH583" s="77" t="n"/>
    </row>
    <row r="584" ht="18" customHeight="1"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80" t="n"/>
      <c r="P584" s="76" t="n"/>
      <c r="Q584" s="77" t="n"/>
      <c r="R584" s="38" t="n"/>
      <c r="T584" s="68" t="n"/>
      <c r="U584" s="68" t="n"/>
      <c r="V584" s="68" t="n"/>
      <c r="W584" s="68" t="n"/>
      <c r="X584" s="68" t="n"/>
      <c r="Y584" s="68" t="n"/>
      <c r="Z584" s="68" t="n"/>
      <c r="AA584" s="68" t="n"/>
      <c r="AB584" s="68" t="n"/>
      <c r="AC584" s="68" t="n"/>
      <c r="AD584" s="68" t="n"/>
      <c r="AE584" s="68" t="n"/>
      <c r="AF584" s="80" t="n"/>
      <c r="AG584" s="76" t="n"/>
      <c r="AH584" s="77" t="n"/>
    </row>
    <row r="585" ht="18" customHeight="1"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80" t="n"/>
      <c r="P585" s="76" t="n"/>
      <c r="Q585" s="77" t="n"/>
      <c r="R585" s="38" t="n"/>
      <c r="T585" s="68" t="n"/>
      <c r="U585" s="68" t="n"/>
      <c r="V585" s="68" t="n"/>
      <c r="W585" s="68" t="n"/>
      <c r="X585" s="68" t="n"/>
      <c r="Y585" s="68" t="n"/>
      <c r="Z585" s="68" t="n"/>
      <c r="AA585" s="68" t="n"/>
      <c r="AB585" s="68" t="n"/>
      <c r="AC585" s="68" t="n"/>
      <c r="AD585" s="68" t="n"/>
      <c r="AE585" s="68" t="n"/>
      <c r="AF585" s="80" t="n"/>
      <c r="AG585" s="76" t="n"/>
      <c r="AH585" s="77" t="n"/>
    </row>
    <row r="586" ht="18" customHeight="1"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80" t="n"/>
      <c r="P586" s="76" t="n"/>
      <c r="Q586" s="77" t="n"/>
      <c r="R586" s="38" t="n"/>
      <c r="T586" s="68" t="n"/>
      <c r="U586" s="68" t="n"/>
      <c r="V586" s="68" t="n"/>
      <c r="W586" s="68" t="n"/>
      <c r="X586" s="68" t="n"/>
      <c r="Y586" s="68" t="n"/>
      <c r="Z586" s="68" t="n"/>
      <c r="AA586" s="68" t="n"/>
      <c r="AB586" s="68" t="n"/>
      <c r="AC586" s="68" t="n"/>
      <c r="AD586" s="68" t="n"/>
      <c r="AE586" s="68" t="n"/>
      <c r="AF586" s="80" t="n"/>
      <c r="AG586" s="76" t="n"/>
      <c r="AH586" s="77" t="n"/>
    </row>
    <row r="587" ht="18" customHeight="1"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80" t="n"/>
      <c r="P587" s="76" t="n"/>
      <c r="Q587" s="77" t="n"/>
      <c r="R587" s="38" t="n"/>
      <c r="T587" s="68" t="n"/>
      <c r="U587" s="68" t="n"/>
      <c r="V587" s="68" t="n"/>
      <c r="W587" s="68" t="n"/>
      <c r="X587" s="68" t="n"/>
      <c r="Y587" s="68" t="n"/>
      <c r="Z587" s="68" t="n"/>
      <c r="AA587" s="68" t="n"/>
      <c r="AB587" s="68" t="n"/>
      <c r="AC587" s="68" t="n"/>
      <c r="AD587" s="68" t="n"/>
      <c r="AE587" s="68" t="n"/>
      <c r="AF587" s="80" t="n"/>
      <c r="AG587" s="76" t="n"/>
      <c r="AH587" s="77" t="n"/>
    </row>
    <row r="588" ht="18" customHeight="1"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80" t="n"/>
      <c r="P588" s="76" t="n"/>
      <c r="Q588" s="77" t="n"/>
      <c r="R588" s="38" t="n"/>
      <c r="T588" s="68" t="n"/>
      <c r="U588" s="68" t="n"/>
      <c r="V588" s="68" t="n"/>
      <c r="W588" s="68" t="n"/>
      <c r="X588" s="68" t="n"/>
      <c r="Y588" s="68" t="n"/>
      <c r="Z588" s="68" t="n"/>
      <c r="AA588" s="68" t="n"/>
      <c r="AB588" s="68" t="n"/>
      <c r="AC588" s="68" t="n"/>
      <c r="AD588" s="68" t="n"/>
      <c r="AE588" s="68" t="n"/>
      <c r="AF588" s="80" t="n"/>
      <c r="AG588" s="76" t="n"/>
      <c r="AH588" s="77" t="n"/>
    </row>
    <row r="589" ht="18" customHeight="1"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80" t="n"/>
      <c r="P589" s="76" t="n"/>
      <c r="Q589" s="77" t="n"/>
      <c r="R589" s="38" t="n"/>
      <c r="T589" s="68" t="n"/>
      <c r="U589" s="68" t="n"/>
      <c r="V589" s="68" t="n"/>
      <c r="W589" s="68" t="n"/>
      <c r="X589" s="68" t="n"/>
      <c r="Y589" s="68" t="n"/>
      <c r="Z589" s="68" t="n"/>
      <c r="AA589" s="68" t="n"/>
      <c r="AB589" s="68" t="n"/>
      <c r="AC589" s="68" t="n"/>
      <c r="AD589" s="68" t="n"/>
      <c r="AE589" s="68" t="n"/>
      <c r="AF589" s="80" t="n"/>
      <c r="AG589" s="76" t="n"/>
      <c r="AH589" s="77" t="n"/>
    </row>
    <row r="590" ht="18" customHeight="1"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80" t="n"/>
      <c r="P590" s="76" t="n"/>
      <c r="Q590" s="77" t="n"/>
      <c r="R590" s="38" t="n"/>
      <c r="T590" s="68" t="n"/>
      <c r="U590" s="68" t="n"/>
      <c r="V590" s="68" t="n"/>
      <c r="W590" s="68" t="n"/>
      <c r="X590" s="68" t="n"/>
      <c r="Y590" s="68" t="n"/>
      <c r="Z590" s="68" t="n"/>
      <c r="AA590" s="68" t="n"/>
      <c r="AB590" s="68" t="n"/>
      <c r="AC590" s="68" t="n"/>
      <c r="AD590" s="68" t="n"/>
      <c r="AE590" s="68" t="n"/>
      <c r="AF590" s="80" t="n"/>
      <c r="AG590" s="76" t="n"/>
      <c r="AH590" s="77" t="n"/>
    </row>
    <row r="591" ht="18" customHeight="1"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80" t="n"/>
      <c r="P591" s="76" t="n"/>
      <c r="Q591" s="77" t="n"/>
      <c r="R591" s="38" t="n"/>
      <c r="T591" s="68" t="n"/>
      <c r="U591" s="68" t="n"/>
      <c r="V591" s="68" t="n"/>
      <c r="W591" s="68" t="n"/>
      <c r="X591" s="68" t="n"/>
      <c r="Y591" s="68" t="n"/>
      <c r="Z591" s="68" t="n"/>
      <c r="AA591" s="68" t="n"/>
      <c r="AB591" s="68" t="n"/>
      <c r="AC591" s="68" t="n"/>
      <c r="AD591" s="68" t="n"/>
      <c r="AE591" s="68" t="n"/>
      <c r="AF591" s="80" t="n"/>
      <c r="AG591" s="76" t="n"/>
      <c r="AH591" s="77" t="n"/>
    </row>
    <row r="592" ht="18" customHeight="1"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80" t="n"/>
      <c r="P592" s="76" t="n"/>
      <c r="Q592" s="77" t="n"/>
      <c r="R592" s="38" t="n"/>
      <c r="T592" s="68" t="n"/>
      <c r="U592" s="68" t="n"/>
      <c r="V592" s="68" t="n"/>
      <c r="W592" s="68" t="n"/>
      <c r="X592" s="68" t="n"/>
      <c r="Y592" s="68" t="n"/>
      <c r="Z592" s="68" t="n"/>
      <c r="AA592" s="68" t="n"/>
      <c r="AB592" s="68" t="n"/>
      <c r="AC592" s="68" t="n"/>
      <c r="AD592" s="68" t="n"/>
      <c r="AE592" s="68" t="n"/>
      <c r="AF592" s="80" t="n"/>
      <c r="AG592" s="76" t="n"/>
      <c r="AH592" s="77" t="n"/>
    </row>
    <row r="593" ht="18" customHeight="1"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80" t="n"/>
      <c r="P593" s="76" t="n"/>
      <c r="Q593" s="77" t="n"/>
      <c r="R593" s="38" t="n"/>
      <c r="T593" s="68" t="n"/>
      <c r="U593" s="68" t="n"/>
      <c r="V593" s="68" t="n"/>
      <c r="W593" s="68" t="n"/>
      <c r="X593" s="68" t="n"/>
      <c r="Y593" s="68" t="n"/>
      <c r="Z593" s="68" t="n"/>
      <c r="AA593" s="68" t="n"/>
      <c r="AB593" s="68" t="n"/>
      <c r="AC593" s="68" t="n"/>
      <c r="AD593" s="68" t="n"/>
      <c r="AE593" s="68" t="n"/>
      <c r="AF593" s="80" t="n"/>
      <c r="AG593" s="76" t="n"/>
      <c r="AH593" s="77" t="n"/>
    </row>
    <row r="594" ht="18" customHeight="1"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80" t="n"/>
      <c r="P594" s="76" t="n"/>
      <c r="Q594" s="77" t="n"/>
      <c r="R594" s="38" t="n"/>
      <c r="T594" s="68" t="n"/>
      <c r="U594" s="68" t="n"/>
      <c r="V594" s="68" t="n"/>
      <c r="W594" s="68" t="n"/>
      <c r="X594" s="68" t="n"/>
      <c r="Y594" s="68" t="n"/>
      <c r="Z594" s="68" t="n"/>
      <c r="AA594" s="68" t="n"/>
      <c r="AB594" s="68" t="n"/>
      <c r="AC594" s="68" t="n"/>
      <c r="AD594" s="68" t="n"/>
      <c r="AE594" s="68" t="n"/>
      <c r="AF594" s="80" t="n"/>
      <c r="AG594" s="76" t="n"/>
      <c r="AH594" s="77" t="n"/>
    </row>
    <row r="595" ht="18" customHeight="1"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80" t="n"/>
      <c r="P595" s="76" t="n"/>
      <c r="Q595" s="77" t="n"/>
      <c r="R595" s="38" t="n"/>
      <c r="T595" s="68" t="n"/>
      <c r="U595" s="68" t="n"/>
      <c r="V595" s="68" t="n"/>
      <c r="W595" s="68" t="n"/>
      <c r="X595" s="68" t="n"/>
      <c r="Y595" s="68" t="n"/>
      <c r="Z595" s="68" t="n"/>
      <c r="AA595" s="68" t="n"/>
      <c r="AB595" s="68" t="n"/>
      <c r="AC595" s="68" t="n"/>
      <c r="AD595" s="68" t="n"/>
      <c r="AE595" s="68" t="n"/>
      <c r="AF595" s="80" t="n"/>
      <c r="AG595" s="76" t="n"/>
      <c r="AH595" s="77" t="n"/>
    </row>
    <row r="596" ht="18" customHeight="1"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80" t="n"/>
      <c r="P596" s="76" t="n"/>
      <c r="Q596" s="77" t="n"/>
      <c r="R596" s="38" t="n"/>
      <c r="T596" s="68" t="n"/>
      <c r="U596" s="68" t="n"/>
      <c r="V596" s="68" t="n"/>
      <c r="W596" s="68" t="n"/>
      <c r="X596" s="68" t="n"/>
      <c r="Y596" s="68" t="n"/>
      <c r="Z596" s="68" t="n"/>
      <c r="AA596" s="68" t="n"/>
      <c r="AB596" s="68" t="n"/>
      <c r="AC596" s="68" t="n"/>
      <c r="AD596" s="68" t="n"/>
      <c r="AE596" s="68" t="n"/>
      <c r="AF596" s="80" t="n"/>
      <c r="AG596" s="76" t="n"/>
      <c r="AH596" s="77" t="n"/>
    </row>
    <row r="597" ht="18" customHeight="1"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80" t="n"/>
      <c r="P597" s="76" t="n"/>
      <c r="Q597" s="77" t="n"/>
      <c r="R597" s="38" t="n"/>
      <c r="T597" s="68" t="n"/>
      <c r="U597" s="68" t="n"/>
      <c r="V597" s="68" t="n"/>
      <c r="W597" s="68" t="n"/>
      <c r="X597" s="68" t="n"/>
      <c r="Y597" s="68" t="n"/>
      <c r="Z597" s="68" t="n"/>
      <c r="AA597" s="68" t="n"/>
      <c r="AB597" s="68" t="n"/>
      <c r="AC597" s="68" t="n"/>
      <c r="AD597" s="68" t="n"/>
      <c r="AE597" s="68" t="n"/>
      <c r="AF597" s="80" t="n"/>
      <c r="AG597" s="76" t="n"/>
      <c r="AH597" s="77" t="n"/>
    </row>
    <row r="598" ht="18" customHeight="1"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80" t="n"/>
      <c r="P598" s="76" t="n"/>
      <c r="Q598" s="77" t="n"/>
      <c r="R598" s="38" t="n"/>
      <c r="T598" s="68" t="n"/>
      <c r="U598" s="68" t="n"/>
      <c r="V598" s="68" t="n"/>
      <c r="W598" s="68" t="n"/>
      <c r="X598" s="68" t="n"/>
      <c r="Y598" s="68" t="n"/>
      <c r="Z598" s="68" t="n"/>
      <c r="AA598" s="68" t="n"/>
      <c r="AB598" s="68" t="n"/>
      <c r="AC598" s="68" t="n"/>
      <c r="AD598" s="68" t="n"/>
      <c r="AE598" s="68" t="n"/>
      <c r="AF598" s="80" t="n"/>
      <c r="AG598" s="76" t="n"/>
      <c r="AH598" s="77" t="n"/>
    </row>
    <row r="599" ht="18" customHeight="1"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80" t="n"/>
      <c r="P599" s="76" t="n"/>
      <c r="Q599" s="77" t="n"/>
      <c r="R599" s="38" t="n"/>
      <c r="T599" s="68" t="n"/>
      <c r="U599" s="68" t="n"/>
      <c r="V599" s="68" t="n"/>
      <c r="W599" s="68" t="n"/>
      <c r="X599" s="68" t="n"/>
      <c r="Y599" s="68" t="n"/>
      <c r="Z599" s="68" t="n"/>
      <c r="AA599" s="68" t="n"/>
      <c r="AB599" s="68" t="n"/>
      <c r="AC599" s="68" t="n"/>
      <c r="AD599" s="68" t="n"/>
      <c r="AE599" s="68" t="n"/>
      <c r="AF599" s="80" t="n"/>
      <c r="AG599" s="76" t="n"/>
      <c r="AH599" s="77" t="n"/>
    </row>
    <row r="600" ht="18" customHeight="1"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80" t="n"/>
      <c r="P600" s="76" t="n"/>
      <c r="Q600" s="77" t="n"/>
      <c r="R600" s="38" t="n"/>
      <c r="T600" s="68" t="n"/>
      <c r="U600" s="68" t="n"/>
      <c r="V600" s="68" t="n"/>
      <c r="W600" s="68" t="n"/>
      <c r="X600" s="68" t="n"/>
      <c r="Y600" s="68" t="n"/>
      <c r="Z600" s="68" t="n"/>
      <c r="AA600" s="68" t="n"/>
      <c r="AB600" s="68" t="n"/>
      <c r="AC600" s="68" t="n"/>
      <c r="AD600" s="68" t="n"/>
      <c r="AE600" s="68" t="n"/>
      <c r="AF600" s="80" t="n"/>
      <c r="AG600" s="76" t="n"/>
      <c r="AH600" s="77" t="n"/>
    </row>
    <row r="601" ht="18" customHeight="1"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80" t="n"/>
      <c r="P601" s="76" t="n"/>
      <c r="Q601" s="77" t="n"/>
      <c r="R601" s="38" t="n"/>
      <c r="T601" s="68" t="n"/>
      <c r="U601" s="68" t="n"/>
      <c r="V601" s="68" t="n"/>
      <c r="W601" s="68" t="n"/>
      <c r="X601" s="68" t="n"/>
      <c r="Y601" s="68" t="n"/>
      <c r="Z601" s="68" t="n"/>
      <c r="AA601" s="68" t="n"/>
      <c r="AB601" s="68" t="n"/>
      <c r="AC601" s="68" t="n"/>
      <c r="AD601" s="68" t="n"/>
      <c r="AE601" s="68" t="n"/>
      <c r="AF601" s="80" t="n"/>
      <c r="AG601" s="76" t="n"/>
      <c r="AH601" s="77" t="n"/>
    </row>
    <row r="602" ht="18" customHeight="1"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80" t="n"/>
      <c r="P602" s="76" t="n"/>
      <c r="Q602" s="77" t="n"/>
      <c r="R602" s="38" t="n"/>
      <c r="T602" s="68" t="n"/>
      <c r="U602" s="68" t="n"/>
      <c r="V602" s="68" t="n"/>
      <c r="W602" s="68" t="n"/>
      <c r="X602" s="68" t="n"/>
      <c r="Y602" s="68" t="n"/>
      <c r="Z602" s="68" t="n"/>
      <c r="AA602" s="68" t="n"/>
      <c r="AB602" s="68" t="n"/>
      <c r="AC602" s="68" t="n"/>
      <c r="AD602" s="68" t="n"/>
      <c r="AE602" s="68" t="n"/>
      <c r="AF602" s="80" t="n"/>
      <c r="AG602" s="76" t="n"/>
      <c r="AH602" s="77" t="n"/>
    </row>
    <row r="603" ht="18" customHeight="1"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80" t="n"/>
      <c r="P603" s="76" t="n"/>
      <c r="Q603" s="77" t="n"/>
      <c r="R603" s="38" t="n"/>
      <c r="T603" s="68" t="n"/>
      <c r="U603" s="68" t="n"/>
      <c r="V603" s="68" t="n"/>
      <c r="W603" s="68" t="n"/>
      <c r="X603" s="68" t="n"/>
      <c r="Y603" s="68" t="n"/>
      <c r="Z603" s="68" t="n"/>
      <c r="AA603" s="68" t="n"/>
      <c r="AB603" s="68" t="n"/>
      <c r="AC603" s="68" t="n"/>
      <c r="AD603" s="68" t="n"/>
      <c r="AE603" s="68" t="n"/>
      <c r="AF603" s="80" t="n"/>
      <c r="AG603" s="76" t="n"/>
      <c r="AH603" s="77" t="n"/>
    </row>
    <row r="604" ht="18" customHeight="1"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80" t="n"/>
      <c r="P604" s="76" t="n"/>
      <c r="Q604" s="77" t="n"/>
      <c r="R604" s="38" t="n"/>
      <c r="T604" s="68" t="n"/>
      <c r="U604" s="68" t="n"/>
      <c r="V604" s="68" t="n"/>
      <c r="W604" s="68" t="n"/>
      <c r="X604" s="68" t="n"/>
      <c r="Y604" s="68" t="n"/>
      <c r="Z604" s="68" t="n"/>
      <c r="AA604" s="68" t="n"/>
      <c r="AB604" s="68" t="n"/>
      <c r="AC604" s="68" t="n"/>
      <c r="AD604" s="68" t="n"/>
      <c r="AE604" s="68" t="n"/>
      <c r="AF604" s="80" t="n"/>
      <c r="AG604" s="76" t="n"/>
      <c r="AH604" s="77" t="n"/>
    </row>
    <row r="605" ht="18" customHeight="1"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80" t="n"/>
      <c r="P605" s="76" t="n"/>
      <c r="Q605" s="77" t="n"/>
      <c r="R605" s="38" t="n"/>
      <c r="T605" s="68" t="n"/>
      <c r="U605" s="68" t="n"/>
      <c r="V605" s="68" t="n"/>
      <c r="W605" s="68" t="n"/>
      <c r="X605" s="68" t="n"/>
      <c r="Y605" s="68" t="n"/>
      <c r="Z605" s="68" t="n"/>
      <c r="AA605" s="68" t="n"/>
      <c r="AB605" s="68" t="n"/>
      <c r="AC605" s="68" t="n"/>
      <c r="AD605" s="68" t="n"/>
      <c r="AE605" s="68" t="n"/>
      <c r="AF605" s="80" t="n"/>
      <c r="AG605" s="76" t="n"/>
      <c r="AH605" s="77" t="n"/>
    </row>
    <row r="606" ht="18" customHeight="1"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80" t="n"/>
      <c r="P606" s="76" t="n"/>
      <c r="Q606" s="77" t="n"/>
      <c r="R606" s="38" t="n"/>
      <c r="T606" s="68" t="n"/>
      <c r="U606" s="68" t="n"/>
      <c r="V606" s="68" t="n"/>
      <c r="W606" s="68" t="n"/>
      <c r="X606" s="68" t="n"/>
      <c r="Y606" s="68" t="n"/>
      <c r="Z606" s="68" t="n"/>
      <c r="AA606" s="68" t="n"/>
      <c r="AB606" s="68" t="n"/>
      <c r="AC606" s="68" t="n"/>
      <c r="AD606" s="68" t="n"/>
      <c r="AE606" s="68" t="n"/>
      <c r="AF606" s="80" t="n"/>
      <c r="AG606" s="76" t="n"/>
      <c r="AH606" s="77" t="n"/>
    </row>
    <row r="607" ht="18" customHeight="1"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80" t="n"/>
      <c r="P607" s="76" t="n"/>
      <c r="Q607" s="77" t="n"/>
      <c r="R607" s="38" t="n"/>
      <c r="T607" s="68" t="n"/>
      <c r="U607" s="68" t="n"/>
      <c r="V607" s="68" t="n"/>
      <c r="W607" s="68" t="n"/>
      <c r="X607" s="68" t="n"/>
      <c r="Y607" s="68" t="n"/>
      <c r="Z607" s="68" t="n"/>
      <c r="AA607" s="68" t="n"/>
      <c r="AB607" s="68" t="n"/>
      <c r="AC607" s="68" t="n"/>
      <c r="AD607" s="68" t="n"/>
      <c r="AE607" s="68" t="n"/>
      <c r="AF607" s="80" t="n"/>
      <c r="AG607" s="76" t="n"/>
      <c r="AH607" s="77" t="n"/>
    </row>
    <row r="608" ht="18" customHeight="1"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80" t="n"/>
      <c r="P608" s="76" t="n"/>
      <c r="Q608" s="77" t="n"/>
      <c r="R608" s="38" t="n"/>
      <c r="T608" s="68" t="n"/>
      <c r="U608" s="68" t="n"/>
      <c r="V608" s="68" t="n"/>
      <c r="W608" s="68" t="n"/>
      <c r="X608" s="68" t="n"/>
      <c r="Y608" s="68" t="n"/>
      <c r="Z608" s="68" t="n"/>
      <c r="AA608" s="68" t="n"/>
      <c r="AB608" s="68" t="n"/>
      <c r="AC608" s="68" t="n"/>
      <c r="AD608" s="68" t="n"/>
      <c r="AE608" s="68" t="n"/>
      <c r="AF608" s="80" t="n"/>
      <c r="AG608" s="76" t="n"/>
      <c r="AH608" s="77" t="n"/>
    </row>
    <row r="609" ht="18" customHeight="1"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80" t="n"/>
      <c r="P609" s="76" t="n"/>
      <c r="Q609" s="77" t="n"/>
      <c r="R609" s="38" t="n"/>
      <c r="T609" s="68" t="n"/>
      <c r="U609" s="68" t="n"/>
      <c r="V609" s="68" t="n"/>
      <c r="W609" s="68" t="n"/>
      <c r="X609" s="68" t="n"/>
      <c r="Y609" s="68" t="n"/>
      <c r="Z609" s="68" t="n"/>
      <c r="AA609" s="68" t="n"/>
      <c r="AB609" s="68" t="n"/>
      <c r="AC609" s="68" t="n"/>
      <c r="AD609" s="68" t="n"/>
      <c r="AE609" s="68" t="n"/>
      <c r="AF609" s="80" t="n"/>
      <c r="AG609" s="76" t="n"/>
      <c r="AH609" s="77" t="n"/>
    </row>
    <row r="610" ht="18" customHeight="1"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80" t="n"/>
      <c r="P610" s="76" t="n"/>
      <c r="Q610" s="77" t="n"/>
      <c r="R610" s="38" t="n"/>
      <c r="T610" s="68" t="n"/>
      <c r="U610" s="68" t="n"/>
      <c r="V610" s="68" t="n"/>
      <c r="W610" s="68" t="n"/>
      <c r="X610" s="68" t="n"/>
      <c r="Y610" s="68" t="n"/>
      <c r="Z610" s="68" t="n"/>
      <c r="AA610" s="68" t="n"/>
      <c r="AB610" s="68" t="n"/>
      <c r="AC610" s="68" t="n"/>
      <c r="AD610" s="68" t="n"/>
      <c r="AE610" s="68" t="n"/>
      <c r="AF610" s="80" t="n"/>
      <c r="AG610" s="76" t="n"/>
      <c r="AH610" s="77" t="n"/>
    </row>
    <row r="611" ht="18" customHeight="1"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80" t="n"/>
      <c r="P611" s="76" t="n"/>
      <c r="Q611" s="77" t="n"/>
      <c r="R611" s="38" t="n"/>
      <c r="T611" s="68" t="n"/>
      <c r="U611" s="68" t="n"/>
      <c r="V611" s="68" t="n"/>
      <c r="W611" s="68" t="n"/>
      <c r="X611" s="68" t="n"/>
      <c r="Y611" s="68" t="n"/>
      <c r="Z611" s="68" t="n"/>
      <c r="AA611" s="68" t="n"/>
      <c r="AB611" s="68" t="n"/>
      <c r="AC611" s="68" t="n"/>
      <c r="AD611" s="68" t="n"/>
      <c r="AE611" s="68" t="n"/>
      <c r="AF611" s="80" t="n"/>
      <c r="AG611" s="76" t="n"/>
      <c r="AH611" s="77" t="n"/>
    </row>
    <row r="612" ht="18" customHeight="1"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80" t="n"/>
      <c r="P612" s="76" t="n"/>
      <c r="Q612" s="77" t="n"/>
      <c r="R612" s="38" t="n"/>
      <c r="T612" s="68" t="n"/>
      <c r="U612" s="68" t="n"/>
      <c r="V612" s="68" t="n"/>
      <c r="W612" s="68" t="n"/>
      <c r="X612" s="68" t="n"/>
      <c r="Y612" s="68" t="n"/>
      <c r="Z612" s="68" t="n"/>
      <c r="AA612" s="68" t="n"/>
      <c r="AB612" s="68" t="n"/>
      <c r="AC612" s="68" t="n"/>
      <c r="AD612" s="68" t="n"/>
      <c r="AE612" s="68" t="n"/>
      <c r="AF612" s="80" t="n"/>
      <c r="AG612" s="76" t="n"/>
      <c r="AH612" s="77" t="n"/>
    </row>
    <row r="613" ht="18" customHeight="1"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80" t="n"/>
      <c r="P613" s="76" t="n"/>
      <c r="Q613" s="77" t="n"/>
      <c r="R613" s="38" t="n"/>
      <c r="T613" s="68" t="n"/>
      <c r="U613" s="68" t="n"/>
      <c r="V613" s="68" t="n"/>
      <c r="W613" s="68" t="n"/>
      <c r="X613" s="68" t="n"/>
      <c r="Y613" s="68" t="n"/>
      <c r="Z613" s="68" t="n"/>
      <c r="AA613" s="68" t="n"/>
      <c r="AB613" s="68" t="n"/>
      <c r="AC613" s="68" t="n"/>
      <c r="AD613" s="68" t="n"/>
      <c r="AE613" s="68" t="n"/>
      <c r="AF613" s="80" t="n"/>
      <c r="AG613" s="76" t="n"/>
      <c r="AH613" s="77" t="n"/>
    </row>
    <row r="614" ht="18" customHeight="1"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80" t="n"/>
      <c r="P614" s="76" t="n"/>
      <c r="Q614" s="77" t="n"/>
      <c r="R614" s="38" t="n"/>
      <c r="T614" s="68" t="n"/>
      <c r="U614" s="68" t="n"/>
      <c r="V614" s="68" t="n"/>
      <c r="W614" s="68" t="n"/>
      <c r="X614" s="68" t="n"/>
      <c r="Y614" s="68" t="n"/>
      <c r="Z614" s="68" t="n"/>
      <c r="AA614" s="68" t="n"/>
      <c r="AB614" s="68" t="n"/>
      <c r="AC614" s="68" t="n"/>
      <c r="AD614" s="68" t="n"/>
      <c r="AE614" s="68" t="n"/>
      <c r="AF614" s="80" t="n"/>
      <c r="AG614" s="76" t="n"/>
      <c r="AH614" s="77" t="n"/>
    </row>
    <row r="615" ht="18" customHeight="1"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80" t="n"/>
      <c r="P615" s="76" t="n"/>
      <c r="Q615" s="77" t="n"/>
      <c r="R615" s="38" t="n"/>
      <c r="T615" s="68" t="n"/>
      <c r="U615" s="68" t="n"/>
      <c r="V615" s="68" t="n"/>
      <c r="W615" s="68" t="n"/>
      <c r="X615" s="68" t="n"/>
      <c r="Y615" s="68" t="n"/>
      <c r="Z615" s="68" t="n"/>
      <c r="AA615" s="68" t="n"/>
      <c r="AB615" s="68" t="n"/>
      <c r="AC615" s="68" t="n"/>
      <c r="AD615" s="68" t="n"/>
      <c r="AE615" s="68" t="n"/>
      <c r="AF615" s="80" t="n"/>
      <c r="AG615" s="76" t="n"/>
      <c r="AH615" s="77" t="n"/>
    </row>
    <row r="616" ht="18" customHeight="1"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80" t="n"/>
      <c r="P616" s="76" t="n"/>
      <c r="Q616" s="77" t="n"/>
      <c r="R616" s="38" t="n"/>
      <c r="T616" s="68" t="n"/>
      <c r="U616" s="68" t="n"/>
      <c r="V616" s="68" t="n"/>
      <c r="W616" s="68" t="n"/>
      <c r="X616" s="68" t="n"/>
      <c r="Y616" s="68" t="n"/>
      <c r="Z616" s="68" t="n"/>
      <c r="AA616" s="68" t="n"/>
      <c r="AB616" s="68" t="n"/>
      <c r="AC616" s="68" t="n"/>
      <c r="AD616" s="68" t="n"/>
      <c r="AE616" s="68" t="n"/>
      <c r="AF616" s="80" t="n"/>
      <c r="AG616" s="76" t="n"/>
      <c r="AH616" s="77" t="n"/>
    </row>
    <row r="617" ht="18" customHeight="1"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80" t="n"/>
      <c r="P617" s="76" t="n"/>
      <c r="Q617" s="77" t="n"/>
      <c r="R617" s="38" t="n"/>
      <c r="T617" s="68" t="n"/>
      <c r="U617" s="68" t="n"/>
      <c r="V617" s="68" t="n"/>
      <c r="W617" s="68" t="n"/>
      <c r="X617" s="68" t="n"/>
      <c r="Y617" s="68" t="n"/>
      <c r="Z617" s="68" t="n"/>
      <c r="AA617" s="68" t="n"/>
      <c r="AB617" s="68" t="n"/>
      <c r="AC617" s="68" t="n"/>
      <c r="AD617" s="68" t="n"/>
      <c r="AE617" s="68" t="n"/>
      <c r="AF617" s="80" t="n"/>
      <c r="AG617" s="76" t="n"/>
      <c r="AH617" s="77" t="n"/>
    </row>
    <row r="618" ht="18" customHeight="1"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80" t="n"/>
      <c r="P618" s="76" t="n"/>
      <c r="Q618" s="77" t="n"/>
      <c r="R618" s="38" t="n"/>
      <c r="T618" s="68" t="n"/>
      <c r="U618" s="68" t="n"/>
      <c r="V618" s="68" t="n"/>
      <c r="W618" s="68" t="n"/>
      <c r="X618" s="68" t="n"/>
      <c r="Y618" s="68" t="n"/>
      <c r="Z618" s="68" t="n"/>
      <c r="AA618" s="68" t="n"/>
      <c r="AB618" s="68" t="n"/>
      <c r="AC618" s="68" t="n"/>
      <c r="AD618" s="68" t="n"/>
      <c r="AE618" s="68" t="n"/>
      <c r="AF618" s="80" t="n"/>
      <c r="AG618" s="76" t="n"/>
      <c r="AH618" s="77" t="n"/>
    </row>
    <row r="619" ht="18" customHeight="1"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80" t="n"/>
      <c r="P619" s="76" t="n"/>
      <c r="Q619" s="77" t="n"/>
      <c r="R619" s="38" t="n"/>
      <c r="T619" s="68" t="n"/>
      <c r="U619" s="68" t="n"/>
      <c r="V619" s="68" t="n"/>
      <c r="W619" s="68" t="n"/>
      <c r="X619" s="68" t="n"/>
      <c r="Y619" s="68" t="n"/>
      <c r="Z619" s="68" t="n"/>
      <c r="AA619" s="68" t="n"/>
      <c r="AB619" s="68" t="n"/>
      <c r="AC619" s="68" t="n"/>
      <c r="AD619" s="68" t="n"/>
      <c r="AE619" s="68" t="n"/>
      <c r="AF619" s="80" t="n"/>
      <c r="AG619" s="76" t="n"/>
      <c r="AH619" s="77" t="n"/>
    </row>
    <row r="620" ht="18" customHeight="1"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80" t="n"/>
      <c r="P620" s="76" t="n"/>
      <c r="Q620" s="77" t="n"/>
      <c r="R620" s="38" t="n"/>
      <c r="T620" s="68" t="n"/>
      <c r="U620" s="68" t="n"/>
      <c r="V620" s="68" t="n"/>
      <c r="W620" s="68" t="n"/>
      <c r="X620" s="68" t="n"/>
      <c r="Y620" s="68" t="n"/>
      <c r="Z620" s="68" t="n"/>
      <c r="AA620" s="68" t="n"/>
      <c r="AB620" s="68" t="n"/>
      <c r="AC620" s="68" t="n"/>
      <c r="AD620" s="68" t="n"/>
      <c r="AE620" s="68" t="n"/>
      <c r="AF620" s="80" t="n"/>
      <c r="AG620" s="76" t="n"/>
      <c r="AH620" s="77" t="n"/>
    </row>
    <row r="621" ht="18" customHeight="1"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80" t="n"/>
      <c r="P621" s="76" t="n"/>
      <c r="Q621" s="77" t="n"/>
      <c r="R621" s="38" t="n"/>
      <c r="T621" s="68" t="n"/>
      <c r="U621" s="68" t="n"/>
      <c r="V621" s="68" t="n"/>
      <c r="W621" s="68" t="n"/>
      <c r="X621" s="68" t="n"/>
      <c r="Y621" s="68" t="n"/>
      <c r="Z621" s="68" t="n"/>
      <c r="AA621" s="68" t="n"/>
      <c r="AB621" s="68" t="n"/>
      <c r="AC621" s="68" t="n"/>
      <c r="AD621" s="68" t="n"/>
      <c r="AE621" s="68" t="n"/>
      <c r="AF621" s="80" t="n"/>
      <c r="AG621" s="76" t="n"/>
      <c r="AH621" s="77" t="n"/>
    </row>
    <row r="622" ht="18" customHeight="1"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80" t="n"/>
      <c r="P622" s="76" t="n"/>
      <c r="Q622" s="77" t="n"/>
      <c r="R622" s="38" t="n"/>
      <c r="T622" s="68" t="n"/>
      <c r="U622" s="68" t="n"/>
      <c r="V622" s="68" t="n"/>
      <c r="W622" s="68" t="n"/>
      <c r="X622" s="68" t="n"/>
      <c r="Y622" s="68" t="n"/>
      <c r="Z622" s="68" t="n"/>
      <c r="AA622" s="68" t="n"/>
      <c r="AB622" s="68" t="n"/>
      <c r="AC622" s="68" t="n"/>
      <c r="AD622" s="68" t="n"/>
      <c r="AE622" s="68" t="n"/>
      <c r="AF622" s="80" t="n"/>
      <c r="AG622" s="76" t="n"/>
      <c r="AH622" s="77" t="n"/>
    </row>
    <row r="623" ht="18" customHeight="1"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80" t="n"/>
      <c r="P623" s="76" t="n"/>
      <c r="Q623" s="77" t="n"/>
      <c r="R623" s="38" t="n"/>
      <c r="T623" s="68" t="n"/>
      <c r="U623" s="68" t="n"/>
      <c r="V623" s="68" t="n"/>
      <c r="W623" s="68" t="n"/>
      <c r="X623" s="68" t="n"/>
      <c r="Y623" s="68" t="n"/>
      <c r="Z623" s="68" t="n"/>
      <c r="AA623" s="68" t="n"/>
      <c r="AB623" s="68" t="n"/>
      <c r="AC623" s="68" t="n"/>
      <c r="AD623" s="68" t="n"/>
      <c r="AE623" s="68" t="n"/>
      <c r="AF623" s="80" t="n"/>
      <c r="AG623" s="76" t="n"/>
      <c r="AH623" s="77" t="n"/>
    </row>
  </sheetData>
  <mergeCells count="31">
    <mergeCell ref="AB1:AB2"/>
    <mergeCell ref="AD1:AD2"/>
    <mergeCell ref="C1:C2"/>
    <mergeCell ref="E1:E2"/>
    <mergeCell ref="K1:K2"/>
    <mergeCell ref="V1:V2"/>
    <mergeCell ref="M1:M2"/>
    <mergeCell ref="O1:O2"/>
    <mergeCell ref="Q1:Q2"/>
    <mergeCell ref="W1:W2"/>
    <mergeCell ref="AH1:AH2"/>
    <mergeCell ref="Y1:Y2"/>
    <mergeCell ref="AA1:AA2"/>
    <mergeCell ref="P1:P2"/>
    <mergeCell ref="AC1:AC2"/>
    <mergeCell ref="L1:L2"/>
    <mergeCell ref="N1:N2"/>
    <mergeCell ref="AE1:AE2"/>
    <mergeCell ref="T1:T2"/>
    <mergeCell ref="AF1:AF2"/>
    <mergeCell ref="X1:X2"/>
    <mergeCell ref="G1:G2"/>
    <mergeCell ref="Z1:Z2"/>
    <mergeCell ref="I1:I2"/>
    <mergeCell ref="S1:S2"/>
    <mergeCell ref="U1:U2"/>
    <mergeCell ref="D1:D2"/>
    <mergeCell ref="F1:F2"/>
    <mergeCell ref="H1:H2"/>
    <mergeCell ref="J1:J2"/>
    <mergeCell ref="AG1:AG2"/>
  </mergeCells>
  <conditionalFormatting sqref="C3:N500">
    <cfRule type="expression" priority="5" dxfId="182" stopIfTrue="1">
      <formula>OR(C3="-")</formula>
    </cfRule>
  </conditionalFormatting>
  <conditionalFormatting sqref="T3:AE500">
    <cfRule type="expression" priority="1" dxfId="182" stopIfTrue="1">
      <formula>OR(T3="-")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20">
    <outlinePr summaryBelow="0"/>
    <pageSetUpPr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D1" sqref="AD1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_xlfn.XLOOKUP(G3,A1:A104,D1:D104)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_xlfn.XLOOKUP(G4,A2:A93,D2:D93)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_xlfn.XLOOKUP(G5,A2:A93,D2:D93)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_xlfn.XLOOKUP(G6,A1:A100,D1:D100)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_xlfn.XLOOKUP(G7,A2:A99,D2:D99)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_xlfn.XLOOKUP(G8,A1:A101,D1:D101)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_xlfn.XLOOKUP(G9,A1:A99,D1:D99)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_xlfn.XLOOKUP(G10,A3:A107,D3:D107)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_xlfn.XLOOKUP(G11,A9:A109,D9:D109)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_xlfn.XLOOKUP(G12,A10:A108,D10:D108)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_xlfn.XLOOKUP(G13,A12:A116,D12:D116)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_xlfn.XLOOKUP(G14,A11:A113,D11:D113)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_xlfn.XLOOKUP(G15,A13:A117,D13:D117)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_xlfn.XLOOKUP(G16,A12:A116,D12:D116)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_xlfn.XLOOKUP(G17,A15:A112,D15:D112)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_xlfn.XLOOKUP(G18,A10:A109,D10:D109)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t="19.5" customFormat="1" customHeight="1" s="3">
      <c r="A19" s="30" t="n"/>
      <c r="B19" s="40" t="n"/>
      <c r="C19" s="40" t="n"/>
      <c r="D19" s="30" t="n"/>
      <c r="E19" s="34" t="n"/>
      <c r="F19" s="30" t="n"/>
      <c r="G19" s="9" t="n"/>
      <c r="H19" s="20" t="n"/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9">
    <outlinePr summaryBelow="0"/>
    <pageSetUpPr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E9" sqref="AE9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inlineStr">
        <is>
          <t>#JJ8Y9JU8</t>
        </is>
      </c>
      <c r="B3" s="40" t="n">
        <v>2</v>
      </c>
      <c r="C3" s="40" t="n">
        <v>62</v>
      </c>
      <c r="D3" s="30" t="inlineStr">
        <is>
          <t>champagnebucci</t>
        </is>
      </c>
      <c r="E3" s="34" t="n">
        <v>15</v>
      </c>
      <c r="F3" s="30" t="n"/>
      <c r="G3" s="9" t="inlineStr">
        <is>
          <t>#C9UU0C9G</t>
        </is>
      </c>
      <c r="H3" s="20">
        <f>_xlfn.XLOOKUP(G3,A2:A76,D2:D76)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inlineStr">
        <is>
          <t>#URGR20J0</t>
        </is>
      </c>
      <c r="B4" s="40" t="n">
        <v>2</v>
      </c>
      <c r="C4" s="40" t="n">
        <v>82</v>
      </c>
      <c r="D4" s="30" t="inlineStr">
        <is>
          <t>zeezus</t>
        </is>
      </c>
      <c r="E4" s="34" t="n"/>
      <c r="F4" s="30" t="n"/>
      <c r="G4" s="9" t="inlineStr">
        <is>
          <t>#JVCRCCJU</t>
        </is>
      </c>
      <c r="H4" s="20">
        <f>_xlfn.XLOOKUP(G4,A2:A76,D2:D76)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inlineStr">
        <is>
          <t>#LGP2P0CRV</t>
        </is>
      </c>
      <c r="B5" s="40" t="n">
        <v>2</v>
      </c>
      <c r="C5" s="40" t="n">
        <v>80</v>
      </c>
      <c r="D5" s="30" t="inlineStr">
        <is>
          <t>babÿ champagne</t>
        </is>
      </c>
      <c r="E5" s="34" t="n"/>
      <c r="F5" s="30" t="n"/>
      <c r="G5" s="9" t="inlineStr">
        <is>
          <t>#URGR20J0</t>
        </is>
      </c>
      <c r="H5" s="20">
        <f>_xlfn.XLOOKUP(G5,A2:A76,D2:D76)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inlineStr">
        <is>
          <t>#C9UU0C9G</t>
        </is>
      </c>
      <c r="B6" s="40" t="n">
        <v>3</v>
      </c>
      <c r="C6" s="40" t="n">
        <v>100</v>
      </c>
      <c r="D6" s="30" t="inlineStr">
        <is>
          <t>Ace Fletch</t>
        </is>
      </c>
      <c r="E6" s="34" t="n"/>
      <c r="F6" s="30" t="n"/>
      <c r="G6" s="9" t="inlineStr">
        <is>
          <t>#29G2QLP0C</t>
        </is>
      </c>
      <c r="H6" s="20">
        <f>_xlfn.XLOOKUP(G6,A2:A76,D2:D76)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inlineStr">
        <is>
          <t>#YYL2CRY0</t>
        </is>
      </c>
      <c r="B7" s="40" t="n">
        <v>3</v>
      </c>
      <c r="C7" s="40" t="n">
        <v>100</v>
      </c>
      <c r="D7" s="30" t="inlineStr">
        <is>
          <t>Z E R O ₩</t>
        </is>
      </c>
      <c r="E7" s="34" t="n"/>
      <c r="F7" s="30" t="n"/>
      <c r="G7" s="9" t="inlineStr">
        <is>
          <t>#LU9P0QLLV</t>
        </is>
      </c>
      <c r="H7" s="20">
        <f>_xlfn.XLOOKUP(G7,A2:A76,D2:D76)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inlineStr">
        <is>
          <t>#29JYU0QCV</t>
        </is>
      </c>
      <c r="B8" s="40" t="n">
        <v>2</v>
      </c>
      <c r="C8" s="40" t="n">
        <v>85</v>
      </c>
      <c r="D8" s="30" t="inlineStr">
        <is>
          <t>Rebel</t>
        </is>
      </c>
      <c r="E8" s="34" t="n"/>
      <c r="F8" s="30" t="n"/>
      <c r="G8" s="9" t="inlineStr">
        <is>
          <t>#YYL2CRY0</t>
        </is>
      </c>
      <c r="H8" s="20">
        <f>_xlfn.XLOOKUP(G8,A2:A76,D2:D76)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inlineStr">
        <is>
          <t>#9R980R88V</t>
        </is>
      </c>
      <c r="B9" s="40" t="n">
        <v>2</v>
      </c>
      <c r="C9" s="40" t="n">
        <v>96</v>
      </c>
      <c r="D9" s="30" t="inlineStr">
        <is>
          <t>Tasex</t>
        </is>
      </c>
      <c r="E9" s="34" t="n"/>
      <c r="F9" s="30" t="n"/>
      <c r="G9" s="9" t="inlineStr">
        <is>
          <t>#Y0RVYJVC</t>
        </is>
      </c>
      <c r="H9" s="20">
        <f>_xlfn.XLOOKUP(G9,A2:A76,D2:D76)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inlineStr">
        <is>
          <t>#9YPCQ8G22</t>
        </is>
      </c>
      <c r="B10" s="40" t="n">
        <v>2</v>
      </c>
      <c r="C10" s="40" t="n">
        <v>90</v>
      </c>
      <c r="D10" s="30" t="inlineStr">
        <is>
          <t>EE-vikas</t>
        </is>
      </c>
      <c r="E10" s="34" t="n"/>
      <c r="F10" s="30" t="n"/>
      <c r="G10" s="9" t="inlineStr">
        <is>
          <t>#9R980R88V</t>
        </is>
      </c>
      <c r="H10" s="20">
        <f>_xlfn.XLOOKUP(G10,A2:A76,D2:D76)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inlineStr">
        <is>
          <t>#YCVR9CC0C</t>
        </is>
      </c>
      <c r="B11" s="40" t="n">
        <v>3</v>
      </c>
      <c r="C11" s="40" t="n">
        <v>100</v>
      </c>
      <c r="D11" s="30" t="inlineStr">
        <is>
          <t>Bilbo_Swaggins</t>
        </is>
      </c>
      <c r="E11" s="34" t="n"/>
      <c r="F11" s="30" t="n"/>
      <c r="G11" s="9" t="inlineStr">
        <is>
          <t>#9YPCQ8G22</t>
        </is>
      </c>
      <c r="H11" s="20">
        <f>_xlfn.XLOOKUP(G11,A2:A76,D2:D76)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inlineStr">
        <is>
          <t>#Y0RVYJVC</t>
        </is>
      </c>
      <c r="B12" s="40" t="n">
        <v>2</v>
      </c>
      <c r="C12" s="40" t="n">
        <v>55</v>
      </c>
      <c r="D12" s="30" t="inlineStr">
        <is>
          <t>EE McLax</t>
        </is>
      </c>
      <c r="E12" s="34" t="n"/>
      <c r="F12" s="30" t="n"/>
      <c r="G12" s="9" t="inlineStr">
        <is>
          <t>#22C0GPVUQ</t>
        </is>
      </c>
      <c r="H12" s="20">
        <f>_xlfn.XLOOKUP(G12,A2:A76,D2:D76)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inlineStr">
        <is>
          <t>#29G2QLP0C</t>
        </is>
      </c>
      <c r="B13" s="40" t="n">
        <v>3</v>
      </c>
      <c r="C13" s="40" t="n">
        <v>100</v>
      </c>
      <c r="D13" s="30" t="inlineStr">
        <is>
          <t>EE Peter</t>
        </is>
      </c>
      <c r="E13" s="34" t="n"/>
      <c r="F13" s="30" t="n"/>
      <c r="G13" s="9" t="inlineStr">
        <is>
          <t>#PJU8P00YG</t>
        </is>
      </c>
      <c r="H13" s="20">
        <f>_xlfn.XLOOKUP(G13,A2:A76,D2:D76)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inlineStr">
        <is>
          <t>#LU9P0QLLV</t>
        </is>
      </c>
      <c r="B14" s="40" t="n">
        <v>3</v>
      </c>
      <c r="C14" s="40" t="n">
        <v>100</v>
      </c>
      <c r="D14" s="30" t="inlineStr">
        <is>
          <t>Wonka</t>
        </is>
      </c>
      <c r="E14" s="34" t="n"/>
      <c r="F14" s="30" t="n"/>
      <c r="G14" s="9" t="inlineStr">
        <is>
          <t>#YCVR9CC0C</t>
        </is>
      </c>
      <c r="H14" s="20">
        <f>_xlfn.XLOOKUP(G14,A2:A76,D2:D76)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inlineStr">
        <is>
          <t>#22C0GPVUQ</t>
        </is>
      </c>
      <c r="B15" s="40" t="n">
        <v>2</v>
      </c>
      <c r="C15" s="40" t="n">
        <v>91</v>
      </c>
      <c r="D15" s="30" t="inlineStr">
        <is>
          <t>the killer...#2</t>
        </is>
      </c>
      <c r="E15" s="34" t="n"/>
      <c r="F15" s="30" t="n"/>
      <c r="G15" s="9" t="inlineStr">
        <is>
          <t>#2L09CC8JQ</t>
        </is>
      </c>
      <c r="H15" s="20">
        <f>_xlfn.XLOOKUP(G15,A2:A76,D2:D76)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inlineStr">
        <is>
          <t>#PJU8P00YG</t>
        </is>
      </c>
      <c r="B16" s="40" t="n">
        <v>2</v>
      </c>
      <c r="C16" s="40" t="n">
        <v>89</v>
      </c>
      <c r="D16" s="30" t="inlineStr">
        <is>
          <t>Ace Ventura</t>
        </is>
      </c>
      <c r="E16" s="34" t="n"/>
      <c r="F16" s="30" t="n"/>
      <c r="G16" s="9" t="inlineStr">
        <is>
          <t>#JJ8Y9JU8</t>
        </is>
      </c>
      <c r="H16" s="20">
        <f>_xlfn.XLOOKUP(G16,A2:A76,D2:D76)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inlineStr">
        <is>
          <t>#2L09CC8JQ</t>
        </is>
      </c>
      <c r="B17" s="40" t="n">
        <v>2</v>
      </c>
      <c r="C17" s="40" t="n">
        <v>89</v>
      </c>
      <c r="D17" s="30" t="inlineStr">
        <is>
          <t>DEMON</t>
        </is>
      </c>
      <c r="E17" s="34" t="n"/>
      <c r="F17" s="30" t="n"/>
      <c r="G17" s="9" t="inlineStr">
        <is>
          <t>#29JYU0QCV</t>
        </is>
      </c>
      <c r="H17" s="20">
        <f>_xlfn.XLOOKUP(G17,A2:A76,D2:D76)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30" t="inlineStr">
        <is>
          <t>#JJ8Y9JU8</t>
        </is>
      </c>
      <c r="B18" s="40" t="n">
        <v>2</v>
      </c>
      <c r="C18" s="40" t="n">
        <v>84</v>
      </c>
      <c r="D18" s="30" t="inlineStr">
        <is>
          <t>champagnebucci</t>
        </is>
      </c>
      <c r="E18" s="34" t="n"/>
      <c r="F18" s="30" t="n"/>
      <c r="G18" s="9" t="inlineStr">
        <is>
          <t>#LGP2P0CRV</t>
        </is>
      </c>
      <c r="H18" s="20">
        <f>_xlfn.XLOOKUP(G18,A2:A76,D2:D76)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idden="1" ht="19.5" customFormat="1" customHeight="1" s="3">
      <c r="A19" s="30" t="inlineStr">
        <is>
          <t>#URGR20J0</t>
        </is>
      </c>
      <c r="B19" s="40" t="n">
        <v>3</v>
      </c>
      <c r="C19" s="40" t="n">
        <v>100</v>
      </c>
      <c r="D19" s="30" t="inlineStr">
        <is>
          <t>zeezus</t>
        </is>
      </c>
      <c r="E19" s="34" t="n"/>
      <c r="F19" s="30" t="n"/>
      <c r="G19" s="9" t="n"/>
      <c r="H19" s="20" t="n"/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idden="1" ht="19.5" customFormat="1" customHeight="1" s="3">
      <c r="A20" s="30" t="inlineStr">
        <is>
          <t>#LGP2P0CRV</t>
        </is>
      </c>
      <c r="B20" s="40" t="n">
        <v>2</v>
      </c>
      <c r="C20" s="40" t="n">
        <v>90</v>
      </c>
      <c r="D20" s="30" t="inlineStr">
        <is>
          <t>babÿ champagne</t>
        </is>
      </c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idden="1" ht="19.5" customFormat="1" customHeight="1" s="3">
      <c r="A21" s="30" t="inlineStr">
        <is>
          <t>#C9UU0C9G</t>
        </is>
      </c>
      <c r="B21" s="40" t="n">
        <v>2</v>
      </c>
      <c r="C21" s="40" t="n">
        <v>86</v>
      </c>
      <c r="D21" s="30" t="inlineStr">
        <is>
          <t>Ace Fletch</t>
        </is>
      </c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idden="1" ht="19.5" customFormat="1" customHeight="1" s="3">
      <c r="A22" s="30" t="inlineStr">
        <is>
          <t>#YYL2CRY0</t>
        </is>
      </c>
      <c r="B22" s="40" t="n">
        <v>2</v>
      </c>
      <c r="C22" s="40" t="n">
        <v>55</v>
      </c>
      <c r="D22" s="30" t="inlineStr">
        <is>
          <t>Z E R O ₩</t>
        </is>
      </c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idden="1" ht="19.5" customFormat="1" customHeight="1" s="3">
      <c r="A23" s="30" t="inlineStr">
        <is>
          <t>#29JYU0QCV</t>
        </is>
      </c>
      <c r="B23" s="40" t="n">
        <v>2</v>
      </c>
      <c r="C23" s="40" t="n">
        <v>85</v>
      </c>
      <c r="D23" s="30" t="inlineStr">
        <is>
          <t>Rebel</t>
        </is>
      </c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idden="1" ht="18.75" customFormat="1" customHeight="1" s="3">
      <c r="A24" s="30" t="inlineStr">
        <is>
          <t>#9R980R88V</t>
        </is>
      </c>
      <c r="B24" s="40" t="n">
        <v>3</v>
      </c>
      <c r="C24" s="40" t="n">
        <v>100</v>
      </c>
      <c r="D24" s="30" t="inlineStr">
        <is>
          <t>Tasex</t>
        </is>
      </c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idden="1" ht="18.75" customFormat="1" customHeight="1" s="3">
      <c r="A25" s="30" t="inlineStr">
        <is>
          <t>#9YPCQ8G22</t>
        </is>
      </c>
      <c r="B25" s="40" t="n">
        <v>2</v>
      </c>
      <c r="C25" s="40" t="n">
        <v>89</v>
      </c>
      <c r="D25" s="30" t="inlineStr">
        <is>
          <t>EE-vikas</t>
        </is>
      </c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idden="1" ht="18.75" customFormat="1" customHeight="1" s="3">
      <c r="A26" s="30" t="inlineStr">
        <is>
          <t>#YCVR9CC0C</t>
        </is>
      </c>
      <c r="B26" s="40" t="n">
        <v>3</v>
      </c>
      <c r="C26" s="40" t="n">
        <v>100</v>
      </c>
      <c r="D26" s="30" t="inlineStr">
        <is>
          <t>Bilbo_Swaggins</t>
        </is>
      </c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idden="1" ht="18.75" customFormat="1" customHeight="1" s="3">
      <c r="A27" s="30" t="inlineStr">
        <is>
          <t>#29G2QLP0C</t>
        </is>
      </c>
      <c r="B27" s="40" t="n">
        <v>3</v>
      </c>
      <c r="C27" s="40" t="n">
        <v>100</v>
      </c>
      <c r="D27" s="30" t="inlineStr">
        <is>
          <t>EE Peter</t>
        </is>
      </c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idden="1" ht="18.75" customFormat="1" customHeight="1" s="3">
      <c r="A28" s="30" t="inlineStr">
        <is>
          <t>#LU9P0QLLV</t>
        </is>
      </c>
      <c r="B28" s="40" t="n">
        <v>2</v>
      </c>
      <c r="C28" s="40" t="n">
        <v>74</v>
      </c>
      <c r="D28" s="30" t="inlineStr">
        <is>
          <t>Wonka</t>
        </is>
      </c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idden="1" ht="18.75" customFormat="1" customHeight="1" s="3">
      <c r="A29" s="30" t="inlineStr">
        <is>
          <t>#22C0GPVUQ</t>
        </is>
      </c>
      <c r="B29" s="40" t="n">
        <v>2</v>
      </c>
      <c r="C29" s="40" t="n">
        <v>73</v>
      </c>
      <c r="D29" s="30" t="inlineStr">
        <is>
          <t>the killer...#2</t>
        </is>
      </c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idden="1" ht="18.75" customFormat="1" customHeight="1" s="3">
      <c r="A30" s="30" t="inlineStr">
        <is>
          <t>#PJU8P00YG</t>
        </is>
      </c>
      <c r="B30" s="40" t="n">
        <v>2</v>
      </c>
      <c r="C30" s="40" t="n">
        <v>68</v>
      </c>
      <c r="D30" s="30" t="inlineStr">
        <is>
          <t>Ace Ventura</t>
        </is>
      </c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idden="1" ht="18.75" customFormat="1" customHeight="1" s="3">
      <c r="A31" s="30" t="inlineStr">
        <is>
          <t>#2L09CC8JQ</t>
        </is>
      </c>
      <c r="B31" s="40" t="n">
        <v>2</v>
      </c>
      <c r="C31" s="40" t="n">
        <v>82</v>
      </c>
      <c r="D31" s="30" t="inlineStr">
        <is>
          <t>DEMON</t>
        </is>
      </c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idden="1" ht="18.75" customFormat="1" customHeight="1" s="3">
      <c r="A32" s="30" t="inlineStr">
        <is>
          <t>#JVCRCCJU</t>
        </is>
      </c>
      <c r="B32" s="40" t="n">
        <v>3</v>
      </c>
      <c r="C32" s="40" t="n">
        <v>100</v>
      </c>
      <c r="D32" s="30" t="inlineStr">
        <is>
          <t>Ace Reloaded</t>
        </is>
      </c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idden="1" ht="18" customFormat="1" customHeight="1" s="3">
      <c r="A33" s="30" t="inlineStr">
        <is>
          <t>#JJ8Y9JU8</t>
        </is>
      </c>
      <c r="B33" s="40" t="n">
        <v>3</v>
      </c>
      <c r="C33" s="40" t="n">
        <v>100</v>
      </c>
      <c r="D33" s="30" t="inlineStr">
        <is>
          <t>champagnebucci</t>
        </is>
      </c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idden="1" ht="18" customFormat="1" customHeight="1" s="3">
      <c r="A34" s="30" t="inlineStr">
        <is>
          <t>#URGR20J0</t>
        </is>
      </c>
      <c r="B34" s="40" t="n">
        <v>3</v>
      </c>
      <c r="C34" s="40" t="n">
        <v>100</v>
      </c>
      <c r="D34" s="30" t="inlineStr">
        <is>
          <t>zeezus</t>
        </is>
      </c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idden="1" ht="18" customFormat="1" customHeight="1" s="3">
      <c r="A35" s="30" t="inlineStr">
        <is>
          <t>#LGP2P0CRV</t>
        </is>
      </c>
      <c r="B35" s="40" t="n">
        <v>1</v>
      </c>
      <c r="C35" s="40" t="n">
        <v>61</v>
      </c>
      <c r="D35" s="30" t="inlineStr">
        <is>
          <t>babÿ champagne</t>
        </is>
      </c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idden="1" ht="18" customFormat="1" customHeight="1" s="3">
      <c r="A36" s="30" t="inlineStr">
        <is>
          <t>#C9UU0C9G</t>
        </is>
      </c>
      <c r="B36" s="40" t="n">
        <v>2</v>
      </c>
      <c r="C36" s="40" t="n">
        <v>84</v>
      </c>
      <c r="D36" s="30" t="inlineStr">
        <is>
          <t>Ace Fletch</t>
        </is>
      </c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idden="1" ht="18" customFormat="1" customHeight="1" s="3">
      <c r="A37" s="30" t="inlineStr">
        <is>
          <t>#29JYU0QCV</t>
        </is>
      </c>
      <c r="B37" s="40" t="n">
        <v>3</v>
      </c>
      <c r="C37" s="40" t="n">
        <v>100</v>
      </c>
      <c r="D37" s="30" t="inlineStr">
        <is>
          <t>Rebel</t>
        </is>
      </c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idden="1" ht="18" customFormat="1" customHeight="1" s="3">
      <c r="A38" s="30" t="inlineStr">
        <is>
          <t>#9R980R88V</t>
        </is>
      </c>
      <c r="B38" s="40" t="n">
        <v>2</v>
      </c>
      <c r="C38" s="40" t="n">
        <v>97</v>
      </c>
      <c r="D38" s="30" t="inlineStr">
        <is>
          <t>Tasex</t>
        </is>
      </c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idden="1" ht="18" customFormat="1" customHeight="1" s="3">
      <c r="A39" s="30" t="inlineStr">
        <is>
          <t>#9YPCQ8G22</t>
        </is>
      </c>
      <c r="B39" s="40" t="n">
        <v>2</v>
      </c>
      <c r="C39" s="40" t="n">
        <v>96</v>
      </c>
      <c r="D39" s="30" t="inlineStr">
        <is>
          <t>EE-vikas</t>
        </is>
      </c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idden="1" ht="18" customFormat="1" customHeight="1" s="3">
      <c r="A40" s="30" t="inlineStr">
        <is>
          <t>#YCVR9CC0C</t>
        </is>
      </c>
      <c r="B40" s="40" t="n">
        <v>2</v>
      </c>
      <c r="C40" s="40" t="n">
        <v>90</v>
      </c>
      <c r="D40" s="30" t="inlineStr">
        <is>
          <t>Bilbo_Swaggins</t>
        </is>
      </c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idden="1" ht="18" customFormat="1" customHeight="1" s="3">
      <c r="A41" s="30" t="inlineStr">
        <is>
          <t>#Y0RVYJVC</t>
        </is>
      </c>
      <c r="B41" s="40" t="n">
        <v>2</v>
      </c>
      <c r="C41" s="40" t="n">
        <v>56</v>
      </c>
      <c r="D41" s="30" t="inlineStr">
        <is>
          <t>EE McLax</t>
        </is>
      </c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idden="1" ht="18" customFormat="1" customHeight="1" s="3">
      <c r="A42" s="30" t="inlineStr">
        <is>
          <t>#29G2QLP0C</t>
        </is>
      </c>
      <c r="B42" s="40" t="n">
        <v>3</v>
      </c>
      <c r="C42" s="40" t="n">
        <v>100</v>
      </c>
      <c r="D42" s="30" t="inlineStr">
        <is>
          <t>EE Peter</t>
        </is>
      </c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idden="1" ht="18" customFormat="1" customHeight="1" s="3">
      <c r="A43" s="30" t="inlineStr">
        <is>
          <t>#LU9P0QLLV</t>
        </is>
      </c>
      <c r="B43" s="40" t="n">
        <v>3</v>
      </c>
      <c r="C43" s="40" t="n">
        <v>100</v>
      </c>
      <c r="D43" s="30" t="inlineStr">
        <is>
          <t>Wonka</t>
        </is>
      </c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idden="1" ht="18" customFormat="1" customHeight="1" s="3">
      <c r="A44" s="30" t="inlineStr">
        <is>
          <t>#22C0GPVUQ</t>
        </is>
      </c>
      <c r="B44" s="40" t="n">
        <v>2</v>
      </c>
      <c r="C44" s="40" t="n">
        <v>78</v>
      </c>
      <c r="D44" s="30" t="inlineStr">
        <is>
          <t>the killer...#2</t>
        </is>
      </c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idden="1" ht="18" customFormat="1" customHeight="1" s="3">
      <c r="A45" s="30" t="inlineStr">
        <is>
          <t>#PJU8P00YG</t>
        </is>
      </c>
      <c r="B45" s="40" t="n">
        <v>3</v>
      </c>
      <c r="C45" s="40" t="n">
        <v>100</v>
      </c>
      <c r="D45" s="30" t="inlineStr">
        <is>
          <t>Ace Ventura</t>
        </is>
      </c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idden="1" ht="18" customFormat="1" customHeight="1" s="3">
      <c r="A46" s="30" t="inlineStr">
        <is>
          <t>#2L09CC8JQ</t>
        </is>
      </c>
      <c r="B46" s="40" t="n">
        <v>3</v>
      </c>
      <c r="C46" s="40" t="n">
        <v>100</v>
      </c>
      <c r="D46" s="30" t="inlineStr">
        <is>
          <t>DEMON</t>
        </is>
      </c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idden="1" ht="18" customFormat="1" customHeight="1" s="3">
      <c r="A47" s="30" t="inlineStr">
        <is>
          <t>#JVCRCCJU</t>
        </is>
      </c>
      <c r="B47" s="40" t="n">
        <v>3</v>
      </c>
      <c r="C47" s="40" t="n">
        <v>100</v>
      </c>
      <c r="D47" s="30" t="inlineStr">
        <is>
          <t>Ace Reloaded</t>
        </is>
      </c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idden="1" ht="18" customFormat="1" customHeight="1" s="3">
      <c r="A48" s="30" t="inlineStr">
        <is>
          <t>#JJ8Y9JU8</t>
        </is>
      </c>
      <c r="B48" s="40" t="n">
        <v>3</v>
      </c>
      <c r="C48" s="40" t="n">
        <v>100</v>
      </c>
      <c r="D48" s="30" t="inlineStr">
        <is>
          <t>champagnebucci</t>
        </is>
      </c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idden="1" ht="18" customFormat="1" customHeight="1" s="3">
      <c r="A49" s="30" t="inlineStr">
        <is>
          <t>#URGR20J0</t>
        </is>
      </c>
      <c r="B49" s="40" t="n">
        <v>3</v>
      </c>
      <c r="C49" s="40" t="n">
        <v>100</v>
      </c>
      <c r="D49" s="30" t="inlineStr">
        <is>
          <t>zeezus</t>
        </is>
      </c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idden="1" ht="18" customFormat="1" customHeight="1" s="3">
      <c r="A50" s="30" t="inlineStr">
        <is>
          <t>#C9UU0C9G</t>
        </is>
      </c>
      <c r="B50" s="40" t="n">
        <v>3</v>
      </c>
      <c r="C50" s="40" t="n">
        <v>100</v>
      </c>
      <c r="D50" s="30" t="inlineStr">
        <is>
          <t>Ace Fletch</t>
        </is>
      </c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idden="1" ht="18" customFormat="1" customHeight="1" s="3">
      <c r="A51" s="30" t="inlineStr">
        <is>
          <t>#YYL2CRY0</t>
        </is>
      </c>
      <c r="B51" s="40" t="n">
        <v>2</v>
      </c>
      <c r="C51" s="40" t="n">
        <v>71</v>
      </c>
      <c r="D51" s="30" t="inlineStr">
        <is>
          <t>Z E R O ₩</t>
        </is>
      </c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idden="1" ht="18" customFormat="1" customHeight="1" s="3">
      <c r="A52" s="30" t="inlineStr">
        <is>
          <t>#29JYU0QCV</t>
        </is>
      </c>
      <c r="B52" s="40" t="n">
        <v>2</v>
      </c>
      <c r="C52" s="40" t="n">
        <v>96</v>
      </c>
      <c r="D52" s="30" t="inlineStr">
        <is>
          <t>Rebel</t>
        </is>
      </c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idden="1" ht="18" customFormat="1" customHeight="1" s="3">
      <c r="A53" s="30" t="inlineStr">
        <is>
          <t>#9R980R88V</t>
        </is>
      </c>
      <c r="B53" s="40" t="n">
        <v>2</v>
      </c>
      <c r="C53" s="40" t="n">
        <v>81</v>
      </c>
      <c r="D53" s="30" t="inlineStr">
        <is>
          <t>Tasex</t>
        </is>
      </c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idden="1" ht="18" customFormat="1" customHeight="1" s="3">
      <c r="A54" s="30" t="inlineStr">
        <is>
          <t>#9YPCQ8G22</t>
        </is>
      </c>
      <c r="B54" s="40" t="n">
        <v>3</v>
      </c>
      <c r="C54" s="40" t="n">
        <v>100</v>
      </c>
      <c r="D54" s="30" t="inlineStr">
        <is>
          <t>EE-vikas</t>
        </is>
      </c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idden="1" ht="18" customFormat="1" customHeight="1" s="3">
      <c r="A55" s="30" t="inlineStr">
        <is>
          <t>#YCVR9CC0C</t>
        </is>
      </c>
      <c r="B55" s="40" t="n">
        <v>3</v>
      </c>
      <c r="C55" s="40" t="n">
        <v>100</v>
      </c>
      <c r="D55" s="30" t="inlineStr">
        <is>
          <t>Bilbo_Swaggins</t>
        </is>
      </c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idden="1" ht="18" customFormat="1" customHeight="1" s="3">
      <c r="A56" s="30" t="inlineStr">
        <is>
          <t>#Y0RVYJVC</t>
        </is>
      </c>
      <c r="B56" s="40" t="n">
        <v>1</v>
      </c>
      <c r="C56" s="40" t="n">
        <v>61</v>
      </c>
      <c r="D56" s="30" t="inlineStr">
        <is>
          <t>EE McLax</t>
        </is>
      </c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idden="1" ht="18" customFormat="1" customHeight="1" s="3">
      <c r="A57" s="30" t="inlineStr">
        <is>
          <t>#29G2QLP0C</t>
        </is>
      </c>
      <c r="B57" s="40" t="n">
        <v>3</v>
      </c>
      <c r="C57" s="40" t="n">
        <v>100</v>
      </c>
      <c r="D57" s="30" t="inlineStr">
        <is>
          <t>EE Peter</t>
        </is>
      </c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idden="1" ht="18" customFormat="1" customHeight="1" s="3">
      <c r="A58" s="30" t="inlineStr">
        <is>
          <t>#LU9P0QLLV</t>
        </is>
      </c>
      <c r="B58" s="40" t="n">
        <v>3</v>
      </c>
      <c r="C58" s="40" t="n">
        <v>100</v>
      </c>
      <c r="D58" s="30" t="inlineStr">
        <is>
          <t>Wonka</t>
        </is>
      </c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idden="1" ht="18" customFormat="1" customHeight="1" s="3">
      <c r="A59" s="30" t="inlineStr">
        <is>
          <t>#22C0GPVUQ</t>
        </is>
      </c>
      <c r="B59" s="40" t="n">
        <v>2</v>
      </c>
      <c r="C59" s="40" t="n">
        <v>58</v>
      </c>
      <c r="D59" s="30" t="inlineStr">
        <is>
          <t>the killer...#2</t>
        </is>
      </c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idden="1" ht="18" customFormat="1" customHeight="1" s="3">
      <c r="A60" s="30" t="inlineStr">
        <is>
          <t>#PJU8P00YG</t>
        </is>
      </c>
      <c r="B60" s="40" t="n">
        <v>1</v>
      </c>
      <c r="C60" s="40" t="n">
        <v>69</v>
      </c>
      <c r="D60" s="30" t="inlineStr">
        <is>
          <t>Ace Ventura</t>
        </is>
      </c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idden="1" ht="18" customFormat="1" customHeight="1" s="3">
      <c r="A61" s="30" t="inlineStr">
        <is>
          <t>#2L09CC8JQ</t>
        </is>
      </c>
      <c r="B61" s="40" t="n">
        <v>3</v>
      </c>
      <c r="C61" s="40" t="n">
        <v>100</v>
      </c>
      <c r="D61" s="30" t="inlineStr">
        <is>
          <t>DEMON</t>
        </is>
      </c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idden="1" ht="18" customFormat="1" customHeight="1" s="3">
      <c r="A62" s="30" t="inlineStr">
        <is>
          <t>#JVCRCCJU</t>
        </is>
      </c>
      <c r="B62" s="40" t="n">
        <v>2</v>
      </c>
      <c r="C62" s="40" t="n">
        <v>94</v>
      </c>
      <c r="D62" s="30" t="inlineStr">
        <is>
          <t>Ace Reloaded</t>
        </is>
      </c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idden="1" ht="18" customFormat="1" customHeight="1" s="3">
      <c r="A63" s="30" t="inlineStr">
        <is>
          <t>#JJ8Y9JU8</t>
        </is>
      </c>
      <c r="B63" s="40" t="n">
        <v>2</v>
      </c>
      <c r="C63" s="40" t="n">
        <v>97</v>
      </c>
      <c r="D63" s="30" t="inlineStr">
        <is>
          <t>champagnebucci</t>
        </is>
      </c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idden="1" ht="18" customFormat="1" customHeight="1" s="3">
      <c r="A64" s="30" t="inlineStr">
        <is>
          <t>#URGR20J0</t>
        </is>
      </c>
      <c r="B64" s="40" t="n">
        <v>3</v>
      </c>
      <c r="C64" s="40" t="n">
        <v>100</v>
      </c>
      <c r="D64" s="30" t="inlineStr">
        <is>
          <t>zeezus</t>
        </is>
      </c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idden="1" ht="18" customFormat="1" customHeight="1" s="3">
      <c r="A65" s="30" t="inlineStr">
        <is>
          <t>#C9UU0C9G</t>
        </is>
      </c>
      <c r="B65" s="40" t="n">
        <v>3</v>
      </c>
      <c r="C65" s="40" t="n">
        <v>100</v>
      </c>
      <c r="D65" s="30" t="inlineStr">
        <is>
          <t>Ace Fletch</t>
        </is>
      </c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idden="1" ht="18" customFormat="1" customHeight="1" s="3">
      <c r="A66" s="30" t="inlineStr">
        <is>
          <t>#YYL2CRY0</t>
        </is>
      </c>
      <c r="B66" s="40" t="n">
        <v>2</v>
      </c>
      <c r="C66" s="40" t="n">
        <v>80</v>
      </c>
      <c r="D66" s="30" t="inlineStr">
        <is>
          <t>Z E R O ₩</t>
        </is>
      </c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idden="1" ht="18" customFormat="1" customHeight="1" s="3">
      <c r="A67" s="30" t="inlineStr">
        <is>
          <t>#29JYU0QCV</t>
        </is>
      </c>
      <c r="B67" s="40" t="n">
        <v>3</v>
      </c>
      <c r="C67" s="40" t="n">
        <v>100</v>
      </c>
      <c r="D67" s="30" t="inlineStr">
        <is>
          <t>Rebel</t>
        </is>
      </c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idden="1" ht="18" customFormat="1" customHeight="1" s="3">
      <c r="A68" s="30" t="inlineStr">
        <is>
          <t>#9R980R88V</t>
        </is>
      </c>
      <c r="B68" s="40" t="n">
        <v>2</v>
      </c>
      <c r="C68" s="40" t="n">
        <v>90</v>
      </c>
      <c r="D68" s="30" t="inlineStr">
        <is>
          <t>Tasex</t>
        </is>
      </c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idden="1" ht="18" customFormat="1" customHeight="1" s="3">
      <c r="A69" s="30" t="inlineStr">
        <is>
          <t>#9YPCQ8G22</t>
        </is>
      </c>
      <c r="B69" s="40" t="n">
        <v>2</v>
      </c>
      <c r="C69" s="40" t="n">
        <v>96</v>
      </c>
      <c r="D69" s="30" t="inlineStr">
        <is>
          <t>EE-vikas</t>
        </is>
      </c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idden="1" ht="18" customFormat="1" customHeight="1" s="3">
      <c r="A70" s="30" t="inlineStr">
        <is>
          <t>#YCVR9CC0C</t>
        </is>
      </c>
      <c r="B70" s="40" t="n">
        <v>3</v>
      </c>
      <c r="C70" s="40" t="n">
        <v>100</v>
      </c>
      <c r="D70" s="30" t="inlineStr">
        <is>
          <t>Bilbo_Swaggins</t>
        </is>
      </c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idden="1" ht="18" customFormat="1" customHeight="1" s="3">
      <c r="A71" s="30" t="inlineStr">
        <is>
          <t>#Y0RVYJVC</t>
        </is>
      </c>
      <c r="B71" s="40" t="inlineStr">
        <is>
          <t>Missed Hit</t>
        </is>
      </c>
      <c r="C71" s="40" t="n">
        <v>0</v>
      </c>
      <c r="D71" s="30" t="inlineStr">
        <is>
          <t>EE McLax</t>
        </is>
      </c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idden="1" ht="18" customFormat="1" customHeight="1" s="3">
      <c r="A72" s="30" t="inlineStr">
        <is>
          <t>#29G2QLP0C</t>
        </is>
      </c>
      <c r="B72" s="40" t="n">
        <v>3</v>
      </c>
      <c r="C72" s="40" t="n">
        <v>100</v>
      </c>
      <c r="D72" s="30" t="inlineStr">
        <is>
          <t>EE Peter</t>
        </is>
      </c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idden="1" ht="18" customFormat="1" customHeight="1" s="3">
      <c r="A73" s="30" t="inlineStr">
        <is>
          <t>#LU9P0QLLV</t>
        </is>
      </c>
      <c r="B73" s="40" t="n">
        <v>3</v>
      </c>
      <c r="C73" s="40" t="n">
        <v>100</v>
      </c>
      <c r="D73" s="30" t="inlineStr">
        <is>
          <t>Wonka</t>
        </is>
      </c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idden="1" ht="18" customFormat="1" customHeight="1" s="3">
      <c r="A74" s="30" t="inlineStr">
        <is>
          <t>#22C0GPVUQ</t>
        </is>
      </c>
      <c r="B74" s="40" t="n">
        <v>2</v>
      </c>
      <c r="C74" s="40" t="n">
        <v>70</v>
      </c>
      <c r="D74" s="30" t="inlineStr">
        <is>
          <t>the killer...#2</t>
        </is>
      </c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idden="1" ht="18" customFormat="1" customHeight="1" s="3">
      <c r="A75" s="30" t="inlineStr">
        <is>
          <t>#PJU8P00YG</t>
        </is>
      </c>
      <c r="B75" s="40" t="n">
        <v>2</v>
      </c>
      <c r="C75" s="40" t="n">
        <v>86</v>
      </c>
      <c r="D75" s="30" t="inlineStr">
        <is>
          <t>Ace Ventura</t>
        </is>
      </c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idden="1" ht="18" customFormat="1" customHeight="1" s="3">
      <c r="A76" s="30" t="inlineStr">
        <is>
          <t>#2L09CC8JQ</t>
        </is>
      </c>
      <c r="B76" s="40" t="n">
        <v>2</v>
      </c>
      <c r="C76" s="40" t="n">
        <v>98</v>
      </c>
      <c r="D76" s="30" t="inlineStr">
        <is>
          <t>DEMON</t>
        </is>
      </c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idden="1" ht="18" customFormat="1" customHeight="1" s="3">
      <c r="A77" s="30" t="inlineStr">
        <is>
          <t>#JVCRCCJU</t>
        </is>
      </c>
      <c r="B77" s="40" t="n">
        <v>3</v>
      </c>
      <c r="C77" s="40" t="n">
        <v>100</v>
      </c>
      <c r="D77" s="30" t="inlineStr">
        <is>
          <t>Ace Reloaded</t>
        </is>
      </c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idden="1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idden="1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idden="1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idden="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idden="1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idden="1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idden="1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idden="1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idden="1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idden="1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idden="1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idden="1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idden="1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idden="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idden="1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idden="1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idden="1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idden="1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idden="1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idden="1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idden="1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idden="1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idden="1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8">
    <outlinePr summaryBelow="0"/>
    <pageSetUpPr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K12" sqref="AK12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_xlfn.XLOOKUP(G3,A1:A104,D1:D104)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_xlfn.XLOOKUP(G4,A2:A93,D2:D93)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_xlfn.XLOOKUP(G5,A2:A93,D2:D93)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_xlfn.XLOOKUP(G6,A1:A100,D1:D100)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_xlfn.XLOOKUP(G7,A2:A99,D2:D99)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_xlfn.XLOOKUP(G8,A1:A101,D1:D101)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_xlfn.XLOOKUP(G9,A1:A99,D1:D99)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_xlfn.XLOOKUP(G10,A3:A107,D3:D107)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_xlfn.XLOOKUP(G11,A9:A109,D9:D109)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_xlfn.XLOOKUP(G12,A10:A108,D10:D108)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_xlfn.XLOOKUP(G13,A12:A116,D12:D116)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_xlfn.XLOOKUP(G14,A11:A113,D11:D113)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_xlfn.XLOOKUP(G15,A13:A117,D13:D117)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_xlfn.XLOOKUP(G16,A12:A116,D12:D116)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_xlfn.XLOOKUP(G17,A15:A112,D15:D112)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_xlfn.XLOOKUP(G18,A10:A109,D10:D109)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t="19.5" customFormat="1" customHeight="1" s="3">
      <c r="A19" s="30" t="n"/>
      <c r="B19" s="40" t="n"/>
      <c r="C19" s="40" t="n"/>
      <c r="D19" s="30" t="n"/>
      <c r="E19" s="34" t="n"/>
      <c r="F19" s="30" t="n"/>
      <c r="G19" s="9" t="n"/>
      <c r="H19" s="20" t="n"/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7">
    <outlinePr summaryBelow="0"/>
    <pageSetUpPr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K12" sqref="AK12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_xlfn.XLOOKUP(G3,A1:A104,D1:D104)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_xlfn.XLOOKUP(G4,A2:A93,D2:D93)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_xlfn.XLOOKUP(G5,A2:A93,D2:D93)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_xlfn.XLOOKUP(G6,A1:A100,D1:D100)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_xlfn.XLOOKUP(G7,A2:A99,D2:D99)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_xlfn.XLOOKUP(G8,A1:A101,D1:D101)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_xlfn.XLOOKUP(G9,A1:A99,D1:D99)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_xlfn.XLOOKUP(G10,A3:A107,D3:D107)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_xlfn.XLOOKUP(G11,A9:A109,D9:D109)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_xlfn.XLOOKUP(G12,A10:A108,D10:D108)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_xlfn.XLOOKUP(G13,A12:A116,D12:D116)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_xlfn.XLOOKUP(G14,A11:A113,D11:D113)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_xlfn.XLOOKUP(G15,A13:A117,D13:D117)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_xlfn.XLOOKUP(G16,A12:A116,D12:D116)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_xlfn.XLOOKUP(G17,A15:A112,D15:D112)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_xlfn.XLOOKUP(G18,A10:A109,D10:D109)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t="19.5" customFormat="1" customHeight="1" s="3">
      <c r="A19" s="30" t="n"/>
      <c r="B19" s="40" t="n"/>
      <c r="C19" s="40" t="n"/>
      <c r="D19" s="30" t="n"/>
      <c r="E19" s="34" t="n"/>
      <c r="F19" s="30" t="n"/>
      <c r="G19" s="9" t="n"/>
      <c r="H19" s="20" t="n"/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0"/>
    <pageSetUpPr/>
  </sheetPr>
  <dimension ref="A1:AS632"/>
  <sheetViews>
    <sheetView showGridLines="0" topLeftCell="AB1" zoomScale="115" workbookViewId="0">
      <selection activeCell="AI13" sqref="AI13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Not in war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_xlfn.XLOOKUP(G3,A2:A106,D2:D106)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_xlfn.XLOOKUP(G4,A2:A106,D2:D106)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_xlfn.XLOOKUP(G5,A2:A106,D2:D106)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_xlfn.XLOOKUP(G6,A2:A106,D2:D106)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_xlfn.XLOOKUP(G7,A2:A106,D2:D106)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_xlfn.XLOOKUP(G8,A2:A106,D2:D106)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_xlfn.XLOOKUP(G9,A2:A106,D2:D106)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_xlfn.XLOOKUP(G10,A2:A106,D2:D106)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_xlfn.XLOOKUP(G11,A2:A106,D2:D106)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_xlfn.XLOOKUP(G12,A2:A106,D2:D106)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_xlfn.XLOOKUP(G13,A2:A106,D2:D106)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_xlfn.XLOOKUP(G14,A2:A106,D2:D106)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_xlfn.XLOOKUP(G15,A2:A106,D2:D106)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_xlfn.XLOOKUP(G16,A2:A106,D2:D106)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_xlfn.XLOOKUP(G17,A2:A106,D2:D106)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 thickBot="1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_xlfn.XLOOKUP(G18,A2:A106,D2:D106)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idden="1" ht="19.5" customFormat="1" customHeight="1" s="3">
      <c r="A19" s="30" t="n"/>
      <c r="B19" s="40" t="n"/>
      <c r="C19" s="40" t="n"/>
      <c r="D19" s="30" t="n"/>
      <c r="E19" s="34" t="n"/>
      <c r="F19" s="30" t="n"/>
      <c r="G19" s="9" t="n"/>
      <c r="H19" s="20" t="n"/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idden="1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idden="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idden="1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idden="1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idden="1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idden="1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idden="1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idden="1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idden="1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idden="1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idden="1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idden="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idden="1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idden="1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idden="1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idden="1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idden="1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idden="1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idden="1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idden="1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idden="1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idden="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idden="1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idden="1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idden="1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idden="1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idden="1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idden="1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idden="1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idden="1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idden="1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idden="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idden="1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idden="1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idden="1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idden="1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idden="1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idden="1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idden="1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idden="1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idden="1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idden="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idden="1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idden="1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idden="1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idden="1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idden="1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idden="1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idden="1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idden="1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idden="1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idden="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idden="1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idden="1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idden="1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idden="1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idden="1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idden="1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idden="1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idden="1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idden="1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idden="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idden="1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idden="1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idden="1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idden="1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idden="1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idden="1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idden="1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idden="1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idden="1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idden="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idden="1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idden="1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idden="1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idden="1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idden="1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idden="1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idden="1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idden="1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idden="1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A101" s="37" t="n"/>
      <c r="B101" s="39" t="n"/>
      <c r="C101" s="40" t="n"/>
      <c r="D101" s="37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A102" s="37" t="n"/>
      <c r="B102" s="39" t="n"/>
      <c r="C102" s="40" t="n"/>
      <c r="D102" s="37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A103" s="37" t="n"/>
      <c r="B103" s="39" t="n"/>
      <c r="C103" s="40" t="n"/>
      <c r="D103" s="37" t="n"/>
    </row>
    <row r="104" ht="17.25" customHeight="1">
      <c r="A104" s="37" t="n"/>
      <c r="B104" s="39" t="n"/>
      <c r="C104" s="40" t="n"/>
      <c r="D104" s="37" t="n"/>
    </row>
    <row r="105" ht="17.25" customHeight="1">
      <c r="A105" s="37" t="n"/>
      <c r="B105" s="39" t="n"/>
      <c r="C105" s="40" t="n"/>
      <c r="D105" s="37" t="n"/>
    </row>
    <row r="106" ht="17.25" customHeight="1">
      <c r="A106" s="37" t="n"/>
      <c r="B106" s="39" t="n"/>
      <c r="C106" s="40" t="n"/>
      <c r="D106" s="37" t="n"/>
    </row>
    <row r="107" ht="17.25" customHeight="1">
      <c r="A107" s="37" t="n"/>
      <c r="B107" s="39" t="n"/>
      <c r="C107" s="40" t="n"/>
      <c r="D107" s="37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5" dxfId="6">
      <formula>OR(I3="Missed Hit")</formula>
    </cfRule>
    <cfRule type="expression" priority="14" dxfId="5" stopIfTrue="1">
      <formula>LEFT(I3,1)="3"</formula>
    </cfRule>
    <cfRule type="expression" priority="13" dxfId="4">
      <formula>LEFT(I3,1)="2"</formula>
    </cfRule>
    <cfRule type="expression" priority="12" dxfId="3">
      <formula>LEFT(I3,1)="0"</formula>
    </cfRule>
    <cfRule type="expression" priority="11" dxfId="2">
      <formula>LEFT(I3,1)="1"</formula>
    </cfRule>
    <cfRule type="expression" priority="10" dxfId="1" stopIfTrue="1">
      <formula>OR(I3="Not in war")</formula>
    </cfRule>
  </conditionalFormatting>
  <conditionalFormatting sqref="W3:W100">
    <cfRule type="expression" priority="9" dxfId="0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0"/>
    <pageSetUpPr/>
  </sheetPr>
  <dimension ref="A1:AS632"/>
  <sheetViews>
    <sheetView showGridLines="0" topLeftCell="AB1" zoomScaleNormal="115" workbookViewId="0">
      <selection activeCell="A1" sqref="A1:AA1048576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>
      <c r="A1" s="30" t="n"/>
      <c r="B1" s="39" t="n"/>
      <c r="C1" s="39" t="n"/>
      <c r="D1" s="30" t="n"/>
      <c r="E1" s="31" t="n"/>
      <c r="F1" s="30" t="n"/>
      <c r="G1" s="11" t="n"/>
      <c r="H1" s="44" t="inlineStr">
        <is>
          <t>War</t>
        </is>
      </c>
      <c r="I1" s="87" t="n">
        <v>1</v>
      </c>
      <c r="J1" s="87" t="n">
        <v>2</v>
      </c>
      <c r="K1" s="87" t="n">
        <v>3</v>
      </c>
      <c r="L1" s="87" t="n">
        <v>4</v>
      </c>
      <c r="M1" s="87" t="n">
        <v>5</v>
      </c>
      <c r="N1" s="87" t="n">
        <v>6</v>
      </c>
      <c r="O1" s="87" t="n">
        <v>7</v>
      </c>
      <c r="Q1" s="88" t="inlineStr">
        <is>
          <t>% max stars earned</t>
        </is>
      </c>
      <c r="R1" s="14" t="inlineStr">
        <is>
          <t>Total stars</t>
        </is>
      </c>
      <c r="S1" s="88" t="inlineStr">
        <is>
          <t>Triples</t>
        </is>
      </c>
      <c r="T1" s="88" t="inlineStr">
        <is>
          <t>Doubles</t>
        </is>
      </c>
      <c r="U1" s="88" t="inlineStr">
        <is>
          <t>Singles</t>
        </is>
      </c>
      <c r="V1" s="88" t="inlineStr">
        <is>
          <t>Fails</t>
        </is>
      </c>
      <c r="W1" s="88" t="inlineStr">
        <is>
          <t>Misses</t>
        </is>
      </c>
      <c r="X1" s="88" t="inlineStr">
        <is>
          <t>% Destruction</t>
        </is>
      </c>
      <c r="Y1" s="88" t="inlineStr">
        <is>
          <t>Opted out</t>
        </is>
      </c>
      <c r="Z1" s="5" t="n"/>
      <c r="AA1" s="5" t="n"/>
      <c r="AB1" s="44" t="inlineStr">
        <is>
          <t>War</t>
        </is>
      </c>
      <c r="AC1" s="87" t="n">
        <v>1</v>
      </c>
      <c r="AD1" s="87" t="n">
        <v>2</v>
      </c>
      <c r="AE1" s="87" t="n">
        <v>3</v>
      </c>
      <c r="AF1" s="87" t="n">
        <v>4</v>
      </c>
      <c r="AG1" s="87" t="n">
        <v>5</v>
      </c>
      <c r="AH1" s="87" t="n">
        <v>6</v>
      </c>
      <c r="AI1" s="87" t="n">
        <v>7</v>
      </c>
      <c r="AJ1" s="55" t="n"/>
      <c r="AK1" s="88" t="inlineStr">
        <is>
          <t>% max stars earned</t>
        </is>
      </c>
      <c r="AL1" s="14" t="inlineStr">
        <is>
          <t>Total stars</t>
        </is>
      </c>
      <c r="AM1" s="88" t="inlineStr">
        <is>
          <t>3 stars</t>
        </is>
      </c>
      <c r="AN1" s="88" t="inlineStr">
        <is>
          <t>2 stars</t>
        </is>
      </c>
      <c r="AO1" s="88" t="inlineStr">
        <is>
          <t>1 stars</t>
        </is>
      </c>
      <c r="AP1" s="88" t="inlineStr">
        <is>
          <t>0 stars</t>
        </is>
      </c>
      <c r="AQ1" s="88" t="inlineStr">
        <is>
          <t>Misses</t>
        </is>
      </c>
      <c r="AR1" s="88" t="inlineStr">
        <is>
          <t>% Destruction</t>
        </is>
      </c>
      <c r="AS1" s="88" t="inlineStr">
        <is>
          <t>Opted out</t>
        </is>
      </c>
    </row>
    <row r="2" ht="19.5" customFormat="1" customHeight="1" s="3">
      <c r="A2" s="30" t="n"/>
      <c r="B2" s="40" t="n"/>
      <c r="C2" s="40" t="n"/>
      <c r="D2" s="35" t="n"/>
      <c r="E2" s="33" t="n"/>
      <c r="F2" s="35" t="n"/>
      <c r="G2" s="9" t="n"/>
      <c r="H2" s="44" t="inlineStr">
        <is>
          <t>Players</t>
        </is>
      </c>
      <c r="I2" s="6" t="n"/>
      <c r="J2" s="53" t="n"/>
      <c r="K2" s="53" t="n"/>
      <c r="L2" s="53" t="n"/>
      <c r="M2" s="53" t="n"/>
      <c r="N2" s="53" t="n"/>
      <c r="O2" s="53" t="n"/>
      <c r="Q2" s="17" t="n"/>
      <c r="R2" s="14" t="n"/>
      <c r="S2" s="17" t="n"/>
      <c r="T2" s="17" t="n"/>
      <c r="U2" s="17" t="n"/>
      <c r="V2" s="17" t="n"/>
      <c r="W2" s="17" t="n"/>
      <c r="X2" s="17" t="n"/>
      <c r="Y2" s="17" t="n"/>
      <c r="AB2" s="60" t="inlineStr">
        <is>
          <t>Players</t>
        </is>
      </c>
      <c r="AC2" s="53" t="n"/>
      <c r="AD2" s="53" t="n"/>
      <c r="AE2" s="53" t="n"/>
      <c r="AF2" s="53" t="n"/>
      <c r="AG2" s="53" t="n"/>
      <c r="AH2" s="53" t="n"/>
      <c r="AI2" s="53" t="n"/>
      <c r="AJ2" s="55" t="n"/>
      <c r="AK2" s="17" t="n"/>
      <c r="AL2" s="14" t="n"/>
      <c r="AM2" s="17" t="n"/>
      <c r="AN2" s="17" t="n"/>
      <c r="AO2" s="17" t="n"/>
      <c r="AP2" s="17" t="n"/>
      <c r="AQ2" s="17" t="n"/>
      <c r="AR2" s="17" t="n"/>
      <c r="AS2" s="17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_xlfn.XLOOKUP(G3,A2:A106,D2:D106)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_xlfn.XLOOKUP(G4,A2:A106,D2:D106)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_xlfn.XLOOKUP(G5,A2:A106,D2:D106)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_xlfn.XLOOKUP(G6,A2:A106,D2:D106)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_xlfn.XLOOKUP(G7,A2:A106,D2:D106)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_xlfn.XLOOKUP(G8,A2:A106,D2:D106)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_xlfn.XLOOKUP(G9,A2:A106,D2:D106)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_xlfn.XLOOKUP(G10,A2:A106,D2:D106)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_xlfn.XLOOKUP(G11,A2:A106,D2:D106)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_xlfn.XLOOKUP(G12,A2:A106,D2:D106)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_xlfn.XLOOKUP(G13,A2:A106,D2:D106)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_xlfn.XLOOKUP(G14,A2:A106,D2:D106)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_xlfn.XLOOKUP(G15,A2:A106,D2:D106)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_xlfn.XLOOKUP(G16,A2:A106,D2:D106)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_xlfn.XLOOKUP(G17,A2:A106,D2:D106)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 thickBot="1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_xlfn.XLOOKUP(G18,A2:A106,D2:D106)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idden="1" ht="19.5" customFormat="1" customHeight="1" s="3">
      <c r="A19" s="30" t="n"/>
      <c r="B19" s="40" t="n"/>
      <c r="C19" s="40" t="n"/>
      <c r="D19" s="30" t="n"/>
      <c r="E19" s="34" t="n"/>
      <c r="F19" s="30" t="n"/>
      <c r="G19" s="9" t="n"/>
      <c r="H19" s="20" t="n"/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idden="1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idden="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idden="1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idden="1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idden="1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idden="1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idden="1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idden="1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idden="1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idden="1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idden="1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idden="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idden="1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idden="1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idden="1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idden="1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idden="1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idden="1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idden="1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idden="1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idden="1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idden="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idden="1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idden="1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idden="1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idden="1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idden="1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idden="1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idden="1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idden="1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idden="1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idden="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idden="1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idden="1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idden="1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idden="1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idden="1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idden="1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idden="1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idden="1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idden="1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idden="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idden="1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idden="1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idden="1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idden="1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idden="1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idden="1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idden="1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idden="1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idden="1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idden="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idden="1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idden="1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idden="1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idden="1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idden="1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idden="1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idden="1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idden="1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idden="1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idden="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idden="1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idden="1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idden="1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idden="1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idden="1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idden="1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idden="1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idden="1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idden="1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idden="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idden="1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idden="1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idden="1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idden="1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idden="1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idden="1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idden="1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idden="1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idden="1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0"/>
    <pageSetUpPr/>
  </sheetPr>
  <dimension ref="A1:AS632"/>
  <sheetViews>
    <sheetView showGridLines="0" topLeftCell="AB1" zoomScale="115" workbookViewId="0">
      <selection activeCell="A1" sqref="A1:AA1048576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85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70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86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72" t="n"/>
      <c r="AK2" s="17" t="n"/>
      <c r="AL2" s="14" t="n"/>
      <c r="AM2" s="15" t="n"/>
      <c r="AN2" s="15" t="n"/>
      <c r="AO2" s="15" t="n"/>
      <c r="AP2" s="15" t="n"/>
      <c r="AQ2" s="15" t="n"/>
      <c r="AR2" s="71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_xlfn.XLOOKUP(G3,A2:A106,D2:D106)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86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72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71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_xlfn.XLOOKUP(G4,A2:A106,D2:D106)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86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72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71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_xlfn.XLOOKUP(G5,A2:A106,D2:D106)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86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72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71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_xlfn.XLOOKUP(G6,A2:A106,D2:D106)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86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72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71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_xlfn.XLOOKUP(G7,A2:A106,D2:D106)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86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72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71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_xlfn.XLOOKUP(G8,A2:A106,D2:D106)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86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72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71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_xlfn.XLOOKUP(G9,A2:A106,D2:D106)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86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72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71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_xlfn.XLOOKUP(G10,A2:A106,D2:D106)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86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72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71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_xlfn.XLOOKUP(G11,A2:A106,D2:D106)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86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72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71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_xlfn.XLOOKUP(G12,A2:A106,D2:D106)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86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72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71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_xlfn.XLOOKUP(G13,A2:A106,D2:D106)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86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72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71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_xlfn.XLOOKUP(G14,A2:A106,D2:D106)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86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72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71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_xlfn.XLOOKUP(G15,A2:A106,D2:D106)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86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72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71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_xlfn.XLOOKUP(G16,A2:A106,D2:D106)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86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72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71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_xlfn.XLOOKUP(G17,A2:A106,D2:D106)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86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72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71" t="b">
        <v>0</v>
      </c>
      <c r="AS17" s="17" t="n">
        <v>0</v>
      </c>
    </row>
    <row r="18" ht="19" customFormat="1" customHeight="1" s="3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_xlfn.XLOOKUP(G18,A2:A106,D2:D106)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86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72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71" t="b">
        <v>0</v>
      </c>
      <c r="AS18" s="17" t="n">
        <v>0</v>
      </c>
    </row>
    <row r="19" ht="19.5" customFormat="1" customHeight="1" s="3" thickBot="1">
      <c r="A19" s="30" t="n"/>
      <c r="B19" s="40" t="n"/>
      <c r="C19" s="40" t="n"/>
      <c r="D19" s="30" t="n"/>
      <c r="E19" s="34" t="n"/>
      <c r="F19" s="30" t="n"/>
      <c r="G19" s="9" t="n"/>
      <c r="H19" s="20">
        <f>_xlfn.XLOOKUP(G19,A2:A106,D2:D106)</f>
        <v/>
      </c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86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72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71" t="b">
        <v>0</v>
      </c>
      <c r="AS19" s="17" t="n">
        <v>0</v>
      </c>
    </row>
    <row r="20" hidden="1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86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72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71" t="b">
        <v>0</v>
      </c>
      <c r="AS20" s="17" t="n">
        <v>0</v>
      </c>
    </row>
    <row r="21" hidden="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86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72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71" t="b">
        <v>0</v>
      </c>
      <c r="AS21" s="17" t="n">
        <v>0</v>
      </c>
    </row>
    <row r="22" hidden="1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86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72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71" t="b">
        <v>0</v>
      </c>
      <c r="AS22" s="17" t="n">
        <v>0</v>
      </c>
    </row>
    <row r="23" hidden="1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86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72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71" t="b">
        <v>0</v>
      </c>
      <c r="AS23" s="17" t="n">
        <v>0</v>
      </c>
    </row>
    <row r="24" hidden="1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86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72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71" t="b">
        <v>0</v>
      </c>
      <c r="AS24" s="17" t="n">
        <v>0</v>
      </c>
    </row>
    <row r="25" hidden="1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86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72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71" t="b">
        <v>0</v>
      </c>
      <c r="AS25" s="17" t="n">
        <v>0</v>
      </c>
    </row>
    <row r="26" hidden="1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86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72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71" t="b">
        <v>0</v>
      </c>
      <c r="AS26" s="17" t="n">
        <v>0</v>
      </c>
    </row>
    <row r="27" hidden="1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86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72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71" t="b">
        <v>0</v>
      </c>
      <c r="AS27" s="17" t="n">
        <v>0</v>
      </c>
    </row>
    <row r="28" hidden="1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86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72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71" t="b">
        <v>0</v>
      </c>
      <c r="AS28" s="17" t="n">
        <v>0</v>
      </c>
    </row>
    <row r="29" hidden="1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86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72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71" t="b">
        <v>0</v>
      </c>
      <c r="AS29" s="17" t="n">
        <v>0</v>
      </c>
    </row>
    <row r="30" hidden="1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86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72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71" t="b">
        <v>0</v>
      </c>
      <c r="AS30" s="17" t="n">
        <v>0</v>
      </c>
    </row>
    <row r="31" hidden="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86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72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71" t="b">
        <v>0</v>
      </c>
      <c r="AS31" s="17" t="n">
        <v>0</v>
      </c>
    </row>
    <row r="32" hidden="1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86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72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71" t="b">
        <v>0</v>
      </c>
      <c r="AS32" s="17" t="n">
        <v>0</v>
      </c>
    </row>
    <row r="33" hidden="1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86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72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71" t="b">
        <v>0</v>
      </c>
      <c r="AS33" s="17" t="n">
        <v>0</v>
      </c>
    </row>
    <row r="34" hidden="1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86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72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71" t="b">
        <v>0</v>
      </c>
      <c r="AS34" s="17" t="n">
        <v>0</v>
      </c>
    </row>
    <row r="35" hidden="1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86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72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71" t="b">
        <v>0</v>
      </c>
      <c r="AS35" s="17" t="n">
        <v>0</v>
      </c>
    </row>
    <row r="36" hidden="1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86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72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71" t="b">
        <v>0</v>
      </c>
      <c r="AS36" s="17" t="n">
        <v>0</v>
      </c>
    </row>
    <row r="37" hidden="1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86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72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71" t="b">
        <v>0</v>
      </c>
      <c r="AS37" s="17" t="n">
        <v>0</v>
      </c>
    </row>
    <row r="38" hidden="1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86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72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71" t="b">
        <v>0</v>
      </c>
      <c r="AS38" s="17" t="n">
        <v>0</v>
      </c>
    </row>
    <row r="39" hidden="1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86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72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71" t="b">
        <v>0</v>
      </c>
      <c r="AS39" s="17" t="n">
        <v>0</v>
      </c>
    </row>
    <row r="40" hidden="1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86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72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71" t="b">
        <v>0</v>
      </c>
      <c r="AS40" s="17" t="n">
        <v>0</v>
      </c>
    </row>
    <row r="41" hidden="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86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72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71" t="b">
        <v>0</v>
      </c>
      <c r="AS41" s="17" t="n">
        <v>0</v>
      </c>
    </row>
    <row r="42" hidden="1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86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72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71" t="b">
        <v>0</v>
      </c>
      <c r="AS42" s="17" t="n">
        <v>0</v>
      </c>
    </row>
    <row r="43" hidden="1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86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72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71" t="b">
        <v>0</v>
      </c>
      <c r="AS43" s="17" t="n">
        <v>0</v>
      </c>
    </row>
    <row r="44" hidden="1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86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72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71" t="b">
        <v>0</v>
      </c>
      <c r="AS44" s="17" t="n">
        <v>0</v>
      </c>
    </row>
    <row r="45" hidden="1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86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72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71" t="b">
        <v>0</v>
      </c>
      <c r="AS45" s="17" t="n">
        <v>0</v>
      </c>
    </row>
    <row r="46" hidden="1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86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72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71" t="b">
        <v>0</v>
      </c>
      <c r="AS46" s="17" t="n">
        <v>0</v>
      </c>
    </row>
    <row r="47" hidden="1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86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72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71" t="b">
        <v>0</v>
      </c>
      <c r="AS47" s="17" t="n">
        <v>0</v>
      </c>
    </row>
    <row r="48" hidden="1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86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72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71" t="b">
        <v>0</v>
      </c>
      <c r="AS48" s="17" t="n">
        <v>0</v>
      </c>
    </row>
    <row r="49" hidden="1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86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72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71" t="b">
        <v>0</v>
      </c>
      <c r="AS49" s="17" t="n">
        <v>0</v>
      </c>
    </row>
    <row r="50" hidden="1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86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72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71" t="b">
        <v>0</v>
      </c>
      <c r="AS50" s="17" t="n">
        <v>0</v>
      </c>
    </row>
    <row r="51" hidden="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86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72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71" t="b">
        <v>0</v>
      </c>
      <c r="AS51" s="17" t="n">
        <v>0</v>
      </c>
    </row>
    <row r="52" hidden="1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86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72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71" t="b">
        <v>0</v>
      </c>
      <c r="AS52" s="17" t="n">
        <v>0</v>
      </c>
    </row>
    <row r="53" hidden="1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86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72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71" t="b">
        <v>0</v>
      </c>
      <c r="AS53" s="17" t="n">
        <v>0</v>
      </c>
    </row>
    <row r="54" hidden="1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86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72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71" t="b">
        <v>0</v>
      </c>
      <c r="AS54" s="17" t="n">
        <v>0</v>
      </c>
    </row>
    <row r="55" hidden="1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86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72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71" t="b">
        <v>0</v>
      </c>
      <c r="AS55" s="17" t="n">
        <v>0</v>
      </c>
    </row>
    <row r="56" hidden="1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86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72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71" t="b">
        <v>0</v>
      </c>
      <c r="AS56" s="17" t="n">
        <v>0</v>
      </c>
    </row>
    <row r="57" hidden="1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86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72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71" t="b">
        <v>0</v>
      </c>
      <c r="AS57" s="17" t="n">
        <v>0</v>
      </c>
    </row>
    <row r="58" hidden="1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86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72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71" t="b">
        <v>0</v>
      </c>
      <c r="AS58" s="17" t="n">
        <v>0</v>
      </c>
    </row>
    <row r="59" hidden="1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86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72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71" t="b">
        <v>0</v>
      </c>
      <c r="AS59" s="17" t="n">
        <v>0</v>
      </c>
    </row>
    <row r="60" hidden="1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86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72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71" t="b">
        <v>0</v>
      </c>
      <c r="AS60" s="17" t="n">
        <v>0</v>
      </c>
    </row>
    <row r="61" hidden="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86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72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71" t="b">
        <v>0</v>
      </c>
      <c r="AS61" s="17" t="n">
        <v>0</v>
      </c>
    </row>
    <row r="62" hidden="1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86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72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71" t="b">
        <v>0</v>
      </c>
      <c r="AS62" s="17" t="n">
        <v>0</v>
      </c>
    </row>
    <row r="63" hidden="1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86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72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71" t="b">
        <v>0</v>
      </c>
      <c r="AS63" s="17" t="n">
        <v>0</v>
      </c>
    </row>
    <row r="64" hidden="1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86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72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71" t="b">
        <v>0</v>
      </c>
      <c r="AS64" s="17" t="n">
        <v>0</v>
      </c>
    </row>
    <row r="65" hidden="1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86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72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71" t="b">
        <v>0</v>
      </c>
      <c r="AS65" s="17" t="n">
        <v>0</v>
      </c>
    </row>
    <row r="66" hidden="1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86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72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71" t="b">
        <v>0</v>
      </c>
      <c r="AS66" s="17" t="n">
        <v>0</v>
      </c>
    </row>
    <row r="67" hidden="1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86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72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71" t="b">
        <v>0</v>
      </c>
      <c r="AS67" s="17" t="n">
        <v>0</v>
      </c>
    </row>
    <row r="68" hidden="1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86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72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71" t="b">
        <v>0</v>
      </c>
      <c r="AS68" s="17" t="n">
        <v>0</v>
      </c>
    </row>
    <row r="69" hidden="1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86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72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71" t="b">
        <v>0</v>
      </c>
      <c r="AS69" s="17" t="n">
        <v>0</v>
      </c>
    </row>
    <row r="70" hidden="1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86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72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71" t="b">
        <v>0</v>
      </c>
      <c r="AS70" s="17" t="n">
        <v>0</v>
      </c>
    </row>
    <row r="71" hidden="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86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72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71" t="b">
        <v>0</v>
      </c>
      <c r="AS71" s="17" t="n">
        <v>0</v>
      </c>
    </row>
    <row r="72" hidden="1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86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72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71" t="b">
        <v>0</v>
      </c>
      <c r="AS72" s="17" t="n">
        <v>0</v>
      </c>
    </row>
    <row r="73" hidden="1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86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72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71" t="b">
        <v>0</v>
      </c>
      <c r="AS73" s="17" t="n">
        <v>0</v>
      </c>
    </row>
    <row r="74" hidden="1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86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72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71" t="b">
        <v>0</v>
      </c>
      <c r="AS74" s="17" t="n">
        <v>0</v>
      </c>
    </row>
    <row r="75" hidden="1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86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72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71" t="b">
        <v>0</v>
      </c>
      <c r="AS75" s="17" t="n">
        <v>0</v>
      </c>
    </row>
    <row r="76" hidden="1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86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72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71" t="b">
        <v>0</v>
      </c>
      <c r="AS76" s="17" t="n">
        <v>0</v>
      </c>
    </row>
    <row r="77" hidden="1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86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72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71" t="b">
        <v>0</v>
      </c>
      <c r="AS77" s="17" t="n">
        <v>0</v>
      </c>
    </row>
    <row r="78" hidden="1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86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72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71" t="b">
        <v>0</v>
      </c>
      <c r="AS78" s="17" t="n">
        <v>0</v>
      </c>
    </row>
    <row r="79" hidden="1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86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72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71" t="b">
        <v>0</v>
      </c>
      <c r="AS79" s="17" t="n">
        <v>0</v>
      </c>
    </row>
    <row r="80" hidden="1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86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72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71" t="b">
        <v>0</v>
      </c>
      <c r="AS80" s="17" t="n">
        <v>0</v>
      </c>
    </row>
    <row r="81" hidden="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86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72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71" t="b">
        <v>0</v>
      </c>
      <c r="AS81" s="17" t="n">
        <v>0</v>
      </c>
    </row>
    <row r="82" hidden="1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86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72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71" t="b">
        <v>0</v>
      </c>
      <c r="AS82" s="17" t="n">
        <v>0</v>
      </c>
    </row>
    <row r="83" hidden="1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86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72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71" t="b">
        <v>0</v>
      </c>
      <c r="AS83" s="17" t="n">
        <v>0</v>
      </c>
    </row>
    <row r="84" hidden="1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86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72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71" t="b">
        <v>0</v>
      </c>
      <c r="AS84" s="17" t="n">
        <v>0</v>
      </c>
    </row>
    <row r="85" hidden="1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86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72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71" t="b">
        <v>0</v>
      </c>
      <c r="AS85" s="17" t="n">
        <v>0</v>
      </c>
    </row>
    <row r="86" hidden="1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86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72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71" t="b">
        <v>0</v>
      </c>
      <c r="AS86" s="17" t="n">
        <v>0</v>
      </c>
    </row>
    <row r="87" hidden="1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86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72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71" t="b">
        <v>0</v>
      </c>
      <c r="AS87" s="17" t="n">
        <v>0</v>
      </c>
    </row>
    <row r="88" hidden="1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86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72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71" t="b">
        <v>0</v>
      </c>
      <c r="AS88" s="17" t="n">
        <v>0</v>
      </c>
    </row>
    <row r="89" hidden="1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86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72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71" t="b">
        <v>0</v>
      </c>
      <c r="AS89" s="17" t="n">
        <v>0</v>
      </c>
    </row>
    <row r="90" hidden="1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86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72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71" t="b">
        <v>0</v>
      </c>
      <c r="AS90" s="17" t="n">
        <v>0</v>
      </c>
    </row>
    <row r="91" hidden="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86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72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71" t="b">
        <v>0</v>
      </c>
      <c r="AS91" s="17" t="n">
        <v>0</v>
      </c>
    </row>
    <row r="92" hidden="1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86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72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71" t="b">
        <v>0</v>
      </c>
      <c r="AS92" s="17" t="n">
        <v>0</v>
      </c>
    </row>
    <row r="93" hidden="1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86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72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71" t="b">
        <v>0</v>
      </c>
      <c r="AS93" s="17" t="n">
        <v>0</v>
      </c>
    </row>
    <row r="94" hidden="1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86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72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71" t="b">
        <v>0</v>
      </c>
      <c r="AS94" s="17" t="n">
        <v>0</v>
      </c>
    </row>
    <row r="95" hidden="1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86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72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71" t="b">
        <v>0</v>
      </c>
      <c r="AS95" s="17" t="n">
        <v>0</v>
      </c>
    </row>
    <row r="96" hidden="1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86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72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71" t="b">
        <v>0</v>
      </c>
      <c r="AS96" s="17" t="n">
        <v>0</v>
      </c>
    </row>
    <row r="97" hidden="1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86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72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71" t="b">
        <v>0</v>
      </c>
      <c r="AS97" s="17" t="n">
        <v>0</v>
      </c>
    </row>
    <row r="98" hidden="1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86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72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71" t="b">
        <v>0</v>
      </c>
      <c r="AS98" s="17" t="n">
        <v>0</v>
      </c>
    </row>
    <row r="99" hidden="1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86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72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71" t="b">
        <v>0</v>
      </c>
      <c r="AS99" s="17" t="n">
        <v>0</v>
      </c>
    </row>
    <row r="100" hidden="1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86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72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71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SUM(S3:S19)</f>
        <v/>
      </c>
      <c r="T101" s="18">
        <f>SUM(T3:T19)</f>
        <v/>
      </c>
      <c r="U101" s="18">
        <f>SUM(U3:U19)</f>
        <v/>
      </c>
      <c r="V101" s="18">
        <f>SUM(V3:V19)</f>
        <v/>
      </c>
      <c r="W101" s="47">
        <f>SUM(W3:W19)</f>
        <v/>
      </c>
      <c r="X101" s="99" t="inlineStr">
        <is>
          <t>-</t>
        </is>
      </c>
      <c r="Y101" s="15" t="n"/>
      <c r="AJ101" s="5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J102" s="5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0"/>
    <pageSetUpPr/>
  </sheetPr>
  <dimension ref="A1:AS632"/>
  <sheetViews>
    <sheetView showGridLines="0" topLeftCell="AB1" zoomScale="115" workbookViewId="0">
      <selection activeCell="A1" sqref="A1:AA1048576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73" t="n"/>
      <c r="B3" s="73" t="n"/>
      <c r="C3" s="73" t="n"/>
      <c r="D3" s="73" t="n"/>
      <c r="E3" s="34" t="n"/>
      <c r="F3" s="30" t="n"/>
      <c r="G3" s="73" t="n"/>
      <c r="H3" s="20">
        <f>_xlfn.XLOOKUP(G3,A1:A104,D1:D104)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73" t="n"/>
      <c r="B4" s="73" t="n"/>
      <c r="C4" s="73" t="n"/>
      <c r="D4" s="73" t="n"/>
      <c r="E4" s="34" t="n"/>
      <c r="F4" s="30" t="n"/>
      <c r="G4" s="73" t="n"/>
      <c r="H4" s="20">
        <f>_xlfn.XLOOKUP(G4,A2:A93,D2:D93)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73" t="n"/>
      <c r="B5" s="73" t="n"/>
      <c r="C5" s="73" t="n"/>
      <c r="D5" s="73" t="n"/>
      <c r="E5" s="34" t="n"/>
      <c r="F5" s="30" t="n"/>
      <c r="G5" s="73" t="n"/>
      <c r="H5" s="20">
        <f>_xlfn.XLOOKUP(G5,A2:A93,D2:D93)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73" t="n"/>
      <c r="B6" s="73" t="n"/>
      <c r="C6" s="73" t="n"/>
      <c r="D6" s="73" t="n"/>
      <c r="E6" s="34" t="n"/>
      <c r="F6" s="30" t="n"/>
      <c r="G6" s="73" t="n"/>
      <c r="H6" s="20">
        <f>_xlfn.XLOOKUP(G6,A1:A100,D1:D100)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73" t="n"/>
      <c r="B7" s="73" t="n"/>
      <c r="C7" s="73" t="n"/>
      <c r="D7" s="73" t="n"/>
      <c r="E7" s="34" t="n"/>
      <c r="F7" s="30" t="n"/>
      <c r="G7" s="73" t="n"/>
      <c r="H7" s="20">
        <f>_xlfn.XLOOKUP(G7,A2:A99,D2:D99)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73" t="n"/>
      <c r="B8" s="73" t="n"/>
      <c r="C8" s="73" t="n"/>
      <c r="D8" s="73" t="n"/>
      <c r="E8" s="34" t="n"/>
      <c r="F8" s="30" t="n"/>
      <c r="G8" s="73" t="n"/>
      <c r="H8" s="20">
        <f>_xlfn.XLOOKUP(G8,A1:A101,D1:D101)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73" t="n"/>
      <c r="B9" s="73" t="n"/>
      <c r="C9" s="73" t="n"/>
      <c r="D9" s="73" t="n"/>
      <c r="E9" s="34" t="n"/>
      <c r="F9" s="30" t="n"/>
      <c r="G9" s="73" t="n"/>
      <c r="H9" s="20">
        <f>_xlfn.XLOOKUP(G9,A1:A99,D1:D99)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73" t="n"/>
      <c r="B10" s="73" t="n"/>
      <c r="C10" s="73" t="n"/>
      <c r="D10" s="73" t="n"/>
      <c r="E10" s="34" t="n"/>
      <c r="F10" s="30" t="n"/>
      <c r="G10" s="73" t="n"/>
      <c r="H10" s="20">
        <f>_xlfn.XLOOKUP(G10,A3:A107,D3:D107)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73" t="n"/>
      <c r="B11" s="73" t="n"/>
      <c r="C11" s="73" t="n"/>
      <c r="D11" s="73" t="n"/>
      <c r="E11" s="34" t="n"/>
      <c r="F11" s="30" t="n"/>
      <c r="G11" s="73" t="n"/>
      <c r="H11" s="20">
        <f>_xlfn.XLOOKUP(G11,A9:A109,D9:D109)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73" t="n"/>
      <c r="B12" s="73" t="n"/>
      <c r="C12" s="73" t="n"/>
      <c r="D12" s="73" t="n"/>
      <c r="E12" s="34" t="n"/>
      <c r="F12" s="30" t="n"/>
      <c r="G12" s="73" t="n"/>
      <c r="H12" s="20">
        <f>_xlfn.XLOOKUP(G12,A10:A108,D10:D108)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73" t="n"/>
      <c r="B13" s="73" t="n"/>
      <c r="C13" s="73" t="n"/>
      <c r="D13" s="73" t="n"/>
      <c r="E13" s="34" t="n"/>
      <c r="F13" s="30" t="n"/>
      <c r="G13" s="73" t="n"/>
      <c r="H13" s="20">
        <f>_xlfn.XLOOKUP(G13,A12:A116,D12:D116)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73" t="n"/>
      <c r="B14" s="73" t="n"/>
      <c r="C14" s="73" t="n"/>
      <c r="D14" s="73" t="n"/>
      <c r="E14" s="34" t="n"/>
      <c r="F14" s="30" t="n"/>
      <c r="G14" s="73" t="n"/>
      <c r="H14" s="20">
        <f>_xlfn.XLOOKUP(G14,A11:A113,D11:D113)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73" t="n"/>
      <c r="B15" s="73" t="n"/>
      <c r="C15" s="73" t="n"/>
      <c r="D15" s="73" t="n"/>
      <c r="E15" s="34" t="n"/>
      <c r="F15" s="30" t="n"/>
      <c r="G15" s="73" t="n"/>
      <c r="H15" s="20">
        <f>_xlfn.XLOOKUP(G15,A13:A117,D13:D117)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73" t="n"/>
      <c r="B16" s="73" t="n"/>
      <c r="C16" s="73" t="n"/>
      <c r="D16" s="73" t="n"/>
      <c r="E16" s="34" t="n"/>
      <c r="F16" s="30" t="n"/>
      <c r="G16" s="73" t="n"/>
      <c r="H16" s="20">
        <f>_xlfn.XLOOKUP(G16,A12:A116,D12:D116)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73" t="n"/>
      <c r="B17" s="73" t="n"/>
      <c r="C17" s="73" t="n"/>
      <c r="D17" s="73" t="n"/>
      <c r="E17" s="34" t="n"/>
      <c r="F17" s="30" t="n"/>
      <c r="G17" s="73" t="n"/>
      <c r="H17" s="20">
        <f>_xlfn.XLOOKUP(G17,A15:A112,D15:D112)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73" t="n"/>
      <c r="B18" s="73" t="n"/>
      <c r="C18" s="73" t="n"/>
      <c r="D18" s="73" t="n"/>
      <c r="E18" s="34" t="n"/>
      <c r="F18" s="30" t="n"/>
      <c r="G18" s="73" t="n"/>
      <c r="H18" s="20">
        <f>_xlfn.XLOOKUP(G18,A10:A109,D10:D109)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t="19.5" customFormat="1" customHeight="1" s="3" thickBot="1">
      <c r="A19" s="73" t="n"/>
      <c r="B19" s="73" t="n"/>
      <c r="C19" s="73" t="n"/>
      <c r="D19" s="73" t="n"/>
      <c r="E19" s="34" t="n"/>
      <c r="F19" s="30" t="n"/>
      <c r="G19" s="73" t="n"/>
      <c r="H19" s="20">
        <f>_xlfn.XLOOKUP(G19,A10:A109,D10:D109)</f>
        <v/>
      </c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idden="1" ht="19.5" customFormat="1" customHeight="1" s="3">
      <c r="A20" s="73" t="n"/>
      <c r="B20" s="73" t="n"/>
      <c r="C20" s="73" t="n"/>
      <c r="D20" s="73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idden="1" ht="19.5" customFormat="1" customHeight="1" s="3">
      <c r="A21" s="73" t="n"/>
      <c r="B21" s="73" t="n"/>
      <c r="C21" s="73" t="n"/>
      <c r="D21" s="73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idden="1" ht="19.5" customFormat="1" customHeight="1" s="3">
      <c r="A22" s="73" t="n"/>
      <c r="B22" s="73" t="n"/>
      <c r="C22" s="73" t="n"/>
      <c r="D22" s="73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idden="1" ht="19.5" customFormat="1" customHeight="1" s="3">
      <c r="A23" s="73" t="n"/>
      <c r="B23" s="73" t="n"/>
      <c r="C23" s="73" t="n"/>
      <c r="D23" s="73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idden="1" ht="18.75" customFormat="1" customHeight="1" s="3">
      <c r="A24" s="73" t="n"/>
      <c r="B24" s="73" t="n"/>
      <c r="C24" s="73" t="n"/>
      <c r="D24" s="73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idden="1" ht="18.75" customFormat="1" customHeight="1" s="3">
      <c r="A25" s="73" t="n"/>
      <c r="B25" s="73" t="n"/>
      <c r="C25" s="73" t="n"/>
      <c r="D25" s="73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idden="1" ht="18.75" customFormat="1" customHeight="1" s="3">
      <c r="A26" s="73" t="n"/>
      <c r="B26" s="73" t="n"/>
      <c r="C26" s="73" t="n"/>
      <c r="D26" s="73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idden="1" ht="18.75" customFormat="1" customHeight="1" s="3">
      <c r="A27" s="73" t="n"/>
      <c r="B27" s="73" t="n"/>
      <c r="C27" s="73" t="n"/>
      <c r="D27" s="73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idden="1" ht="18.75" customFormat="1" customHeight="1" s="3">
      <c r="A28" s="73" t="n"/>
      <c r="B28" s="73" t="n"/>
      <c r="C28" s="73" t="n"/>
      <c r="D28" s="73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idden="1" ht="18.75" customFormat="1" customHeight="1" s="3">
      <c r="A29" s="73" t="n"/>
      <c r="B29" s="73" t="n"/>
      <c r="C29" s="73" t="n"/>
      <c r="D29" s="73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idden="1" ht="18.75" customFormat="1" customHeight="1" s="3">
      <c r="A30" s="73" t="n"/>
      <c r="B30" s="73" t="n"/>
      <c r="C30" s="73" t="n"/>
      <c r="D30" s="73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idden="1" ht="18.75" customFormat="1" customHeight="1" s="3">
      <c r="A31" s="73" t="n"/>
      <c r="B31" s="73" t="n"/>
      <c r="C31" s="73" t="n"/>
      <c r="D31" s="73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idden="1" ht="18.75" customFormat="1" customHeight="1" s="3">
      <c r="A32" s="73" t="n"/>
      <c r="B32" s="73" t="n"/>
      <c r="C32" s="73" t="n"/>
      <c r="D32" s="73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idden="1" ht="18" customFormat="1" customHeight="1" s="3">
      <c r="A33" s="73" t="n"/>
      <c r="B33" s="73" t="n"/>
      <c r="C33" s="73" t="n"/>
      <c r="D33" s="73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idden="1" ht="18" customFormat="1" customHeight="1" s="3">
      <c r="A34" s="73" t="n"/>
      <c r="B34" s="73" t="n"/>
      <c r="C34" s="73" t="n"/>
      <c r="D34" s="73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idden="1" ht="18" customFormat="1" customHeight="1" s="3">
      <c r="A35" s="73" t="n"/>
      <c r="B35" s="73" t="n"/>
      <c r="C35" s="73" t="n"/>
      <c r="D35" s="73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idden="1" ht="18" customFormat="1" customHeight="1" s="3">
      <c r="A36" s="73" t="n"/>
      <c r="B36" s="73" t="n"/>
      <c r="C36" s="73" t="n"/>
      <c r="D36" s="73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idden="1" ht="18" customFormat="1" customHeight="1" s="3">
      <c r="A37" s="73" t="n"/>
      <c r="B37" s="73" t="n"/>
      <c r="C37" s="73" t="n"/>
      <c r="D37" s="73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idden="1" ht="18" customFormat="1" customHeight="1" s="3">
      <c r="A38" s="73" t="n"/>
      <c r="B38" s="73" t="n"/>
      <c r="C38" s="73" t="n"/>
      <c r="D38" s="73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idden="1" ht="18" customFormat="1" customHeight="1" s="3">
      <c r="A39" s="73" t="n"/>
      <c r="B39" s="73" t="n"/>
      <c r="C39" s="73" t="n"/>
      <c r="D39" s="73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idden="1" ht="18" customFormat="1" customHeight="1" s="3">
      <c r="A40" s="73" t="n"/>
      <c r="B40" s="73" t="n"/>
      <c r="C40" s="73" t="n"/>
      <c r="D40" s="73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idden="1" ht="18" customFormat="1" customHeight="1" s="3">
      <c r="A41" s="73" t="n"/>
      <c r="B41" s="73" t="n"/>
      <c r="C41" s="73" t="n"/>
      <c r="D41" s="73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idden="1" ht="18" customFormat="1" customHeight="1" s="3">
      <c r="A42" s="73" t="n"/>
      <c r="B42" s="73" t="n"/>
      <c r="C42" s="73" t="n"/>
      <c r="D42" s="73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idden="1" ht="18" customFormat="1" customHeight="1" s="3">
      <c r="A43" s="73" t="n"/>
      <c r="B43" s="73" t="n"/>
      <c r="C43" s="73" t="n"/>
      <c r="D43" s="73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idden="1" ht="18" customFormat="1" customHeight="1" s="3">
      <c r="A44" s="73" t="n"/>
      <c r="B44" s="73" t="n"/>
      <c r="C44" s="73" t="n"/>
      <c r="D44" s="73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idden="1" ht="18" customFormat="1" customHeight="1" s="3">
      <c r="A45" s="73" t="n"/>
      <c r="B45" s="73" t="n"/>
      <c r="C45" s="73" t="n"/>
      <c r="D45" s="73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idden="1" ht="18" customFormat="1" customHeight="1" s="3">
      <c r="A46" s="73" t="n"/>
      <c r="B46" s="73" t="n"/>
      <c r="C46" s="73" t="n"/>
      <c r="D46" s="73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idden="1" ht="18" customFormat="1" customHeight="1" s="3">
      <c r="A47" s="73" t="n"/>
      <c r="B47" s="73" t="n"/>
      <c r="C47" s="73" t="n"/>
      <c r="D47" s="73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idden="1" ht="18" customFormat="1" customHeight="1" s="3">
      <c r="A48" s="73" t="n"/>
      <c r="B48" s="73" t="n"/>
      <c r="C48" s="73" t="n"/>
      <c r="D48" s="73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idden="1" ht="18" customFormat="1" customHeight="1" s="3">
      <c r="A49" s="73" t="n"/>
      <c r="B49" s="73" t="n"/>
      <c r="C49" s="73" t="n"/>
      <c r="D49" s="73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idden="1" ht="18" customFormat="1" customHeight="1" s="3">
      <c r="A50" s="73" t="n"/>
      <c r="B50" s="73" t="n"/>
      <c r="C50" s="73" t="n"/>
      <c r="D50" s="73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idden="1" ht="18" customFormat="1" customHeight="1" s="3">
      <c r="A51" s="73" t="n"/>
      <c r="B51" s="73" t="n"/>
      <c r="C51" s="73" t="n"/>
      <c r="D51" s="73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idden="1" ht="18" customFormat="1" customHeight="1" s="3">
      <c r="A52" s="73" t="n"/>
      <c r="B52" s="73" t="n"/>
      <c r="C52" s="73" t="n"/>
      <c r="D52" s="73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idden="1" ht="18" customFormat="1" customHeight="1" s="3">
      <c r="A53" s="73" t="n"/>
      <c r="B53" s="73" t="n"/>
      <c r="C53" s="73" t="n"/>
      <c r="D53" s="73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idden="1" ht="18" customFormat="1" customHeight="1" s="3">
      <c r="A54" s="73" t="n"/>
      <c r="B54" s="73" t="n"/>
      <c r="C54" s="73" t="n"/>
      <c r="D54" s="73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idden="1" ht="18" customFormat="1" customHeight="1" s="3">
      <c r="A55" s="73" t="n"/>
      <c r="B55" s="73" t="n"/>
      <c r="C55" s="73" t="n"/>
      <c r="D55" s="73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idden="1" ht="18" customFormat="1" customHeight="1" s="3">
      <c r="A56" s="73" t="n"/>
      <c r="B56" s="73" t="n"/>
      <c r="C56" s="73" t="n"/>
      <c r="D56" s="73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idden="1" ht="18" customFormat="1" customHeight="1" s="3">
      <c r="A57" s="73" t="n"/>
      <c r="B57" s="73" t="n"/>
      <c r="C57" s="73" t="n"/>
      <c r="D57" s="73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idden="1" ht="18" customFormat="1" customHeight="1" s="3">
      <c r="A58" s="73" t="n"/>
      <c r="B58" s="73" t="n"/>
      <c r="C58" s="73" t="n"/>
      <c r="D58" s="73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idden="1" ht="18" customFormat="1" customHeight="1" s="3">
      <c r="A59" s="73" t="n"/>
      <c r="B59" s="73" t="n"/>
      <c r="C59" s="73" t="n"/>
      <c r="D59" s="73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idden="1" ht="18" customFormat="1" customHeight="1" s="3">
      <c r="A60" s="73" t="n"/>
      <c r="B60" s="73" t="n"/>
      <c r="C60" s="73" t="n"/>
      <c r="D60" s="73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idden="1" ht="18" customFormat="1" customHeight="1" s="3">
      <c r="A61" s="73" t="n"/>
      <c r="B61" s="73" t="n"/>
      <c r="C61" s="73" t="n"/>
      <c r="D61" s="73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idden="1" ht="18" customFormat="1" customHeight="1" s="3">
      <c r="A62" s="73" t="n"/>
      <c r="B62" s="73" t="n"/>
      <c r="C62" s="73" t="n"/>
      <c r="D62" s="73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idden="1" ht="18" customFormat="1" customHeight="1" s="3">
      <c r="A63" s="73" t="n"/>
      <c r="B63" s="73" t="n"/>
      <c r="C63" s="73" t="n"/>
      <c r="D63" s="73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idden="1" ht="18" customFormat="1" customHeight="1" s="3">
      <c r="A64" s="73" t="n"/>
      <c r="B64" s="73" t="n"/>
      <c r="C64" s="73" t="n"/>
      <c r="D64" s="73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idden="1" ht="18" customFormat="1" customHeight="1" s="3">
      <c r="A65" s="73" t="n"/>
      <c r="B65" s="73" t="n"/>
      <c r="C65" s="73" t="n"/>
      <c r="D65" s="73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idden="1" ht="18" customFormat="1" customHeight="1" s="3">
      <c r="A66" s="73" t="n"/>
      <c r="B66" s="73" t="n"/>
      <c r="C66" s="73" t="n"/>
      <c r="D66" s="73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idden="1" ht="18" customFormat="1" customHeight="1" s="3">
      <c r="A67" s="73" t="n"/>
      <c r="B67" s="73" t="n"/>
      <c r="C67" s="73" t="n"/>
      <c r="D67" s="73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idden="1" ht="18" customFormat="1" customHeight="1" s="3">
      <c r="A68" s="73" t="n"/>
      <c r="B68" s="73" t="n"/>
      <c r="C68" s="73" t="n"/>
      <c r="D68" s="73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idden="1" ht="18" customFormat="1" customHeight="1" s="3">
      <c r="A69" s="73" t="n"/>
      <c r="B69" s="73" t="n"/>
      <c r="C69" s="73" t="n"/>
      <c r="D69" s="73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idden="1" ht="18" customFormat="1" customHeight="1" s="3">
      <c r="A70" s="73" t="n"/>
      <c r="B70" s="73" t="n"/>
      <c r="C70" s="73" t="n"/>
      <c r="D70" s="73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idden="1" ht="18" customFormat="1" customHeight="1" s="3">
      <c r="A71" s="73" t="n"/>
      <c r="B71" s="73" t="n"/>
      <c r="C71" s="73" t="n"/>
      <c r="D71" s="73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idden="1" ht="18" customFormat="1" customHeight="1" s="3">
      <c r="A72" s="73" t="n"/>
      <c r="B72" s="73" t="n"/>
      <c r="C72" s="73" t="n"/>
      <c r="D72" s="73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idden="1" ht="18" customFormat="1" customHeight="1" s="3">
      <c r="A73" s="73" t="n"/>
      <c r="B73" s="73" t="n"/>
      <c r="C73" s="73" t="n"/>
      <c r="D73" s="73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idden="1" ht="18" customFormat="1" customHeight="1" s="3">
      <c r="A74" s="73" t="n"/>
      <c r="B74" s="73" t="n"/>
      <c r="C74" s="73" t="n"/>
      <c r="D74" s="73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idden="1" ht="18" customFormat="1" customHeight="1" s="3">
      <c r="A75" s="73" t="n"/>
      <c r="B75" s="73" t="n"/>
      <c r="C75" s="73" t="n"/>
      <c r="D75" s="73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idden="1" ht="18" customFormat="1" customHeight="1" s="3">
      <c r="A76" s="73" t="n"/>
      <c r="B76" s="73" t="n"/>
      <c r="C76" s="73" t="n"/>
      <c r="D76" s="73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idden="1" ht="18" customFormat="1" customHeight="1" s="3">
      <c r="A77" s="73" t="n"/>
      <c r="B77" s="73" t="n"/>
      <c r="C77" s="73" t="n"/>
      <c r="D77" s="73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idden="1" ht="18" customFormat="1" customHeight="1" s="3">
      <c r="A78" s="73" t="n"/>
      <c r="B78" s="73" t="n"/>
      <c r="C78" s="73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idden="1" ht="18" customFormat="1" customHeight="1" s="3">
      <c r="A79" s="73" t="n"/>
      <c r="B79" s="73" t="n"/>
      <c r="C79" s="73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idden="1" ht="18" customFormat="1" customHeight="1" s="3">
      <c r="A80" s="73" t="n"/>
      <c r="B80" s="73" t="n"/>
      <c r="C80" s="73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idden="1" ht="18" customFormat="1" customHeight="1" s="3">
      <c r="A81" s="73" t="n"/>
      <c r="B81" s="73" t="n"/>
      <c r="C81" s="73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idden="1" ht="18" customFormat="1" customHeight="1" s="3">
      <c r="A82" s="73" t="n"/>
      <c r="B82" s="73" t="n"/>
      <c r="C82" s="73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idden="1" ht="18" customFormat="1" customHeight="1" s="3">
      <c r="A83" s="73" t="n"/>
      <c r="B83" s="73" t="n"/>
      <c r="C83" s="73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idden="1" ht="18" customFormat="1" customHeight="1" s="3">
      <c r="A84" s="73" t="n"/>
      <c r="B84" s="73" t="n"/>
      <c r="C84" s="73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idden="1" ht="18" customFormat="1" customHeight="1" s="3">
      <c r="A85" s="73" t="n"/>
      <c r="B85" s="73" t="n"/>
      <c r="C85" s="73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idden="1" ht="18" customFormat="1" customHeight="1" s="3">
      <c r="A86" s="73" t="n"/>
      <c r="B86" s="73" t="n"/>
      <c r="C86" s="73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idden="1" ht="18" customFormat="1" customHeight="1" s="3">
      <c r="A87" s="73" t="n"/>
      <c r="B87" s="73" t="n"/>
      <c r="C87" s="73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idden="1" ht="18" customFormat="1" customHeight="1" s="3">
      <c r="A88" s="73" t="n"/>
      <c r="B88" s="73" t="n"/>
      <c r="C88" s="73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idden="1" ht="18" customFormat="1" customHeight="1" s="3">
      <c r="A89" s="73" t="n"/>
      <c r="B89" s="73" t="n"/>
      <c r="C89" s="73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idden="1" ht="18" customFormat="1" customHeight="1" s="3">
      <c r="A90" s="73" t="n"/>
      <c r="B90" s="73" t="n"/>
      <c r="C90" s="73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idden="1" ht="18" customFormat="1" customHeight="1" s="3">
      <c r="A91" s="73" t="n"/>
      <c r="B91" s="73" t="n"/>
      <c r="C91" s="73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idden="1" ht="18" customFormat="1" customHeight="1" s="3">
      <c r="A92" s="73" t="n"/>
      <c r="B92" s="73" t="n"/>
      <c r="C92" s="73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idden="1" ht="17.25" customFormat="1" customHeight="1" s="3">
      <c r="A93" s="73" t="n"/>
      <c r="B93" s="73" t="n"/>
      <c r="C93" s="73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idden="1" ht="17.25" customFormat="1" customHeight="1" s="3">
      <c r="A94" s="73" t="n"/>
      <c r="B94" s="73" t="n"/>
      <c r="C94" s="73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idden="1" ht="17.25" customFormat="1" customHeight="1" s="3">
      <c r="A95" s="73" t="n"/>
      <c r="B95" s="73" t="n"/>
      <c r="C95" s="73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idden="1" ht="17.25" customFormat="1" customHeight="1" s="3">
      <c r="A96" s="73" t="n"/>
      <c r="B96" s="73" t="n"/>
      <c r="C96" s="73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idden="1" ht="17.25" customFormat="1" customHeight="1" s="3">
      <c r="A97" s="73" t="n"/>
      <c r="B97" s="73" t="n"/>
      <c r="C97" s="73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idden="1" ht="17.25" customFormat="1" customHeight="1" s="3">
      <c r="A98" s="73" t="n"/>
      <c r="B98" s="73" t="n"/>
      <c r="C98" s="73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idden="1" ht="17.25" customFormat="1" customHeight="1" s="3">
      <c r="A99" s="73" t="n"/>
      <c r="B99" s="73" t="n"/>
      <c r="C99" s="73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idden="1" ht="17.25" customFormat="1" customHeight="1" s="3" thickBot="1">
      <c r="A100" s="73" t="n"/>
      <c r="B100" s="73" t="n"/>
      <c r="C100" s="73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A101" s="73" t="n"/>
      <c r="B101" s="73" t="n"/>
      <c r="C101" s="73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A102" s="73" t="n"/>
      <c r="B102" s="73" t="n"/>
      <c r="C102" s="73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A103" s="73" t="n"/>
      <c r="B103" s="73" t="n"/>
      <c r="C103" s="73" t="n"/>
    </row>
    <row r="104" ht="17.25" customHeight="1">
      <c r="A104" s="73" t="n"/>
      <c r="B104" s="73" t="n"/>
      <c r="C104" s="73" t="n"/>
    </row>
    <row r="105" ht="17.25" customHeight="1">
      <c r="A105" s="73" t="n"/>
      <c r="B105" s="73" t="n"/>
      <c r="C105" s="73" t="n"/>
    </row>
    <row r="106" ht="17.25" customHeight="1">
      <c r="A106" s="73" t="n"/>
      <c r="B106" s="73" t="n"/>
      <c r="C106" s="73" t="n"/>
    </row>
    <row r="107" ht="17.25" customHeight="1">
      <c r="A107" s="73" t="n"/>
      <c r="B107" s="73" t="n"/>
      <c r="C107" s="73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0"/>
    <pageSetUpPr/>
  </sheetPr>
  <dimension ref="A1:AS632"/>
  <sheetViews>
    <sheetView showGridLines="0" topLeftCell="AB1" zoomScale="115" workbookViewId="0">
      <selection activeCell="A1" sqref="A1:AA1048576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_xlfn.XLOOKUP(G3,A2:A106,D2:D106)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_xlfn.XLOOKUP(G4,A2:A106,D2:D106)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_xlfn.XLOOKUP(G5,A2:A106,D2:D106)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_xlfn.XLOOKUP(G6,A2:A106,D2:D106)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_xlfn.XLOOKUP(G7,A2:A106,D2:D106)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_xlfn.XLOOKUP(G8,A2:A106,D2:D106)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_xlfn.XLOOKUP(G9,A2:A106,D2:D106)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_xlfn.XLOOKUP(G10,A2:A106,D2:D106)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_xlfn.XLOOKUP(G11,A2:A106,D2:D106)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_xlfn.XLOOKUP(G12,A2:A106,D2:D106)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_xlfn.XLOOKUP(G13,A2:A106,D2:D106)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_xlfn.XLOOKUP(G14,A2:A106,D2:D106)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_xlfn.XLOOKUP(G15,A2:A106,D2:D106)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_xlfn.XLOOKUP(G16,A2:A106,D2:D106)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_xlfn.XLOOKUP(G17,A2:A106,D2:D106)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 thickBot="1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_xlfn.XLOOKUP(G18,A2:A106,D2:D106)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idden="1" ht="19.5" customFormat="1" customHeight="1" s="3">
      <c r="A19" s="30" t="n"/>
      <c r="B19" s="40" t="n"/>
      <c r="C19" s="40" t="n"/>
      <c r="D19" s="30" t="n"/>
      <c r="E19" s="34" t="n"/>
      <c r="F19" s="30" t="n"/>
      <c r="G19" s="9" t="n"/>
      <c r="H19" s="20" t="n"/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idden="1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idden="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idden="1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idden="1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idden="1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idden="1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idden="1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idden="1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idden="1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idden="1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idden="1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idden="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idden="1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idden="1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idden="1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idden="1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idden="1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idden="1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idden="1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idden="1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idden="1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idden="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idden="1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idden="1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idden="1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idden="1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idden="1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idden="1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idden="1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idden="1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idden="1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idden="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idden="1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idden="1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idden="1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idden="1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idden="1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idden="1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idden="1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idden="1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idden="1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idden="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idden="1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idden="1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idden="1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idden="1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idden="1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idden="1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idden="1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idden="1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idden="1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idden="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idden="1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idden="1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idden="1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idden="1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idden="1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idden="1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idden="1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idden="1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idden="1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idden="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idden="1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idden="1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idden="1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idden="1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idden="1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idden="1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idden="1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idden="1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idden="1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idden="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idden="1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idden="1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idden="1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idden="1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idden="1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idden="1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idden="1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idden="1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idden="1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N1" workbookViewId="0">
      <selection activeCell="AS8" sqref="AS8"/>
    </sheetView>
  </sheetViews>
  <sheetFormatPr baseColWidth="10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3">
    <outlinePr summaryBelow="0"/>
    <pageSetUpPr/>
  </sheetPr>
  <dimension ref="A1:AS632"/>
  <sheetViews>
    <sheetView showGridLines="0" topLeftCell="AB1" zoomScale="115" workbookViewId="0">
      <selection activeCell="A1" sqref="A1:AA1048576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_xlfn.XLOOKUP(G3,A2:A106,D2:D106)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_xlfn.XLOOKUP(G4,A2:A106,D2:D106)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_xlfn.XLOOKUP(G5,A2:A106,D2:D106)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_xlfn.XLOOKUP(G6,A2:A106,D2:D106)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_xlfn.XLOOKUP(G7,A2:A106,D2:D106)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_xlfn.XLOOKUP(G8,A2:A106,D2:D106)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_xlfn.XLOOKUP(G9,A2:A106,D2:D106)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_xlfn.XLOOKUP(G10,A2:A106,D2:D106)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_xlfn.XLOOKUP(G11,A2:A106,D2:D106)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_xlfn.XLOOKUP(G12,A2:A106,D2:D106)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_xlfn.XLOOKUP(G13,A2:A106,D2:D106)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_xlfn.XLOOKUP(G14,A2:A106,D2:D106)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_xlfn.XLOOKUP(G15,A2:A106,D2:D106)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_xlfn.XLOOKUP(G16,A2:A106,D2:D106)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_xlfn.XLOOKUP(G17,A2:A106,D2:D106)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_xlfn.XLOOKUP(G18,A2:A106,D2:D106)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t="19.5" customFormat="1" customHeight="1" s="3" thickBot="1">
      <c r="A19" s="30" t="n"/>
      <c r="B19" s="40" t="n"/>
      <c r="C19" s="40" t="n"/>
      <c r="D19" s="30" t="n"/>
      <c r="E19" s="34" t="n"/>
      <c r="F19" s="30" t="n"/>
      <c r="G19" s="9" t="n"/>
      <c r="H19" s="20">
        <f>_xlfn.XLOOKUP(G19,A2:A106,D2:D106)</f>
        <v/>
      </c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idden="1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idden="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idden="1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idden="1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idden="1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idden="1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idden="1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idden="1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idden="1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idden="1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idden="1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idden="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idden="1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idden="1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idden="1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idden="1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idden="1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idden="1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idden="1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idden="1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idden="1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idden="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idden="1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idden="1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idden="1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idden="1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idden="1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idden="1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idden="1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idden="1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idden="1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idden="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idden="1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idden="1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idden="1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idden="1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idden="1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idden="1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idden="1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idden="1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idden="1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idden="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idden="1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idden="1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idden="1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idden="1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idden="1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idden="1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idden="1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idden="1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idden="1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idden="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idden="1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idden="1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idden="1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idden="1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idden="1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idden="1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idden="1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idden="1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idden="1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idden="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idden="1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idden="1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idden="1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idden="1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idden="1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idden="1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idden="1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idden="1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idden="1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idden="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idden="1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idden="1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idden="1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idden="1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idden="1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idden="1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idden="1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idden="1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idden="1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SUM(S3:S19)</f>
        <v/>
      </c>
      <c r="T101" s="18">
        <f>SUM(T3:T19)</f>
        <v/>
      </c>
      <c r="U101" s="18">
        <f>SUM(U3:U19)</f>
        <v/>
      </c>
      <c r="V101" s="18">
        <f>SUM(V3:V19)</f>
        <v/>
      </c>
      <c r="W101" s="47">
        <f>SUM(W3:W19)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4">
    <outlinePr summaryBelow="0"/>
    <pageSetUpPr/>
  </sheetPr>
  <dimension ref="A1:AS632"/>
  <sheetViews>
    <sheetView showGridLines="0" topLeftCell="AB1" zoomScale="115" workbookViewId="0">
      <selection activeCell="A1" sqref="A1:AA1048576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73" t="n"/>
      <c r="B3" s="73" t="n"/>
      <c r="C3" s="73" t="n"/>
      <c r="D3" s="73" t="n"/>
      <c r="E3" s="34" t="n"/>
      <c r="F3" s="30" t="n"/>
      <c r="G3" s="73" t="n"/>
      <c r="H3" s="20">
        <f>_xlfn.XLOOKUP(G3,A1:A104,D1:D104)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73" t="n"/>
      <c r="B4" s="73" t="n"/>
      <c r="C4" s="73" t="n"/>
      <c r="D4" s="73" t="n"/>
      <c r="E4" s="34" t="n"/>
      <c r="F4" s="30" t="n"/>
      <c r="G4" s="73" t="n"/>
      <c r="H4" s="20">
        <f>_xlfn.XLOOKUP(G4,A2:A93,D2:D93)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73" t="n"/>
      <c r="B5" s="73" t="n"/>
      <c r="C5" s="73" t="n"/>
      <c r="D5" s="73" t="n"/>
      <c r="E5" s="34" t="n"/>
      <c r="F5" s="30" t="n"/>
      <c r="G5" s="73" t="n"/>
      <c r="H5" s="20">
        <f>_xlfn.XLOOKUP(G5,A2:A93,D2:D93)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73" t="n"/>
      <c r="B6" s="73" t="n"/>
      <c r="C6" s="73" t="n"/>
      <c r="D6" s="73" t="n"/>
      <c r="E6" s="34" t="n"/>
      <c r="F6" s="30" t="n"/>
      <c r="G6" s="73" t="n"/>
      <c r="H6" s="20">
        <f>_xlfn.XLOOKUP(G6,A1:A100,D1:D100)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73" t="n"/>
      <c r="B7" s="73" t="n"/>
      <c r="C7" s="73" t="n"/>
      <c r="D7" s="73" t="n"/>
      <c r="E7" s="34" t="n"/>
      <c r="F7" s="30" t="n"/>
      <c r="G7" s="73" t="n"/>
      <c r="H7" s="20">
        <f>_xlfn.XLOOKUP(G7,A2:A99,D2:D99)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73" t="n"/>
      <c r="B8" s="73" t="n"/>
      <c r="C8" s="73" t="n"/>
      <c r="D8" s="73" t="n"/>
      <c r="E8" s="34" t="n"/>
      <c r="F8" s="30" t="n"/>
      <c r="G8" s="73" t="n"/>
      <c r="H8" s="20">
        <f>_xlfn.XLOOKUP(G8,A1:A101,D1:D101)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73" t="n"/>
      <c r="B9" s="73" t="n"/>
      <c r="C9" s="73" t="n"/>
      <c r="D9" s="73" t="n"/>
      <c r="E9" s="34" t="n"/>
      <c r="F9" s="30" t="n"/>
      <c r="G9" s="73" t="n"/>
      <c r="H9" s="20">
        <f>_xlfn.XLOOKUP(G9,A1:A99,D1:D99)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73" t="n"/>
      <c r="B10" s="73" t="n"/>
      <c r="C10" s="73" t="n"/>
      <c r="D10" s="73" t="n"/>
      <c r="E10" s="34" t="n"/>
      <c r="F10" s="30" t="n"/>
      <c r="G10" s="73" t="n"/>
      <c r="H10" s="20">
        <f>_xlfn.XLOOKUP(G10,A3:A107,D3:D107)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73" t="n"/>
      <c r="B11" s="73" t="n"/>
      <c r="C11" s="73" t="n"/>
      <c r="D11" s="73" t="n"/>
      <c r="E11" s="34" t="n"/>
      <c r="F11" s="30" t="n"/>
      <c r="G11" s="73" t="n"/>
      <c r="H11" s="20">
        <f>_xlfn.XLOOKUP(G11,A9:A109,D9:D109)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73" t="n"/>
      <c r="B12" s="73" t="n"/>
      <c r="C12" s="73" t="n"/>
      <c r="D12" s="73" t="n"/>
      <c r="E12" s="34" t="n"/>
      <c r="F12" s="30" t="n"/>
      <c r="G12" s="73" t="n"/>
      <c r="H12" s="20">
        <f>_xlfn.XLOOKUP(G12,A10:A108,D10:D108)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73" t="n"/>
      <c r="B13" s="73" t="n"/>
      <c r="C13" s="73" t="n"/>
      <c r="D13" s="73" t="n"/>
      <c r="E13" s="34" t="n"/>
      <c r="F13" s="30" t="n"/>
      <c r="G13" s="73" t="n"/>
      <c r="H13" s="20">
        <f>_xlfn.XLOOKUP(G13,A12:A116,D12:D116)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73" t="n"/>
      <c r="B14" s="73" t="n"/>
      <c r="C14" s="73" t="n"/>
      <c r="D14" s="73" t="n"/>
      <c r="E14" s="34" t="n"/>
      <c r="F14" s="30" t="n"/>
      <c r="G14" s="73" t="n"/>
      <c r="H14" s="20">
        <f>_xlfn.XLOOKUP(G14,A11:A113,D11:D113)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73" t="n"/>
      <c r="B15" s="73" t="n"/>
      <c r="C15" s="73" t="n"/>
      <c r="D15" s="73" t="n"/>
      <c r="E15" s="34" t="n"/>
      <c r="F15" s="30" t="n"/>
      <c r="G15" s="73" t="n"/>
      <c r="H15" s="20">
        <f>_xlfn.XLOOKUP(G15,A13:A117,D13:D117)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73" t="n"/>
      <c r="B16" s="73" t="n"/>
      <c r="C16" s="73" t="n"/>
      <c r="D16" s="73" t="n"/>
      <c r="E16" s="34" t="n"/>
      <c r="F16" s="30" t="n"/>
      <c r="G16" s="73" t="n"/>
      <c r="H16" s="20">
        <f>_xlfn.XLOOKUP(G16,A12:A116,D12:D116)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73" t="n"/>
      <c r="B17" s="73" t="n"/>
      <c r="C17" s="73" t="n"/>
      <c r="D17" s="73" t="n"/>
      <c r="E17" s="34" t="n"/>
      <c r="F17" s="30" t="n"/>
      <c r="G17" s="73" t="n"/>
      <c r="H17" s="20">
        <f>_xlfn.XLOOKUP(G17,A15:A112,D15:D112)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73" t="n"/>
      <c r="B18" s="73" t="n"/>
      <c r="C18" s="73" t="n"/>
      <c r="D18" s="73" t="n"/>
      <c r="E18" s="34" t="n"/>
      <c r="F18" s="30" t="n"/>
      <c r="G18" s="73" t="n"/>
      <c r="H18" s="20">
        <f>_xlfn.XLOOKUP(G18,A10:A109,D10:D109)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t="19.5" customFormat="1" customHeight="1" s="3">
      <c r="A19" s="73" t="n"/>
      <c r="B19" s="73" t="n"/>
      <c r="C19" s="73" t="n"/>
      <c r="D19" s="73" t="n"/>
      <c r="E19" s="34" t="n"/>
      <c r="F19" s="30" t="n"/>
      <c r="G19" s="73" t="n"/>
      <c r="H19" s="20">
        <f>_xlfn.XLOOKUP(G19,A11:A110,D11:D110)</f>
        <v/>
      </c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t="19.5" customFormat="1" customHeight="1" s="3" thickBot="1">
      <c r="A20" s="73" t="n"/>
      <c r="B20" s="73" t="n"/>
      <c r="C20" s="73" t="n"/>
      <c r="D20" s="73" t="n"/>
      <c r="E20" s="34" t="n"/>
      <c r="F20" s="30" t="n"/>
      <c r="G20" s="73" t="n"/>
      <c r="H20" s="20">
        <f>_xlfn.XLOOKUP(G20,A12:A111,D12:D111)</f>
        <v/>
      </c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idden="1" ht="19.5" customFormat="1" customHeight="1" s="3">
      <c r="A21" s="73" t="n"/>
      <c r="B21" s="73" t="n"/>
      <c r="C21" s="73" t="n"/>
      <c r="D21" s="73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idden="1" ht="19.5" customFormat="1" customHeight="1" s="3">
      <c r="A22" s="73" t="n"/>
      <c r="B22" s="73" t="n"/>
      <c r="C22" s="73" t="n"/>
      <c r="D22" s="73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idden="1" ht="19.5" customFormat="1" customHeight="1" s="3">
      <c r="A23" s="73" t="n"/>
      <c r="B23" s="73" t="n"/>
      <c r="C23" s="73" t="n"/>
      <c r="D23" s="73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idden="1" ht="18.75" customFormat="1" customHeight="1" s="3">
      <c r="A24" s="73" t="n"/>
      <c r="B24" s="73" t="n"/>
      <c r="C24" s="73" t="n"/>
      <c r="D24" s="73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idden="1" ht="18.75" customFormat="1" customHeight="1" s="3">
      <c r="A25" s="73" t="n"/>
      <c r="B25" s="73" t="n"/>
      <c r="C25" s="73" t="n"/>
      <c r="D25" s="73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idden="1" ht="18.75" customFormat="1" customHeight="1" s="3">
      <c r="A26" s="73" t="n"/>
      <c r="B26" s="73" t="n"/>
      <c r="C26" s="73" t="n"/>
      <c r="D26" s="73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idden="1" ht="18.75" customFormat="1" customHeight="1" s="3">
      <c r="A27" s="73" t="n"/>
      <c r="B27" s="73" t="n"/>
      <c r="C27" s="73" t="n"/>
      <c r="D27" s="73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idden="1" ht="18.75" customFormat="1" customHeight="1" s="3">
      <c r="A28" s="73" t="n"/>
      <c r="B28" s="73" t="n"/>
      <c r="C28" s="73" t="n"/>
      <c r="D28" s="73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idden="1" ht="18.75" customFormat="1" customHeight="1" s="3">
      <c r="A29" s="73" t="n"/>
      <c r="B29" s="73" t="n"/>
      <c r="C29" s="73" t="n"/>
      <c r="D29" s="73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idden="1" ht="18.75" customFormat="1" customHeight="1" s="3">
      <c r="A30" s="73" t="n"/>
      <c r="B30" s="73" t="n"/>
      <c r="C30" s="73" t="n"/>
      <c r="D30" s="73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idden="1" ht="18.75" customFormat="1" customHeight="1" s="3">
      <c r="A31" s="73" t="n"/>
      <c r="B31" s="73" t="n"/>
      <c r="C31" s="73" t="n"/>
      <c r="D31" s="73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idden="1" ht="18.75" customFormat="1" customHeight="1" s="3">
      <c r="A32" s="73" t="n"/>
      <c r="B32" s="73" t="n"/>
      <c r="C32" s="73" t="n"/>
      <c r="D32" s="73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idden="1" ht="18" customFormat="1" customHeight="1" s="3">
      <c r="A33" s="73" t="n"/>
      <c r="B33" s="73" t="n"/>
      <c r="C33" s="73" t="n"/>
      <c r="D33" s="73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idden="1" ht="18" customFormat="1" customHeight="1" s="3">
      <c r="A34" s="73" t="n"/>
      <c r="B34" s="73" t="n"/>
      <c r="C34" s="73" t="n"/>
      <c r="D34" s="73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idden="1" ht="18" customFormat="1" customHeight="1" s="3">
      <c r="A35" s="73" t="n"/>
      <c r="B35" s="73" t="n"/>
      <c r="C35" s="73" t="n"/>
      <c r="D35" s="73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idden="1" ht="18" customFormat="1" customHeight="1" s="3">
      <c r="A36" s="73" t="n"/>
      <c r="B36" s="73" t="n"/>
      <c r="C36" s="73" t="n"/>
      <c r="D36" s="73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idden="1" ht="18" customFormat="1" customHeight="1" s="3">
      <c r="A37" s="73" t="n"/>
      <c r="B37" s="73" t="n"/>
      <c r="C37" s="73" t="n"/>
      <c r="D37" s="73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idden="1" ht="18" customFormat="1" customHeight="1" s="3">
      <c r="A38" s="73" t="n"/>
      <c r="B38" s="73" t="n"/>
      <c r="C38" s="73" t="n"/>
      <c r="D38" s="73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idden="1" ht="18" customFormat="1" customHeight="1" s="3">
      <c r="A39" s="73" t="n"/>
      <c r="B39" s="73" t="n"/>
      <c r="C39" s="73" t="n"/>
      <c r="D39" s="73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idden="1" ht="18" customFormat="1" customHeight="1" s="3">
      <c r="A40" s="73" t="n"/>
      <c r="B40" s="73" t="n"/>
      <c r="C40" s="73" t="n"/>
      <c r="D40" s="73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idden="1" ht="18" customFormat="1" customHeight="1" s="3">
      <c r="A41" s="73" t="n"/>
      <c r="B41" s="73" t="n"/>
      <c r="C41" s="73" t="n"/>
      <c r="D41" s="73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idden="1" ht="18" customFormat="1" customHeight="1" s="3">
      <c r="A42" s="73" t="n"/>
      <c r="B42" s="73" t="n"/>
      <c r="C42" s="73" t="n"/>
      <c r="D42" s="73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idden="1" ht="18" customFormat="1" customHeight="1" s="3">
      <c r="A43" s="73" t="n"/>
      <c r="B43" s="73" t="n"/>
      <c r="C43" s="73" t="n"/>
      <c r="D43" s="73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idden="1" ht="18" customFormat="1" customHeight="1" s="3">
      <c r="A44" s="73" t="n"/>
      <c r="B44" s="73" t="n"/>
      <c r="C44" s="73" t="n"/>
      <c r="D44" s="73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idden="1" ht="18" customFormat="1" customHeight="1" s="3">
      <c r="A45" s="73" t="n"/>
      <c r="B45" s="73" t="n"/>
      <c r="C45" s="73" t="n"/>
      <c r="D45" s="73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idden="1" ht="18" customFormat="1" customHeight="1" s="3">
      <c r="A46" s="73" t="n"/>
      <c r="B46" s="73" t="n"/>
      <c r="C46" s="73" t="n"/>
      <c r="D46" s="73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idden="1" ht="18" customFormat="1" customHeight="1" s="3">
      <c r="A47" s="73" t="n"/>
      <c r="B47" s="73" t="n"/>
      <c r="C47" s="73" t="n"/>
      <c r="D47" s="73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idden="1" ht="18" customFormat="1" customHeight="1" s="3">
      <c r="A48" s="73" t="n"/>
      <c r="B48" s="73" t="n"/>
      <c r="C48" s="73" t="n"/>
      <c r="D48" s="73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idden="1" ht="18" customFormat="1" customHeight="1" s="3">
      <c r="A49" s="73" t="n"/>
      <c r="B49" s="73" t="n"/>
      <c r="C49" s="73" t="n"/>
      <c r="D49" s="73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idden="1" ht="18" customFormat="1" customHeight="1" s="3">
      <c r="A50" s="73" t="n"/>
      <c r="B50" s="73" t="n"/>
      <c r="C50" s="73" t="n"/>
      <c r="D50" s="73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idden="1" ht="18" customFormat="1" customHeight="1" s="3">
      <c r="A51" s="73" t="n"/>
      <c r="B51" s="73" t="n"/>
      <c r="C51" s="73" t="n"/>
      <c r="D51" s="73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idden="1" ht="18" customFormat="1" customHeight="1" s="3">
      <c r="A52" s="73" t="n"/>
      <c r="B52" s="73" t="n"/>
      <c r="C52" s="73" t="n"/>
      <c r="D52" s="73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idden="1" ht="18" customFormat="1" customHeight="1" s="3">
      <c r="A53" s="73" t="n"/>
      <c r="B53" s="73" t="n"/>
      <c r="C53" s="73" t="n"/>
      <c r="D53" s="73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idden="1" ht="18" customFormat="1" customHeight="1" s="3">
      <c r="A54" s="73" t="n"/>
      <c r="B54" s="73" t="n"/>
      <c r="C54" s="73" t="n"/>
      <c r="D54" s="73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idden="1" ht="18" customFormat="1" customHeight="1" s="3">
      <c r="A55" s="73" t="n"/>
      <c r="B55" s="73" t="n"/>
      <c r="C55" s="73" t="n"/>
      <c r="D55" s="73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idden="1" ht="18" customFormat="1" customHeight="1" s="3">
      <c r="A56" s="73" t="n"/>
      <c r="B56" s="73" t="n"/>
      <c r="C56" s="73" t="n"/>
      <c r="D56" s="73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idden="1" ht="18" customFormat="1" customHeight="1" s="3">
      <c r="A57" s="73" t="n"/>
      <c r="B57" s="73" t="n"/>
      <c r="C57" s="73" t="n"/>
      <c r="D57" s="73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idden="1" ht="18" customFormat="1" customHeight="1" s="3">
      <c r="A58" s="73" t="n"/>
      <c r="B58" s="73" t="n"/>
      <c r="C58" s="73" t="n"/>
      <c r="D58" s="73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idden="1" ht="18" customFormat="1" customHeight="1" s="3">
      <c r="A59" s="73" t="n"/>
      <c r="B59" s="73" t="n"/>
      <c r="C59" s="73" t="n"/>
      <c r="D59" s="73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idden="1" ht="18" customFormat="1" customHeight="1" s="3">
      <c r="A60" s="73" t="n"/>
      <c r="B60" s="73" t="n"/>
      <c r="C60" s="73" t="n"/>
      <c r="D60" s="73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idden="1" ht="18" customFormat="1" customHeight="1" s="3">
      <c r="A61" s="73" t="n"/>
      <c r="B61" s="73" t="n"/>
      <c r="C61" s="73" t="n"/>
      <c r="D61" s="73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idden="1" ht="18" customFormat="1" customHeight="1" s="3">
      <c r="A62" s="73" t="n"/>
      <c r="B62" s="73" t="n"/>
      <c r="C62" s="73" t="n"/>
      <c r="D62" s="73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idden="1" ht="18" customFormat="1" customHeight="1" s="3">
      <c r="A63" s="73" t="n"/>
      <c r="B63" s="73" t="n"/>
      <c r="C63" s="73" t="n"/>
      <c r="D63" s="73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idden="1" ht="18" customFormat="1" customHeight="1" s="3">
      <c r="A64" s="73" t="n"/>
      <c r="B64" s="73" t="n"/>
      <c r="C64" s="73" t="n"/>
      <c r="D64" s="73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idden="1" ht="18" customFormat="1" customHeight="1" s="3">
      <c r="A65" s="73" t="n"/>
      <c r="B65" s="73" t="n"/>
      <c r="C65" s="73" t="n"/>
      <c r="D65" s="73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idden="1" ht="18" customFormat="1" customHeight="1" s="3">
      <c r="A66" s="73" t="n"/>
      <c r="B66" s="73" t="n"/>
      <c r="C66" s="73" t="n"/>
      <c r="D66" s="73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idden="1" ht="18" customFormat="1" customHeight="1" s="3">
      <c r="A67" s="73" t="n"/>
      <c r="B67" s="73" t="n"/>
      <c r="C67" s="73" t="n"/>
      <c r="D67" s="73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idden="1" ht="18" customFormat="1" customHeight="1" s="3">
      <c r="A68" s="73" t="n"/>
      <c r="B68" s="73" t="n"/>
      <c r="C68" s="73" t="n"/>
      <c r="D68" s="73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idden="1" ht="18" customFormat="1" customHeight="1" s="3">
      <c r="A69" s="73" t="n"/>
      <c r="B69" s="73" t="n"/>
      <c r="C69" s="73" t="n"/>
      <c r="D69" s="73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idden="1" ht="18" customFormat="1" customHeight="1" s="3">
      <c r="A70" s="73" t="n"/>
      <c r="B70" s="73" t="n"/>
      <c r="C70" s="73" t="n"/>
      <c r="D70" s="73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idden="1" ht="18" customFormat="1" customHeight="1" s="3">
      <c r="A71" s="73" t="n"/>
      <c r="B71" s="73" t="n"/>
      <c r="C71" s="73" t="n"/>
      <c r="D71" s="73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idden="1" ht="18" customFormat="1" customHeight="1" s="3">
      <c r="A72" s="73" t="n"/>
      <c r="B72" s="73" t="n"/>
      <c r="C72" s="73" t="n"/>
      <c r="D72" s="73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idden="1" ht="18" customFormat="1" customHeight="1" s="3">
      <c r="A73" s="73" t="n"/>
      <c r="B73" s="73" t="n"/>
      <c r="C73" s="73" t="n"/>
      <c r="D73" s="73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idden="1" ht="18" customFormat="1" customHeight="1" s="3">
      <c r="A74" s="73" t="n"/>
      <c r="B74" s="73" t="n"/>
      <c r="C74" s="73" t="n"/>
      <c r="D74" s="73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idden="1" ht="18" customFormat="1" customHeight="1" s="3">
      <c r="A75" s="73" t="n"/>
      <c r="B75" s="73" t="n"/>
      <c r="C75" s="73" t="n"/>
      <c r="D75" s="73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idden="1" ht="18" customFormat="1" customHeight="1" s="3">
      <c r="A76" s="73" t="n"/>
      <c r="B76" s="73" t="n"/>
      <c r="C76" s="73" t="n"/>
      <c r="D76" s="73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idden="1" ht="18" customFormat="1" customHeight="1" s="3">
      <c r="A77" s="73" t="n"/>
      <c r="B77" s="73" t="n"/>
      <c r="C77" s="73" t="n"/>
      <c r="D77" s="73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idden="1" ht="18" customFormat="1" customHeight="1" s="3">
      <c r="A78" s="73" t="n"/>
      <c r="B78" s="73" t="n"/>
      <c r="C78" s="73" t="n"/>
      <c r="D78" s="73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idden="1" ht="18" customFormat="1" customHeight="1" s="3">
      <c r="A79" s="73" t="n"/>
      <c r="B79" s="73" t="n"/>
      <c r="C79" s="73" t="n"/>
      <c r="D79" s="73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idden="1" ht="18" customFormat="1" customHeight="1" s="3">
      <c r="A80" s="73" t="n"/>
      <c r="B80" s="73" t="n"/>
      <c r="C80" s="73" t="n"/>
      <c r="D80" s="73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idden="1" ht="18" customFormat="1" customHeight="1" s="3">
      <c r="A81" s="73" t="n"/>
      <c r="B81" s="73" t="n"/>
      <c r="C81" s="73" t="n"/>
      <c r="D81" s="73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idden="1" ht="18" customFormat="1" customHeight="1" s="3">
      <c r="A82" s="73" t="n"/>
      <c r="B82" s="73" t="n"/>
      <c r="C82" s="73" t="n"/>
      <c r="D82" s="73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idden="1" ht="18" customFormat="1" customHeight="1" s="3">
      <c r="A83" s="73" t="n"/>
      <c r="B83" s="73" t="n"/>
      <c r="C83" s="73" t="n"/>
      <c r="D83" s="73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idden="1" ht="18" customFormat="1" customHeight="1" s="3">
      <c r="A84" s="73" t="n"/>
      <c r="B84" s="73" t="n"/>
      <c r="C84" s="73" t="n"/>
      <c r="D84" s="73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idden="1" ht="18" customFormat="1" customHeight="1" s="3">
      <c r="A85" s="73" t="n"/>
      <c r="B85" s="73" t="n"/>
      <c r="C85" s="73" t="n"/>
      <c r="D85" s="73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idden="1" ht="18" customFormat="1" customHeight="1" s="3">
      <c r="A86" s="73" t="n"/>
      <c r="B86" s="73" t="n"/>
      <c r="C86" s="73" t="n"/>
      <c r="D86" s="73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idden="1" ht="18" customFormat="1" customHeight="1" s="3">
      <c r="A87" s="73" t="n"/>
      <c r="B87" s="73" t="n"/>
      <c r="C87" s="73" t="n"/>
      <c r="D87" s="73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idden="1" ht="18" customFormat="1" customHeight="1" s="3">
      <c r="A88" s="73" t="n"/>
      <c r="B88" s="73" t="n"/>
      <c r="C88" s="73" t="n"/>
      <c r="D88" s="73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idden="1" ht="18" customFormat="1" customHeight="1" s="3">
      <c r="A89" s="73" t="n"/>
      <c r="B89" s="73" t="n"/>
      <c r="C89" s="73" t="n"/>
      <c r="D89" s="73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idden="1" ht="18" customFormat="1" customHeight="1" s="3">
      <c r="A90" s="73" t="n"/>
      <c r="B90" s="73" t="n"/>
      <c r="C90" s="73" t="n"/>
      <c r="D90" s="73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idden="1" ht="18" customFormat="1" customHeight="1" s="3">
      <c r="A91" s="73" t="n"/>
      <c r="B91" s="73" t="n"/>
      <c r="C91" s="73" t="n"/>
      <c r="D91" s="73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idden="1" ht="18" customFormat="1" customHeight="1" s="3">
      <c r="A92" s="73" t="n"/>
      <c r="B92" s="73" t="n"/>
      <c r="C92" s="73" t="n"/>
      <c r="D92" s="73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idden="1" ht="17.25" customFormat="1" customHeight="1" s="3">
      <c r="A93" s="73" t="n"/>
      <c r="B93" s="73" t="n"/>
      <c r="C93" s="73" t="n"/>
      <c r="D93" s="73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idden="1" ht="17.25" customFormat="1" customHeight="1" s="3">
      <c r="A94" s="73" t="n"/>
      <c r="B94" s="73" t="n"/>
      <c r="C94" s="73" t="n"/>
      <c r="D94" s="73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idden="1" ht="17.25" customFormat="1" customHeight="1" s="3">
      <c r="A95" s="73" t="n"/>
      <c r="B95" s="73" t="n"/>
      <c r="C95" s="73" t="n"/>
      <c r="D95" s="73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idden="1" ht="17.25" customFormat="1" customHeight="1" s="3">
      <c r="A96" s="73" t="n"/>
      <c r="B96" s="73" t="n"/>
      <c r="C96" s="73" t="n"/>
      <c r="D96" s="73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idden="1" ht="17.25" customFormat="1" customHeight="1" s="3">
      <c r="A97" s="73" t="n"/>
      <c r="B97" s="73" t="n"/>
      <c r="C97" s="73" t="n"/>
      <c r="D97" s="73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idden="1" ht="17.25" customFormat="1" customHeight="1" s="3">
      <c r="A98" s="73" t="n"/>
      <c r="B98" s="73" t="n"/>
      <c r="C98" s="73" t="n"/>
      <c r="D98" s="73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idden="1" ht="17.25" customFormat="1" customHeight="1" s="3">
      <c r="A99" s="73" t="n"/>
      <c r="B99" s="73" t="n"/>
      <c r="C99" s="73" t="n"/>
      <c r="D99" s="73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idden="1" ht="17.25" customFormat="1" customHeight="1" s="3" thickBot="1">
      <c r="A100" s="73" t="n"/>
      <c r="B100" s="73" t="n"/>
      <c r="C100" s="73" t="n"/>
      <c r="D100" s="73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A101" s="73" t="n"/>
      <c r="B101" s="73" t="n"/>
      <c r="C101" s="73" t="n"/>
      <c r="D101" s="73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A102" s="73" t="n"/>
      <c r="B102" s="73" t="n"/>
      <c r="C102" s="73" t="n"/>
      <c r="D102" s="73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A103" s="73" t="n"/>
      <c r="B103" s="73" t="n"/>
      <c r="C103" s="73" t="n"/>
      <c r="D103" s="73" t="n"/>
    </row>
    <row r="104" ht="17.25" customHeight="1">
      <c r="A104" s="73" t="n"/>
      <c r="B104" s="73" t="n"/>
      <c r="C104" s="73" t="n"/>
      <c r="D104" s="73" t="n"/>
    </row>
    <row r="105" ht="17.25" customHeight="1">
      <c r="A105" s="73" t="n"/>
      <c r="B105" s="73" t="n"/>
      <c r="C105" s="73" t="n"/>
      <c r="D105" s="73" t="n"/>
    </row>
    <row r="106" ht="17.25" customHeight="1">
      <c r="A106" s="73" t="n"/>
      <c r="B106" s="73" t="n"/>
      <c r="C106" s="73" t="n"/>
      <c r="D106" s="73" t="n"/>
    </row>
    <row r="107" ht="17.25" customHeight="1">
      <c r="A107" s="73" t="n"/>
      <c r="B107" s="73" t="n"/>
      <c r="C107" s="73" t="n"/>
      <c r="D107" s="73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6">
    <outlinePr summaryBelow="0"/>
    <pageSetUpPr/>
  </sheetPr>
  <dimension ref="A1:AS632"/>
  <sheetViews>
    <sheetView showGridLines="0" topLeftCell="AB1" zoomScale="115" workbookViewId="0">
      <selection activeCell="A1" sqref="A1:AA1048576"/>
    </sheetView>
  </sheetViews>
  <sheetFormatPr baseColWidth="10" defaultColWidth="8.83203125" defaultRowHeight="17"/>
  <cols>
    <col hidden="1" width="13" customWidth="1" style="32" min="1" max="1"/>
    <col hidden="1" width="13" customWidth="1" style="42" min="2" max="3"/>
    <col hidden="1" width="13" customWidth="1" style="32" min="4" max="4"/>
    <col hidden="1" width="13" customWidth="1" style="36" min="5" max="5"/>
    <col hidden="1" width="13" customWidth="1" style="32" min="6" max="6"/>
    <col hidden="1" width="14.5" customWidth="1" style="10" min="7" max="7"/>
    <col hidden="1" width="20.33203125" customWidth="1" style="20" min="8" max="8"/>
    <col hidden="1" width="13" customWidth="1" style="43" min="9" max="9"/>
    <col hidden="1" width="13" customWidth="1" style="5" min="10" max="15"/>
    <col hidden="1" width="8.33203125" customWidth="1" style="3" min="16" max="16"/>
    <col hidden="1" width="19.5" customWidth="1" style="13" min="17" max="17"/>
    <col hidden="1" width="18.83203125" customWidth="1" style="12" min="18" max="18"/>
    <col hidden="1" width="8.83203125" customWidth="1" style="13" min="19" max="23"/>
    <col hidden="1" width="14.1640625" customWidth="1" style="46" min="24" max="24"/>
    <col hidden="1" width="12" customWidth="1" style="13" min="25" max="25"/>
    <col hidden="1"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_xlfn.XLOOKUP(G3,A2:A106,D2:D106)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_xlfn.XLOOKUP(G4,A2:A106,D2:D106)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_xlfn.XLOOKUP(G5,A2:A106,D2:D106)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_xlfn.XLOOKUP(G6,A2:A106,D2:D106)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_xlfn.XLOOKUP(G7,A2:A106,D2:D106)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_xlfn.XLOOKUP(G8,A2:A106,D2:D106)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_xlfn.XLOOKUP(G9,A2:A106,D2:D106)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_xlfn.XLOOKUP(G10,A2:A106,D2:D106)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_xlfn.XLOOKUP(G11,A2:A106,D2:D106)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_xlfn.XLOOKUP(G12,A2:A106,D2:D106)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_xlfn.XLOOKUP(G13,A2:A106,D2:D106)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_xlfn.XLOOKUP(G14,A2:A106,D2:D106)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_xlfn.XLOOKUP(G15,A2:A106,D2:D106)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_xlfn.XLOOKUP(G16,A2:A106,D2:D106)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_xlfn.XLOOKUP(G17,A2:A106,D2:D106)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_xlfn.XLOOKUP(G18,A2:A106,D2:D106)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t="19.5" customFormat="1" customHeight="1" s="3">
      <c r="A19" s="30" t="n"/>
      <c r="B19" s="40" t="n"/>
      <c r="C19" s="40" t="n"/>
      <c r="D19" s="30" t="n"/>
      <c r="E19" s="34" t="n"/>
      <c r="F19" s="30" t="n"/>
      <c r="G19" s="9" t="n"/>
      <c r="H19" s="20">
        <f>_xlfn.XLOOKUP(G19,A2:A106,D2:D106)</f>
        <v/>
      </c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>
        <f>_xlfn.XLOOKUP(G20,A2:A106,D2:D106)</f>
        <v/>
      </c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t="19.5" customFormat="1" customHeight="1" s="3" thickBot="1">
      <c r="A21" s="30" t="n"/>
      <c r="B21" s="40" t="n"/>
      <c r="C21" s="40" t="n"/>
      <c r="D21" s="30" t="n"/>
      <c r="E21" s="34" t="n"/>
      <c r="F21" s="30" t="n"/>
      <c r="G21" s="9" t="n"/>
      <c r="H21" s="20">
        <f>_xlfn.XLOOKUP(G21,A2:A106,D2:D106)</f>
        <v/>
      </c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idden="1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idden="1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idden="1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idden="1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idden="1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idden="1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idden="1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idden="1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idden="1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idden="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idden="1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idden="1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idden="1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idden="1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idden="1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idden="1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idden="1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idden="1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idden="1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idden="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idden="1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idden="1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idden="1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idden="1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idden="1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idden="1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idden="1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idden="1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idden="1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idden="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idden="1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idden="1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idden="1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idden="1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idden="1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idden="1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idden="1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idden="1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idden="1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idden="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idden="1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idden="1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idden="1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idden="1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idden="1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idden="1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idden="1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idden="1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idden="1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idden="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idden="1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idden="1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idden="1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idden="1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idden="1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idden="1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idden="1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idden="1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idden="1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idden="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idden="1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idden="1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idden="1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idden="1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idden="1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idden="1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idden="1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idden="1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idden="1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idden="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idden="1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idden="1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idden="1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idden="1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idden="1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idden="1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idden="1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idden="1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idden="1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SUM(S3:S21)</f>
        <v/>
      </c>
      <c r="T101" s="18">
        <f>SUM(T3:T21)</f>
        <v/>
      </c>
      <c r="U101" s="18">
        <f>SUM(U3:U21)</f>
        <v/>
      </c>
      <c r="V101" s="18">
        <f>SUM(V3:V21)</f>
        <v/>
      </c>
      <c r="W101" s="47">
        <f>SUM(W3:W21)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E1" workbookViewId="0">
      <selection activeCell="E1" sqref="A1:XFD1048576"/>
    </sheetView>
  </sheetViews>
  <sheetFormatPr baseColWidth="10"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" sqref="A1:XFD1048576"/>
    </sheetView>
  </sheetViews>
  <sheetFormatPr baseColWidth="10"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" sqref="A1:XFD1048576"/>
    </sheetView>
  </sheetViews>
  <sheetFormatPr baseColWidth="10"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5">
    <outlinePr summaryBelow="0"/>
    <pageSetUpPr/>
  </sheetPr>
  <dimension ref="A1:AS632"/>
  <sheetViews>
    <sheetView showGridLines="0" zoomScale="115" workbookViewId="0">
      <pane xSplit="1" topLeftCell="B1" activePane="topRight" state="frozen"/>
      <selection pane="topRight" activeCell="H3" sqref="H3"/>
    </sheetView>
  </sheetViews>
  <sheetFormatPr baseColWidth="10" defaultColWidth="8.83203125" defaultRowHeight="17"/>
  <cols>
    <col width="13" customWidth="1" style="32" min="1" max="1"/>
    <col width="13" customWidth="1" style="42" min="2" max="3"/>
    <col width="13" customWidth="1" style="32" min="4" max="4"/>
    <col width="13" customWidth="1" style="36" min="5" max="5"/>
    <col width="13" customWidth="1" style="32" min="6" max="6"/>
    <col width="14.5" customWidth="1" style="10" min="7" max="7"/>
    <col width="20.33203125" customWidth="1" style="20" min="8" max="8"/>
    <col width="13" customWidth="1" style="43" min="9" max="9"/>
    <col width="13" customWidth="1" style="5" min="10" max="15"/>
    <col width="8.33203125" customWidth="1" style="3" min="16" max="16"/>
    <col width="19.5" customWidth="1" style="13" min="17" max="17"/>
    <col width="18.83203125" customWidth="1" style="12" min="18" max="18"/>
    <col width="8.83203125" customWidth="1" style="13" min="19" max="23"/>
    <col width="14.1640625" customWidth="1" style="46" min="24" max="24"/>
    <col width="12" customWidth="1" style="13" min="25" max="25"/>
    <col width="8.83203125" customWidth="1" style="4" min="26" max="27"/>
    <col width="20.33203125" customWidth="1" style="62" min="28" max="28"/>
    <col width="13.5" customWidth="1" style="3" min="29" max="29"/>
    <col width="13.5" customWidth="1" style="4" min="30" max="35"/>
    <col width="8.83203125" customWidth="1" style="56" min="36" max="36"/>
    <col width="19.33203125" customWidth="1" style="4" min="37" max="37"/>
    <col width="11.6640625" customWidth="1" style="4" min="38" max="38"/>
    <col width="8.83203125" customWidth="1" style="4" min="39" max="43"/>
    <col width="14.5" customWidth="1" style="4" min="44" max="44"/>
    <col width="11.83203125" customWidth="1" style="4" min="45" max="45"/>
    <col width="8.83203125" customWidth="1" style="4" min="46" max="66"/>
    <col width="8.83203125" customWidth="1" style="4" min="67" max="16384"/>
  </cols>
  <sheetData>
    <row r="1" ht="19" customFormat="1" customHeight="1" s="3" thickBot="1" thickTop="1">
      <c r="A1" s="30" t="n"/>
      <c r="B1" s="39" t="n"/>
      <c r="C1" s="39" t="n"/>
      <c r="D1" s="30" t="n"/>
      <c r="E1" s="31" t="n"/>
      <c r="F1" s="30" t="n"/>
      <c r="G1" s="11" t="n"/>
      <c r="H1" s="23" t="inlineStr">
        <is>
          <t>War</t>
        </is>
      </c>
      <c r="I1" s="24" t="n">
        <v>1</v>
      </c>
      <c r="J1" s="24" t="n">
        <v>2</v>
      </c>
      <c r="K1" s="24" t="n">
        <v>3</v>
      </c>
      <c r="L1" s="24" t="n">
        <v>4</v>
      </c>
      <c r="M1" s="24" t="n">
        <v>5</v>
      </c>
      <c r="N1" s="24" t="n">
        <v>6</v>
      </c>
      <c r="O1" s="25" t="n">
        <v>7</v>
      </c>
      <c r="P1" s="26" t="n"/>
      <c r="Q1" s="21" t="inlineStr">
        <is>
          <t>% max stars earned</t>
        </is>
      </c>
      <c r="R1" s="22" t="inlineStr">
        <is>
          <t>Total stars</t>
        </is>
      </c>
      <c r="S1" s="21" t="inlineStr">
        <is>
          <t>Triples</t>
        </is>
      </c>
      <c r="T1" s="21" t="inlineStr">
        <is>
          <t>Doubles</t>
        </is>
      </c>
      <c r="U1" s="21" t="inlineStr">
        <is>
          <t>Singles</t>
        </is>
      </c>
      <c r="V1" s="21" t="inlineStr">
        <is>
          <t>Fails</t>
        </is>
      </c>
      <c r="W1" s="21" t="inlineStr">
        <is>
          <t>Misses</t>
        </is>
      </c>
      <c r="X1" s="21" t="inlineStr">
        <is>
          <t>% Destruction</t>
        </is>
      </c>
      <c r="Y1" s="27" t="inlineStr">
        <is>
          <t>Opted out</t>
        </is>
      </c>
      <c r="Z1" s="5" t="n"/>
      <c r="AA1" s="5" t="n"/>
      <c r="AB1" s="59" t="inlineStr">
        <is>
          <t>War</t>
        </is>
      </c>
      <c r="AC1" s="24" t="n">
        <v>1</v>
      </c>
      <c r="AD1" s="24" t="n">
        <v>2</v>
      </c>
      <c r="AE1" s="24" t="n">
        <v>3</v>
      </c>
      <c r="AF1" s="24" t="n">
        <v>4</v>
      </c>
      <c r="AG1" s="24" t="n">
        <v>5</v>
      </c>
      <c r="AH1" s="24" t="n">
        <v>6</v>
      </c>
      <c r="AI1" s="25" t="n">
        <v>7</v>
      </c>
      <c r="AJ1" s="54" t="n"/>
      <c r="AK1" s="21" t="inlineStr">
        <is>
          <t>% max stars earned</t>
        </is>
      </c>
      <c r="AL1" s="22" t="inlineStr">
        <is>
          <t>Total stars</t>
        </is>
      </c>
      <c r="AM1" s="21" t="inlineStr">
        <is>
          <t>3 stars</t>
        </is>
      </c>
      <c r="AN1" s="21" t="inlineStr">
        <is>
          <t>2 stars</t>
        </is>
      </c>
      <c r="AO1" s="21" t="inlineStr">
        <is>
          <t>1 stars</t>
        </is>
      </c>
      <c r="AP1" s="21" t="inlineStr">
        <is>
          <t>0 stars</t>
        </is>
      </c>
      <c r="AQ1" s="21" t="inlineStr">
        <is>
          <t>Misses</t>
        </is>
      </c>
      <c r="AR1" s="21" t="inlineStr">
        <is>
          <t>% Destruction</t>
        </is>
      </c>
      <c r="AS1" s="27" t="inlineStr">
        <is>
          <t>Opted out</t>
        </is>
      </c>
    </row>
    <row r="2" ht="19.5" customHeight="1" thickTop="1">
      <c r="B2" s="40" t="n"/>
      <c r="C2" s="40" t="n"/>
      <c r="D2" s="35" t="n"/>
      <c r="E2" s="33" t="n"/>
      <c r="F2" s="35" t="n"/>
      <c r="H2" s="44" t="inlineStr">
        <is>
          <t>Players</t>
        </is>
      </c>
      <c r="I2" s="45" t="n"/>
      <c r="J2" s="53" t="n"/>
      <c r="K2" s="53" t="n"/>
      <c r="L2" s="53" t="n"/>
      <c r="M2" s="53" t="n"/>
      <c r="N2" s="53" t="n"/>
      <c r="O2" s="53" t="n"/>
      <c r="Q2" s="15" t="n"/>
      <c r="R2" s="14" t="n"/>
      <c r="S2" s="15" t="n"/>
      <c r="T2" s="15" t="n"/>
      <c r="U2" s="15" t="n"/>
      <c r="V2" s="15" t="n"/>
      <c r="W2" s="15" t="n"/>
      <c r="X2" s="17" t="n"/>
      <c r="Y2" s="15" t="n"/>
      <c r="AB2" s="60" t="inlineStr">
        <is>
          <t>Players</t>
        </is>
      </c>
      <c r="AC2" s="57" t="n"/>
      <c r="AD2" s="53" t="n"/>
      <c r="AE2" s="53" t="n"/>
      <c r="AF2" s="53" t="n"/>
      <c r="AG2" s="53" t="n"/>
      <c r="AH2" s="53" t="n"/>
      <c r="AI2" s="53" t="n"/>
      <c r="AJ2" s="55" t="n"/>
      <c r="AK2" s="15" t="n"/>
      <c r="AL2" s="14" t="n"/>
      <c r="AM2" s="15" t="n"/>
      <c r="AN2" s="15" t="n"/>
      <c r="AO2" s="15" t="n"/>
      <c r="AP2" s="15" t="n"/>
      <c r="AQ2" s="15" t="n"/>
      <c r="AR2" s="17" t="n"/>
      <c r="AS2" s="15" t="n"/>
    </row>
    <row r="3" ht="19.5" customFormat="1" customHeight="1" s="3">
      <c r="A3" s="30" t="n"/>
      <c r="B3" s="40" t="n"/>
      <c r="C3" s="40" t="n"/>
      <c r="D3" s="30" t="n"/>
      <c r="E3" s="34" t="n"/>
      <c r="F3" s="30" t="n"/>
      <c r="G3" s="9" t="n"/>
      <c r="H3" s="20">
        <f>_xlfn.XLOOKUP(G3,A1:A104,D1:D104)</f>
        <v/>
      </c>
      <c r="I3" s="8">
        <f>IFERROR(IF($E$3=15,IF(_xlfn.XLOOKUP(G3,A$3:A$17,B$3:B$17) = "Missed Hit",_xlfn.XLOOKUP(G3,A$3:A$17,B$3:B$17),_xlfn.XLOOKUP(G3,A$3:A$17,B$3:B$17) &amp; " Star " &amp; _xlfn.XLOOKUP(G3,A$3:A$17,C$3:C$17) &amp; "%"),_xlfn.XLOOKUP(G3,A$3:A$32,B$3:B$32)),"Not in war")</f>
        <v/>
      </c>
      <c r="J3" s="8">
        <f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/>
      </c>
      <c r="K3" s="8">
        <f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/>
      </c>
      <c r="L3" s="7">
        <f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/>
      </c>
      <c r="M3" s="7">
        <f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/>
      </c>
      <c r="N3" s="7">
        <f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/>
      </c>
      <c r="O3" s="6">
        <f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/>
      </c>
      <c r="Q3" s="16">
        <f>IFERROR($R3/(3*(7-$Y3)),0)</f>
        <v/>
      </c>
      <c r="R3" s="14">
        <f>3*S3+2*T3+U3</f>
        <v/>
      </c>
      <c r="S3" s="17">
        <f>COUNTIF($I3:$O3, 3 &amp; "*")</f>
        <v/>
      </c>
      <c r="T3" s="17">
        <f>COUNTIF($I3:$O3, 2 &amp; "*")</f>
        <v/>
      </c>
      <c r="U3" s="17">
        <f>COUNTIF($I3:$O3, 1 &amp; "*")</f>
        <v/>
      </c>
      <c r="V3" s="17">
        <f>COUNTIF($I3:$O3, 0 &amp; "*")</f>
        <v/>
      </c>
      <c r="W3" s="17">
        <f>COUNTIF($I3:$O3,"Missed hit")</f>
        <v/>
      </c>
      <c r="X3" s="17">
        <f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/>
      </c>
      <c r="Y3" s="17">
        <f>COUNTIF($I3:$O3,"Not in war")</f>
        <v/>
      </c>
      <c r="AB3" s="61">
        <f t="array" ref="AB3:AS100">_xlfn.SORTBY(H3:Y100,$R$3:$R$100,-1,$X$3:$X$100,-1)</f>
        <v/>
      </c>
      <c r="AC3" s="58" t="n">
        <v>0</v>
      </c>
      <c r="AD3" s="8" t="n">
        <v>0</v>
      </c>
      <c r="AE3" s="8" t="n">
        <v>0</v>
      </c>
      <c r="AF3" s="7" t="n">
        <v>0</v>
      </c>
      <c r="AG3" s="7" t="n">
        <v>0</v>
      </c>
      <c r="AH3" s="7" t="n">
        <v>0</v>
      </c>
      <c r="AI3" s="6" t="n">
        <v>0</v>
      </c>
      <c r="AJ3" s="55" t="n">
        <v>0</v>
      </c>
      <c r="AK3" s="16" t="n">
        <v>0</v>
      </c>
      <c r="AL3" s="14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b">
        <v>0</v>
      </c>
      <c r="AS3" s="17" t="n">
        <v>0</v>
      </c>
    </row>
    <row r="4" ht="19.5" customFormat="1" customHeight="1" s="3">
      <c r="A4" s="30" t="n"/>
      <c r="B4" s="40" t="n"/>
      <c r="C4" s="40" t="n"/>
      <c r="D4" s="30" t="n"/>
      <c r="E4" s="34" t="n"/>
      <c r="F4" s="30" t="n"/>
      <c r="G4" s="9" t="n"/>
      <c r="H4" s="20">
        <f>_xlfn.XLOOKUP(G4,A2:A93,D2:D93)</f>
        <v/>
      </c>
      <c r="I4" s="8">
        <f>IFERROR(IF($E$3=15,IF(_xlfn.XLOOKUP(G4,A$3:A$17,B$3:B$17) = "Missed Hit",_xlfn.XLOOKUP(G4,A$3:A$17,B$3:B$17),_xlfn.XLOOKUP(G4,A$3:A$17,B$3:B$17) &amp; " Star " &amp; _xlfn.XLOOKUP(G4,A$3:A$17,C$3:C$17) &amp; "%"),_xlfn.XLOOKUP(G4,A$3:A$32,B$3:B$32)),"Not in war")</f>
        <v/>
      </c>
      <c r="J4" s="8">
        <f>IFERROR(IF($E$3=15,IF(_xlfn.XLOOKUP(G4,A$18:A$32,B$18:B$32) = "Missed Hit",_xlfn.XLOOKUP(G4,A$18:A$32,B$18:B$32),_xlfn.XLOOKUP(G4,A$18:A$32,B$18:B$32) &amp; " Star " &amp; _xlfn.XLOOKUP(G4,A$18:A$32,C$18:C$32) &amp; "%"),_xlfn.XLOOKUP(G4,A$33:A$62,B$33:B$62)),"Not in war")</f>
        <v/>
      </c>
      <c r="K4" s="8">
        <f>IFERROR(IF($E$3=15,IF(_xlfn.XLOOKUP(G4,A$33:A$47,B$33:B$47) = "Missed Hit",_xlfn.XLOOKUP(G4,A$33:A$47,B$33:B$47),_xlfn.XLOOKUP(G4,A$33:A$47,B$33:B$47) &amp; " Star " &amp; _xlfn.XLOOKUP(G4,A$33:A$47,C$33:C$47) &amp; "%"),_xlfn.XLOOKUP(G4,A$63:A$92,B$63:B$92)),"Not in war")</f>
        <v/>
      </c>
      <c r="L4" s="7">
        <f>IFERROR(IF($E$3=15,IF(_xlfn.XLOOKUP(G4,A$48:A$62,B$48:B$62) = "Missed Hit",_xlfn.XLOOKUP(G4,A$48:A$62,B$48:B$62),_xlfn.XLOOKUP(G4,A$48:A$62,B$48:B$62) &amp; " Star " &amp; _xlfn.XLOOKUP(G4,A$48:A$62,C$48:C$62) &amp; "%"),_xlfn.XLOOKUP(G4,A$93:A$122,B$93:B$122)),"Not in war")</f>
        <v/>
      </c>
      <c r="M4" s="7">
        <f>IFERROR(IF($E$3=15,IF(_xlfn.XLOOKUP(G4,A$63:A$77,B$63:B$77) = "Missed Hit",_xlfn.XLOOKUP(G4,A$63:A$77,B$63:B$77),_xlfn.XLOOKUP(G4,A$63:A$77,B$63:B$77) &amp; " Star " &amp; _xlfn.XLOOKUP(G4,A$63:A$77,C$63:C$77) &amp; "%"),_xlfn.XLOOKUP(G4,A$123:A$152,B$123:B$152)),"Not in war")</f>
        <v/>
      </c>
      <c r="N4" s="7">
        <f>IFERROR(IF($E$3=15,IF(_xlfn.XLOOKUP(G4,A$78:A$92,B$78:B$92) = "Missed Hit",_xlfn.XLOOKUP(G4,A$78:A$92,B$78:B$92),_xlfn.XLOOKUP(G4,A$78:A$92,B$78:B$92) &amp; " Star " &amp; _xlfn.XLOOKUP(G4,A$78:A$92,C$78:C$92) &amp; "%"),_xlfn.XLOOKUP(G4,A$153:A$182,B$153:B$182)),"Not in war")</f>
        <v/>
      </c>
      <c r="O4" s="6">
        <f>IFERROR(IF($E$3=15,IF(_xlfn.XLOOKUP(G4,A$93:A$107,B$93:B$107) = "Missed Hit",_xlfn.XLOOKUP(G4,A$93:A$107,B$93:B$107),_xlfn.XLOOKUP(G4,A$93:A$107,B$93:B$107) &amp; " Star " &amp; _xlfn.XLOOKUP(G4,A$93:A$107,C$93:C$107) &amp; "%"),_xlfn.XLOOKUP(G4,A$153:A$182,B$153:B$182)),"Not in war")</f>
        <v/>
      </c>
      <c r="Q4" s="16">
        <f>IFERROR($R4/(3*(7-$Y4)),0)</f>
        <v/>
      </c>
      <c r="R4" s="14">
        <f>3*S4+2*T4+U4</f>
        <v/>
      </c>
      <c r="S4" s="17">
        <f>COUNTIF($I4:$O4, 3 &amp; "*")</f>
        <v/>
      </c>
      <c r="T4" s="17">
        <f>COUNTIF($I4:$O4, 2 &amp; "*")</f>
        <v/>
      </c>
      <c r="U4" s="17">
        <f>COUNTIF($I4:$O4, 1 &amp; "*")</f>
        <v/>
      </c>
      <c r="V4" s="17">
        <f>COUNTIF($I4:$O4, 0 &amp; "*")</f>
        <v/>
      </c>
      <c r="W4" s="17">
        <f>COUNTIF($I4:$O4,"Missed hit")</f>
        <v/>
      </c>
      <c r="X4" s="17">
        <f>IF($E$3=15,SUM(_xlfn.XLOOKUP(G4,$A$3:$A$17,$C$3:$C$17,0),_xlfn.XLOOKUP(G4,$A$18:$A$32,$C$18:$C$32,0),_xlfn.XLOOKUP(G4,$A$33:$A$47,$C$33:$C$47,0), _xlfn.XLOOKUP(G4,$A$48:$A$62,$C$48:$C$62,0), _xlfn.XLOOKUP(G4,$A$63:$A$77,$C$63:$C$77,0), _xlfn.XLOOKUP(G4,$A$78:$A$92,$C$78:$C$92,0), _xlfn.XLOOKUP(G4,$A$93:$A$107,$C$93:$C$107,0)))</f>
        <v/>
      </c>
      <c r="Y4" s="17">
        <f>COUNTIF($I4:$O4,"Not in war")</f>
        <v/>
      </c>
      <c r="AB4" s="61" t="n">
        <v>0</v>
      </c>
      <c r="AC4" s="58" t="n">
        <v>0</v>
      </c>
      <c r="AD4" s="8" t="n">
        <v>0</v>
      </c>
      <c r="AE4" s="8" t="n">
        <v>0</v>
      </c>
      <c r="AF4" s="7" t="n">
        <v>0</v>
      </c>
      <c r="AG4" s="7" t="n">
        <v>0</v>
      </c>
      <c r="AH4" s="7" t="n">
        <v>0</v>
      </c>
      <c r="AI4" s="6" t="n">
        <v>0</v>
      </c>
      <c r="AJ4" s="55" t="n">
        <v>0</v>
      </c>
      <c r="AK4" s="16" t="n">
        <v>0</v>
      </c>
      <c r="AL4" s="14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b">
        <v>0</v>
      </c>
      <c r="AS4" s="17" t="n">
        <v>0</v>
      </c>
    </row>
    <row r="5" ht="19.5" customFormat="1" customHeight="1" s="3">
      <c r="A5" s="30" t="n"/>
      <c r="B5" s="40" t="n"/>
      <c r="C5" s="40" t="n"/>
      <c r="D5" s="30" t="n"/>
      <c r="E5" s="34" t="n"/>
      <c r="F5" s="30" t="n"/>
      <c r="G5" s="9" t="n"/>
      <c r="H5" s="20">
        <f>_xlfn.XLOOKUP(G5,A2:A93,D2:D93)</f>
        <v/>
      </c>
      <c r="I5" s="8">
        <f>IFERROR(IF($E$3=15,IF(_xlfn.XLOOKUP(G5,A$3:A$17,B$3:B$17) = "Missed Hit",_xlfn.XLOOKUP(G5,A$3:A$17,B$3:B$17),_xlfn.XLOOKUP(G5,A$3:A$17,B$3:B$17) &amp; " Star " &amp; _xlfn.XLOOKUP(G5,A$3:A$17,C$3:C$17) &amp; "%"),_xlfn.XLOOKUP(G5,A$3:A$32,B$3:B$32)),"Not in war")</f>
        <v/>
      </c>
      <c r="J5" s="8">
        <f>IFERROR(IF($E$3=15,IF(_xlfn.XLOOKUP(G5,A$18:A$32,B$18:B$32) = "Missed Hit",_xlfn.XLOOKUP(G5,A$18:A$32,B$18:B$32),_xlfn.XLOOKUP(G5,A$18:A$32,B$18:B$32) &amp; " Star " &amp; _xlfn.XLOOKUP(G5,A$18:A$32,C$18:C$32) &amp; "%"),_xlfn.XLOOKUP(G5,A$33:A$62,B$33:B$62)),"Not in war")</f>
        <v/>
      </c>
      <c r="K5" s="8">
        <f>IFERROR(IF($E$3=15,IF(_xlfn.XLOOKUP(G5,A$33:A$47,B$33:B$47) = "Missed Hit",_xlfn.XLOOKUP(G5,A$33:A$47,B$33:B$47),_xlfn.XLOOKUP(G5,A$33:A$47,B$33:B$47) &amp; " Star " &amp; _xlfn.XLOOKUP(G5,A$33:A$47,C$33:C$47) &amp; "%"),_xlfn.XLOOKUP(G5,A$63:A$92,B$63:B$92)),"Not in war")</f>
        <v/>
      </c>
      <c r="L5" s="7">
        <f>IFERROR(IF($E$3=15,IF(_xlfn.XLOOKUP(G5,A$48:A$62,B$48:B$62) = "Missed Hit",_xlfn.XLOOKUP(G5,A$48:A$62,B$48:B$62),_xlfn.XLOOKUP(G5,A$48:A$62,B$48:B$62) &amp; " Star " &amp; _xlfn.XLOOKUP(G5,A$48:A$62,C$48:C$62) &amp; "%"),_xlfn.XLOOKUP(G5,A$93:A$122,B$93:B$122)),"Not in war")</f>
        <v/>
      </c>
      <c r="M5" s="7">
        <f>IFERROR(IF($E$3=15,IF(_xlfn.XLOOKUP(G5,A$63:A$77,B$63:B$77) = "Missed Hit",_xlfn.XLOOKUP(G5,A$63:A$77,B$63:B$77),_xlfn.XLOOKUP(G5,A$63:A$77,B$63:B$77) &amp; " Star " &amp; _xlfn.XLOOKUP(G5,A$63:A$77,C$63:C$77) &amp; "%"),_xlfn.XLOOKUP(G5,A$123:A$152,B$123:B$152)),"Not in war")</f>
        <v/>
      </c>
      <c r="N5" s="7">
        <f>IFERROR(IF($E$3=15,IF(_xlfn.XLOOKUP(G5,A$78:A$92,B$78:B$92) = "Missed Hit",_xlfn.XLOOKUP(G5,A$78:A$92,B$78:B$92),_xlfn.XLOOKUP(G5,A$78:A$92,B$78:B$92) &amp; " Star " &amp; _xlfn.XLOOKUP(G5,A$78:A$92,C$78:C$92) &amp; "%"),_xlfn.XLOOKUP(G5,A$153:A$182,B$153:B$182)),"Not in war")</f>
        <v/>
      </c>
      <c r="O5" s="6">
        <f>IFERROR(IF($E$3=15,IF(_xlfn.XLOOKUP(G5,A$93:A$107,B$93:B$107) = "Missed Hit",_xlfn.XLOOKUP(G5,A$93:A$107,B$93:B$107),_xlfn.XLOOKUP(G5,A$93:A$107,B$93:B$107) &amp; " Star " &amp; _xlfn.XLOOKUP(G5,A$93:A$107,C$93:C$107) &amp; "%"),_xlfn.XLOOKUP(G5,A$153:A$182,B$153:B$182)),"Not in war")</f>
        <v/>
      </c>
      <c r="Q5" s="16">
        <f>IFERROR($R5/(3*(7-$Y5)),0)</f>
        <v/>
      </c>
      <c r="R5" s="14">
        <f>3*S5+2*T5+U5</f>
        <v/>
      </c>
      <c r="S5" s="17">
        <f>COUNTIF($I5:$O5, 3 &amp; "*")</f>
        <v/>
      </c>
      <c r="T5" s="17">
        <f>COUNTIF($I5:$O5, 2 &amp; "*")</f>
        <v/>
      </c>
      <c r="U5" s="17">
        <f>COUNTIF($I5:$O5, 1 &amp; "*")</f>
        <v/>
      </c>
      <c r="V5" s="17">
        <f>COUNTIF($I5:$O5, 0 &amp; "*")</f>
        <v/>
      </c>
      <c r="W5" s="17">
        <f>COUNTIF($I5:$O5,"Missed hit")</f>
        <v/>
      </c>
      <c r="X5" s="17">
        <f>IF($E$3=15,SUM(_xlfn.XLOOKUP(G5,$A$3:$A$17,$C$3:$C$17,0),_xlfn.XLOOKUP(G5,$A$18:$A$32,$C$18:$C$32,0),_xlfn.XLOOKUP(G5,$A$33:$A$47,$C$33:$C$47,0), _xlfn.XLOOKUP(G5,$A$48:$A$62,$C$48:$C$62,0), _xlfn.XLOOKUP(G5,$A$63:$A$77,$C$63:$C$77,0), _xlfn.XLOOKUP(G5,$A$78:$A$92,$C$78:$C$92,0), _xlfn.XLOOKUP(G5,$A$93:$A$107,$C$93:$C$107,0)))</f>
        <v/>
      </c>
      <c r="Y5" s="17">
        <f>COUNTIF($I5:$O5,"Not in war")</f>
        <v/>
      </c>
      <c r="AB5" s="61" t="n">
        <v>0</v>
      </c>
      <c r="AC5" s="58" t="n">
        <v>0</v>
      </c>
      <c r="AD5" s="8" t="n">
        <v>0</v>
      </c>
      <c r="AE5" s="8" t="n">
        <v>0</v>
      </c>
      <c r="AF5" s="7" t="n">
        <v>0</v>
      </c>
      <c r="AG5" s="7" t="n">
        <v>0</v>
      </c>
      <c r="AH5" s="7" t="n">
        <v>0</v>
      </c>
      <c r="AI5" s="6" t="n">
        <v>0</v>
      </c>
      <c r="AJ5" s="55" t="n">
        <v>0</v>
      </c>
      <c r="AK5" s="16" t="n">
        <v>0</v>
      </c>
      <c r="AL5" s="14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b">
        <v>0</v>
      </c>
      <c r="AS5" s="17" t="n">
        <v>0</v>
      </c>
    </row>
    <row r="6" ht="19.5" customFormat="1" customHeight="1" s="3">
      <c r="A6" s="30" t="n"/>
      <c r="B6" s="40" t="n"/>
      <c r="C6" s="40" t="n"/>
      <c r="D6" s="30" t="n"/>
      <c r="E6" s="34" t="n"/>
      <c r="F6" s="30" t="n"/>
      <c r="G6" s="9" t="n"/>
      <c r="H6" s="20">
        <f>_xlfn.XLOOKUP(G6,A1:A100,D1:D100)</f>
        <v/>
      </c>
      <c r="I6" s="8">
        <f>IFERROR(IF($E$3=15,IF(_xlfn.XLOOKUP(G6,A$3:A$17,B$3:B$17) = "Missed Hit",_xlfn.XLOOKUP(G6,A$3:A$17,B$3:B$17),_xlfn.XLOOKUP(G6,A$3:A$17,B$3:B$17) &amp; " Star " &amp; _xlfn.XLOOKUP(G6,A$3:A$17,C$3:C$17) &amp; "%"),_xlfn.XLOOKUP(G6,A$3:A$32,B$3:B$32)),"Not in war")</f>
        <v/>
      </c>
      <c r="J6" s="8">
        <f>IFERROR(IF($E$3=15,IF(_xlfn.XLOOKUP(G6,A$18:A$32,B$18:B$32) = "Missed Hit",_xlfn.XLOOKUP(G6,A$18:A$32,B$18:B$32),_xlfn.XLOOKUP(G6,A$18:A$32,B$18:B$32) &amp; " Star " &amp; _xlfn.XLOOKUP(G6,A$18:A$32,C$18:C$32) &amp; "%"),_xlfn.XLOOKUP(G6,A$33:A$62,B$33:B$62)),"Not in war")</f>
        <v/>
      </c>
      <c r="K6" s="8">
        <f>IFERROR(IF($E$3=15,IF(_xlfn.XLOOKUP(G6,A$33:A$47,B$33:B$47) = "Missed Hit",_xlfn.XLOOKUP(G6,A$33:A$47,B$33:B$47),_xlfn.XLOOKUP(G6,A$33:A$47,B$33:B$47) &amp; " Star " &amp; _xlfn.XLOOKUP(G6,A$33:A$47,C$33:C$47) &amp; "%"),_xlfn.XLOOKUP(G6,A$63:A$92,B$63:B$92)),"Not in war")</f>
        <v/>
      </c>
      <c r="L6" s="7">
        <f>IFERROR(IF($E$3=15,IF(_xlfn.XLOOKUP(G6,A$48:A$62,B$48:B$62) = "Missed Hit",_xlfn.XLOOKUP(G6,A$48:A$62,B$48:B$62),_xlfn.XLOOKUP(G6,A$48:A$62,B$48:B$62) &amp; " Star " &amp; _xlfn.XLOOKUP(G6,A$48:A$62,C$48:C$62) &amp; "%"),_xlfn.XLOOKUP(G6,A$93:A$122,B$93:B$122)),"Not in war")</f>
        <v/>
      </c>
      <c r="M6" s="7">
        <f>IFERROR(IF($E$3=15,IF(_xlfn.XLOOKUP(G6,A$63:A$77,B$63:B$77) = "Missed Hit",_xlfn.XLOOKUP(G6,A$63:A$77,B$63:B$77),_xlfn.XLOOKUP(G6,A$63:A$77,B$63:B$77) &amp; " Star " &amp; _xlfn.XLOOKUP(G6,A$63:A$77,C$63:C$77) &amp; "%"),_xlfn.XLOOKUP(G6,A$123:A$152,B$123:B$152)),"Not in war")</f>
        <v/>
      </c>
      <c r="N6" s="7">
        <f>IFERROR(IF($E$3=15,IF(_xlfn.XLOOKUP(G6,A$78:A$92,B$78:B$92) = "Missed Hit",_xlfn.XLOOKUP(G6,A$78:A$92,B$78:B$92),_xlfn.XLOOKUP(G6,A$78:A$92,B$78:B$92) &amp; " Star " &amp; _xlfn.XLOOKUP(G6,A$78:A$92,C$78:C$92) &amp; "%"),_xlfn.XLOOKUP(G6,A$153:A$182,B$153:B$182)),"Not in war")</f>
        <v/>
      </c>
      <c r="O6" s="6">
        <f>IFERROR(IF($E$3=15,IF(_xlfn.XLOOKUP(G6,A$93:A$107,B$93:B$107) = "Missed Hit",_xlfn.XLOOKUP(G6,A$93:A$107,B$93:B$107),_xlfn.XLOOKUP(G6,A$93:A$107,B$93:B$107) &amp; " Star " &amp; _xlfn.XLOOKUP(G6,A$93:A$107,C$93:C$107) &amp; "%"),_xlfn.XLOOKUP(G6,A$153:A$182,B$153:B$182)),"Not in war")</f>
        <v/>
      </c>
      <c r="Q6" s="16">
        <f>IFERROR($R6/(3*(7-$Y6)),0)</f>
        <v/>
      </c>
      <c r="R6" s="14">
        <f>3*S6+2*T6+U6</f>
        <v/>
      </c>
      <c r="S6" s="17">
        <f>COUNTIF($I6:$O6, 3 &amp; "*")</f>
        <v/>
      </c>
      <c r="T6" s="17">
        <f>COUNTIF($I6:$O6, 2 &amp; "*")</f>
        <v/>
      </c>
      <c r="U6" s="17">
        <f>COUNTIF($I6:$O6, 1 &amp; "*")</f>
        <v/>
      </c>
      <c r="V6" s="17">
        <f>COUNTIF($I6:$O6, 0 &amp; "*")</f>
        <v/>
      </c>
      <c r="W6" s="17">
        <f>COUNTIF($I6:$O6,"Missed hit")</f>
        <v/>
      </c>
      <c r="X6" s="17">
        <f>IF($E$3=15,SUM(_xlfn.XLOOKUP(G6,$A$3:$A$17,$C$3:$C$17,0),_xlfn.XLOOKUP(G6,$A$18:$A$32,$C$18:$C$32,0),_xlfn.XLOOKUP(G6,$A$33:$A$47,$C$33:$C$47,0), _xlfn.XLOOKUP(G6,$A$48:$A$62,$C$48:$C$62,0), _xlfn.XLOOKUP(G6,$A$63:$A$77,$C$63:$C$77,0), _xlfn.XLOOKUP(G6,$A$78:$A$92,$C$78:$C$92,0), _xlfn.XLOOKUP(G6,$A$93:$A$107,$C$93:$C$107,0)))</f>
        <v/>
      </c>
      <c r="Y6" s="17">
        <f>COUNTIF($I6:$O6,"Not in war")</f>
        <v/>
      </c>
      <c r="AB6" s="61" t="n">
        <v>0</v>
      </c>
      <c r="AC6" s="58" t="n">
        <v>0</v>
      </c>
      <c r="AD6" s="8" t="n">
        <v>0</v>
      </c>
      <c r="AE6" s="8" t="n">
        <v>0</v>
      </c>
      <c r="AF6" s="7" t="n">
        <v>0</v>
      </c>
      <c r="AG6" s="7" t="n">
        <v>0</v>
      </c>
      <c r="AH6" s="7" t="n">
        <v>0</v>
      </c>
      <c r="AI6" s="6" t="n">
        <v>0</v>
      </c>
      <c r="AJ6" s="55" t="n">
        <v>0</v>
      </c>
      <c r="AK6" s="16" t="n">
        <v>0</v>
      </c>
      <c r="AL6" s="14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b">
        <v>0</v>
      </c>
      <c r="AS6" s="17" t="n">
        <v>0</v>
      </c>
    </row>
    <row r="7" ht="19.5" customFormat="1" customHeight="1" s="3">
      <c r="A7" s="30" t="n"/>
      <c r="B7" s="40" t="n"/>
      <c r="C7" s="40" t="n"/>
      <c r="D7" s="30" t="n"/>
      <c r="E7" s="34" t="n"/>
      <c r="F7" s="30" t="n"/>
      <c r="G7" s="9" t="n"/>
      <c r="H7" s="20">
        <f>_xlfn.XLOOKUP(G7,A2:A99,D2:D99)</f>
        <v/>
      </c>
      <c r="I7" s="8">
        <f>IFERROR(IF($E$3=15,IF(_xlfn.XLOOKUP(G7,A$3:A$17,B$3:B$17) = "Missed Hit",_xlfn.XLOOKUP(G7,A$3:A$17,B$3:B$17),_xlfn.XLOOKUP(G7,A$3:A$17,B$3:B$17) &amp; " Star " &amp; _xlfn.XLOOKUP(G7,A$3:A$17,C$3:C$17) &amp; "%"),_xlfn.XLOOKUP(G7,A$3:A$32,B$3:B$32)),"Not in war")</f>
        <v/>
      </c>
      <c r="J7" s="8">
        <f>IFERROR(IF($E$3=15,IF(_xlfn.XLOOKUP(G7,A$18:A$32,B$18:B$32) = "Missed Hit",_xlfn.XLOOKUP(G7,A$18:A$32,B$18:B$32),_xlfn.XLOOKUP(G7,A$18:A$32,B$18:B$32) &amp; " Star " &amp; _xlfn.XLOOKUP(G7,A$18:A$32,C$18:C$32) &amp; "%"),_xlfn.XLOOKUP(G7,A$33:A$62,B$33:B$62)),"Not in war")</f>
        <v/>
      </c>
      <c r="K7" s="8">
        <f>IFERROR(IF($E$3=15,IF(_xlfn.XLOOKUP(G7,A$33:A$47,B$33:B$47) = "Missed Hit",_xlfn.XLOOKUP(G7,A$33:A$47,B$33:B$47),_xlfn.XLOOKUP(G7,A$33:A$47,B$33:B$47) &amp; " Star " &amp; _xlfn.XLOOKUP(G7,A$33:A$47,C$33:C$47) &amp; "%"),_xlfn.XLOOKUP(G7,A$63:A$92,B$63:B$92)),"Not in war")</f>
        <v/>
      </c>
      <c r="L7" s="7">
        <f>IFERROR(IF($E$3=15,IF(_xlfn.XLOOKUP(G7,A$48:A$62,B$48:B$62) = "Missed Hit",_xlfn.XLOOKUP(G7,A$48:A$62,B$48:B$62),_xlfn.XLOOKUP(G7,A$48:A$62,B$48:B$62) &amp; " Star " &amp; _xlfn.XLOOKUP(G7,A$48:A$62,C$48:C$62) &amp; "%"),_xlfn.XLOOKUP(G7,A$93:A$122,B$93:B$122)),"Not in war")</f>
        <v/>
      </c>
      <c r="M7" s="7">
        <f>IFERROR(IF($E$3=15,IF(_xlfn.XLOOKUP(G7,A$63:A$77,B$63:B$77) = "Missed Hit",_xlfn.XLOOKUP(G7,A$63:A$77,B$63:B$77),_xlfn.XLOOKUP(G7,A$63:A$77,B$63:B$77) &amp; " Star " &amp; _xlfn.XLOOKUP(G7,A$63:A$77,C$63:C$77) &amp; "%"),_xlfn.XLOOKUP(G7,A$123:A$152,B$123:B$152)),"Not in war")</f>
        <v/>
      </c>
      <c r="N7" s="7">
        <f>IFERROR(IF($E$3=15,IF(_xlfn.XLOOKUP(G7,A$78:A$92,B$78:B$92) = "Missed Hit",_xlfn.XLOOKUP(G7,A$78:A$92,B$78:B$92),_xlfn.XLOOKUP(G7,A$78:A$92,B$78:B$92) &amp; " Star " &amp; _xlfn.XLOOKUP(G7,A$78:A$92,C$78:C$92) &amp; "%"),_xlfn.XLOOKUP(G7,A$153:A$182,B$153:B$182)),"Not in war")</f>
        <v/>
      </c>
      <c r="O7" s="6">
        <f>IFERROR(IF($E$3=15,IF(_xlfn.XLOOKUP(G7,A$93:A$107,B$93:B$107) = "Missed Hit",_xlfn.XLOOKUP(G7,A$93:A$107,B$93:B$107),_xlfn.XLOOKUP(G7,A$93:A$107,B$93:B$107) &amp; " Star " &amp; _xlfn.XLOOKUP(G7,A$93:A$107,C$93:C$107) &amp; "%"),_xlfn.XLOOKUP(G7,A$153:A$182,B$153:B$182)),"Not in war")</f>
        <v/>
      </c>
      <c r="Q7" s="16">
        <f>IFERROR($R7/(3*(7-$Y7)),0)</f>
        <v/>
      </c>
      <c r="R7" s="14">
        <f>3*S7+2*T7+U7</f>
        <v/>
      </c>
      <c r="S7" s="17">
        <f>COUNTIF($I7:$O7, 3 &amp; "*")</f>
        <v/>
      </c>
      <c r="T7" s="17">
        <f>COUNTIF($I7:$O7, 2 &amp; "*")</f>
        <v/>
      </c>
      <c r="U7" s="17">
        <f>COUNTIF($I7:$O7, 1 &amp; "*")</f>
        <v/>
      </c>
      <c r="V7" s="17">
        <f>COUNTIF($I7:$O7, 0 &amp; "*")</f>
        <v/>
      </c>
      <c r="W7" s="17">
        <f>COUNTIF($I7:$O7,"Missed hit")</f>
        <v/>
      </c>
      <c r="X7" s="17">
        <f>IF($E$3=15,SUM(_xlfn.XLOOKUP(G7,$A$3:$A$17,$C$3:$C$17,0),_xlfn.XLOOKUP(G7,$A$18:$A$32,$C$18:$C$32,0),_xlfn.XLOOKUP(G7,$A$33:$A$47,$C$33:$C$47,0), _xlfn.XLOOKUP(G7,$A$48:$A$62,$C$48:$C$62,0), _xlfn.XLOOKUP(G7,$A$63:$A$77,$C$63:$C$77,0), _xlfn.XLOOKUP(G7,$A$78:$A$92,$C$78:$C$92,0), _xlfn.XLOOKUP(G7,$A$93:$A$107,$C$93:$C$107,0)))</f>
        <v/>
      </c>
      <c r="Y7" s="17">
        <f>COUNTIF($I7:$O7,"Not in war")</f>
        <v/>
      </c>
      <c r="AB7" s="61" t="n">
        <v>0</v>
      </c>
      <c r="AC7" s="58" t="n">
        <v>0</v>
      </c>
      <c r="AD7" s="8" t="n">
        <v>0</v>
      </c>
      <c r="AE7" s="8" t="n">
        <v>0</v>
      </c>
      <c r="AF7" s="7" t="n">
        <v>0</v>
      </c>
      <c r="AG7" s="7" t="n">
        <v>0</v>
      </c>
      <c r="AH7" s="7" t="n">
        <v>0</v>
      </c>
      <c r="AI7" s="6" t="n">
        <v>0</v>
      </c>
      <c r="AJ7" s="55" t="n">
        <v>0</v>
      </c>
      <c r="AK7" s="16" t="n">
        <v>0</v>
      </c>
      <c r="AL7" s="14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b">
        <v>0</v>
      </c>
      <c r="AS7" s="17" t="n">
        <v>0</v>
      </c>
    </row>
    <row r="8" ht="19.5" customFormat="1" customHeight="1" s="3">
      <c r="A8" s="30" t="n"/>
      <c r="B8" s="40" t="n"/>
      <c r="C8" s="40" t="n"/>
      <c r="D8" s="30" t="n"/>
      <c r="E8" s="34" t="n"/>
      <c r="F8" s="30" t="n"/>
      <c r="G8" s="9" t="n"/>
      <c r="H8" s="20">
        <f>_xlfn.XLOOKUP(G8,A1:A101,D1:D101)</f>
        <v/>
      </c>
      <c r="I8" s="8">
        <f>IFERROR(IF($E$3=15,IF(_xlfn.XLOOKUP(G8,A$3:A$17,B$3:B$17) = "Missed Hit",_xlfn.XLOOKUP(G8,A$3:A$17,B$3:B$17),_xlfn.XLOOKUP(G8,A$3:A$17,B$3:B$17) &amp; " Star " &amp; _xlfn.XLOOKUP(G8,A$3:A$17,C$3:C$17) &amp; "%"),_xlfn.XLOOKUP(G8,A$3:A$32,B$3:B$32)),"Not in war")</f>
        <v/>
      </c>
      <c r="J8" s="8">
        <f>IFERROR(IF($E$3=15,IF(_xlfn.XLOOKUP(G8,A$18:A$32,B$18:B$32) = "Missed Hit",_xlfn.XLOOKUP(G8,A$18:A$32,B$18:B$32),_xlfn.XLOOKUP(G8,A$18:A$32,B$18:B$32) &amp; " Star " &amp; _xlfn.XLOOKUP(G8,A$18:A$32,C$18:C$32) &amp; "%"),_xlfn.XLOOKUP(G8,A$33:A$62,B$33:B$62)),"Not in war")</f>
        <v/>
      </c>
      <c r="K8" s="8">
        <f>IFERROR(IF($E$3=15,IF(_xlfn.XLOOKUP(G8,A$33:A$47,B$33:B$47) = "Missed Hit",_xlfn.XLOOKUP(G8,A$33:A$47,B$33:B$47),_xlfn.XLOOKUP(G8,A$33:A$47,B$33:B$47) &amp; " Star " &amp; _xlfn.XLOOKUP(G8,A$33:A$47,C$33:C$47) &amp; "%"),_xlfn.XLOOKUP(G8,A$63:A$92,B$63:B$92)),"Not in war")</f>
        <v/>
      </c>
      <c r="L8" s="7">
        <f>IFERROR(IF($E$3=15,IF(_xlfn.XLOOKUP(G8,A$48:A$62,B$48:B$62) = "Missed Hit",_xlfn.XLOOKUP(G8,A$48:A$62,B$48:B$62),_xlfn.XLOOKUP(G8,A$48:A$62,B$48:B$62) &amp; " Star " &amp; _xlfn.XLOOKUP(G8,A$48:A$62,C$48:C$62) &amp; "%"),_xlfn.XLOOKUP(G8,A$93:A$122,B$93:B$122)),"Not in war")</f>
        <v/>
      </c>
      <c r="M8" s="7">
        <f>IFERROR(IF($E$3=15,IF(_xlfn.XLOOKUP(G8,A$63:A$77,B$63:B$77) = "Missed Hit",_xlfn.XLOOKUP(G8,A$63:A$77,B$63:B$77),_xlfn.XLOOKUP(G8,A$63:A$77,B$63:B$77) &amp; " Star " &amp; _xlfn.XLOOKUP(G8,A$63:A$77,C$63:C$77) &amp; "%"),_xlfn.XLOOKUP(G8,A$123:A$152,B$123:B$152)),"Not in war")</f>
        <v/>
      </c>
      <c r="N8" s="7">
        <f>IFERROR(IF($E$3=15,IF(_xlfn.XLOOKUP(G8,A$78:A$92,B$78:B$92) = "Missed Hit",_xlfn.XLOOKUP(G8,A$78:A$92,B$78:B$92),_xlfn.XLOOKUP(G8,A$78:A$92,B$78:B$92) &amp; " Star " &amp; _xlfn.XLOOKUP(G8,A$78:A$92,C$78:C$92) &amp; "%"),_xlfn.XLOOKUP(G8,A$153:A$182,B$153:B$182)),"Not in war")</f>
        <v/>
      </c>
      <c r="O8" s="6">
        <f>IFERROR(IF($E$3=15,IF(_xlfn.XLOOKUP(G8,A$93:A$107,B$93:B$107) = "Missed Hit",_xlfn.XLOOKUP(G8,A$93:A$107,B$93:B$107),_xlfn.XLOOKUP(G8,A$93:A$107,B$93:B$107) &amp; " Star " &amp; _xlfn.XLOOKUP(G8,A$93:A$107,C$93:C$107) &amp; "%"),_xlfn.XLOOKUP(G8,A$153:A$182,B$153:B$182)),"Not in war")</f>
        <v/>
      </c>
      <c r="Q8" s="16">
        <f>IFERROR($R8/(3*(7-$Y8)),0)</f>
        <v/>
      </c>
      <c r="R8" s="14">
        <f>3*S8+2*T8+U8</f>
        <v/>
      </c>
      <c r="S8" s="17">
        <f>COUNTIF($I8:$O8, 3 &amp; "*")</f>
        <v/>
      </c>
      <c r="T8" s="17">
        <f>COUNTIF($I8:$O8, 2 &amp; "*")</f>
        <v/>
      </c>
      <c r="U8" s="17">
        <f>COUNTIF($I8:$O8, 1 &amp; "*")</f>
        <v/>
      </c>
      <c r="V8" s="17">
        <f>COUNTIF($I8:$O8, 0 &amp; "*")</f>
        <v/>
      </c>
      <c r="W8" s="17">
        <f>COUNTIF($I8:$O8,"Missed hit")</f>
        <v/>
      </c>
      <c r="X8" s="17">
        <f>IF($E$3=15,SUM(_xlfn.XLOOKUP(G8,$A$3:$A$17,$C$3:$C$17,0),_xlfn.XLOOKUP(G8,$A$18:$A$32,$C$18:$C$32,0),_xlfn.XLOOKUP(G8,$A$33:$A$47,$C$33:$C$47,0), _xlfn.XLOOKUP(G8,$A$48:$A$62,$C$48:$C$62,0), _xlfn.XLOOKUP(G8,$A$63:$A$77,$C$63:$C$77,0), _xlfn.XLOOKUP(G8,$A$78:$A$92,$C$78:$C$92,0), _xlfn.XLOOKUP(G8,$A$93:$A$107,$C$93:$C$107,0)))</f>
        <v/>
      </c>
      <c r="Y8" s="17">
        <f>COUNTIF($I8:$O8,"Not in war")</f>
        <v/>
      </c>
      <c r="AB8" s="61" t="n">
        <v>0</v>
      </c>
      <c r="AC8" s="58" t="n">
        <v>0</v>
      </c>
      <c r="AD8" s="8" t="n">
        <v>0</v>
      </c>
      <c r="AE8" s="8" t="n">
        <v>0</v>
      </c>
      <c r="AF8" s="7" t="n">
        <v>0</v>
      </c>
      <c r="AG8" s="7" t="n">
        <v>0</v>
      </c>
      <c r="AH8" s="7" t="n">
        <v>0</v>
      </c>
      <c r="AI8" s="6" t="n">
        <v>0</v>
      </c>
      <c r="AJ8" s="55" t="n">
        <v>0</v>
      </c>
      <c r="AK8" s="16" t="n">
        <v>0</v>
      </c>
      <c r="AL8" s="14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b">
        <v>0</v>
      </c>
      <c r="AS8" s="17" t="n">
        <v>0</v>
      </c>
    </row>
    <row r="9" ht="19.5" customFormat="1" customHeight="1" s="3">
      <c r="A9" s="30" t="n"/>
      <c r="B9" s="40" t="n"/>
      <c r="C9" s="40" t="n"/>
      <c r="D9" s="30" t="n"/>
      <c r="E9" s="34" t="n"/>
      <c r="F9" s="30" t="n"/>
      <c r="G9" s="9" t="n"/>
      <c r="H9" s="20">
        <f>_xlfn.XLOOKUP(G9,A1:A99,D1:D99)</f>
        <v/>
      </c>
      <c r="I9" s="8">
        <f>IFERROR(IF($E$3=15,IF(_xlfn.XLOOKUP(G9,A$3:A$17,B$3:B$17) = "Missed Hit",_xlfn.XLOOKUP(G9,A$3:A$17,B$3:B$17),_xlfn.XLOOKUP(G9,A$3:A$17,B$3:B$17) &amp; " Star " &amp; _xlfn.XLOOKUP(G9,A$3:A$17,C$3:C$17) &amp; "%"),_xlfn.XLOOKUP(G9,A$3:A$32,B$3:B$32)),"Not in war")</f>
        <v/>
      </c>
      <c r="J9" s="8">
        <f>IFERROR(IF($E$3=15,IF(_xlfn.XLOOKUP(G9,A$18:A$32,B$18:B$32) = "Missed Hit",_xlfn.XLOOKUP(G9,A$18:A$32,B$18:B$32),_xlfn.XLOOKUP(G9,A$18:A$32,B$18:B$32) &amp; " Star " &amp; _xlfn.XLOOKUP(G9,A$18:A$32,C$18:C$32) &amp; "%"),_xlfn.XLOOKUP(G9,A$33:A$62,B$33:B$62)),"Not in war")</f>
        <v/>
      </c>
      <c r="K9" s="8">
        <f>IFERROR(IF($E$3=15,IF(_xlfn.XLOOKUP(G9,A$33:A$47,B$33:B$47) = "Missed Hit",_xlfn.XLOOKUP(G9,A$33:A$47,B$33:B$47),_xlfn.XLOOKUP(G9,A$33:A$47,B$33:B$47) &amp; " Star " &amp; _xlfn.XLOOKUP(G9,A$33:A$47,C$33:C$47) &amp; "%"),_xlfn.XLOOKUP(G9,A$63:A$92,B$63:B$92)),"Not in war")</f>
        <v/>
      </c>
      <c r="L9" s="7">
        <f>IFERROR(IF($E$3=15,IF(_xlfn.XLOOKUP(G9,A$48:A$62,B$48:B$62) = "Missed Hit",_xlfn.XLOOKUP(G9,A$48:A$62,B$48:B$62),_xlfn.XLOOKUP(G9,A$48:A$62,B$48:B$62) &amp; " Star " &amp; _xlfn.XLOOKUP(G9,A$48:A$62,C$48:C$62) &amp; "%"),_xlfn.XLOOKUP(G9,A$93:A$122,B$93:B$122)),"Not in war")</f>
        <v/>
      </c>
      <c r="M9" s="7">
        <f>IFERROR(IF($E$3=15,IF(_xlfn.XLOOKUP(G9,A$63:A$77,B$63:B$77) = "Missed Hit",_xlfn.XLOOKUP(G9,A$63:A$77,B$63:B$77),_xlfn.XLOOKUP(G9,A$63:A$77,B$63:B$77) &amp; " Star " &amp; _xlfn.XLOOKUP(G9,A$63:A$77,C$63:C$77) &amp; "%"),_xlfn.XLOOKUP(G9,A$123:A$152,B$123:B$152)),"Not in war")</f>
        <v/>
      </c>
      <c r="N9" s="7">
        <f>IFERROR(IF($E$3=15,IF(_xlfn.XLOOKUP(G9,A$78:A$92,B$78:B$92) = "Missed Hit",_xlfn.XLOOKUP(G9,A$78:A$92,B$78:B$92),_xlfn.XLOOKUP(G9,A$78:A$92,B$78:B$92) &amp; " Star " &amp; _xlfn.XLOOKUP(G9,A$78:A$92,C$78:C$92) &amp; "%"),_xlfn.XLOOKUP(G9,A$153:A$182,B$153:B$182)),"Not in war")</f>
        <v/>
      </c>
      <c r="O9" s="6">
        <f>IFERROR(IF($E$3=15,IF(_xlfn.XLOOKUP(G9,A$93:A$107,B$93:B$107) = "Missed Hit",_xlfn.XLOOKUP(G9,A$93:A$107,B$93:B$107),_xlfn.XLOOKUP(G9,A$93:A$107,B$93:B$107) &amp; " Star " &amp; _xlfn.XLOOKUP(G9,A$93:A$107,C$93:C$107) &amp; "%"),_xlfn.XLOOKUP(G9,A$153:A$182,B$153:B$182)),"Not in war")</f>
        <v/>
      </c>
      <c r="Q9" s="16">
        <f>IFERROR($R9/(3*(7-$Y9)),0)</f>
        <v/>
      </c>
      <c r="R9" s="14">
        <f>3*S9+2*T9+U9</f>
        <v/>
      </c>
      <c r="S9" s="17">
        <f>COUNTIF($I9:$O9, 3 &amp; "*")</f>
        <v/>
      </c>
      <c r="T9" s="17">
        <f>COUNTIF($I9:$O9, 2 &amp; "*")</f>
        <v/>
      </c>
      <c r="U9" s="17">
        <f>COUNTIF($I9:$O9, 1 &amp; "*")</f>
        <v/>
      </c>
      <c r="V9" s="17">
        <f>COUNTIF($I9:$O9, 0 &amp; "*")</f>
        <v/>
      </c>
      <c r="W9" s="17">
        <f>COUNTIF($I9:$O9,"Missed hit")</f>
        <v/>
      </c>
      <c r="X9" s="17">
        <f>IF($E$3=15,SUM(_xlfn.XLOOKUP(G9,$A$3:$A$17,$C$3:$C$17,0),_xlfn.XLOOKUP(G9,$A$18:$A$32,$C$18:$C$32,0),_xlfn.XLOOKUP(G9,$A$33:$A$47,$C$33:$C$47,0), _xlfn.XLOOKUP(G9,$A$48:$A$62,$C$48:$C$62,0), _xlfn.XLOOKUP(G9,$A$63:$A$77,$C$63:$C$77,0), _xlfn.XLOOKUP(G9,$A$78:$A$92,$C$78:$C$92,0), _xlfn.XLOOKUP(G9,$A$93:$A$107,$C$93:$C$107,0)))</f>
        <v/>
      </c>
      <c r="Y9" s="17">
        <f>COUNTIF($I9:$O9,"Not in war")</f>
        <v/>
      </c>
      <c r="AB9" s="61" t="n">
        <v>0</v>
      </c>
      <c r="AC9" s="58" t="n">
        <v>0</v>
      </c>
      <c r="AD9" s="8" t="n">
        <v>0</v>
      </c>
      <c r="AE9" s="8" t="n">
        <v>0</v>
      </c>
      <c r="AF9" s="7" t="n">
        <v>0</v>
      </c>
      <c r="AG9" s="7" t="n">
        <v>0</v>
      </c>
      <c r="AH9" s="7" t="n">
        <v>0</v>
      </c>
      <c r="AI9" s="6" t="n">
        <v>0</v>
      </c>
      <c r="AJ9" s="55" t="n">
        <v>0</v>
      </c>
      <c r="AK9" s="16" t="n">
        <v>0</v>
      </c>
      <c r="AL9" s="14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b">
        <v>0</v>
      </c>
      <c r="AS9" s="17" t="n">
        <v>0</v>
      </c>
    </row>
    <row r="10" ht="19.5" customFormat="1" customHeight="1" s="3">
      <c r="A10" s="30" t="n"/>
      <c r="B10" s="40" t="n"/>
      <c r="C10" s="40" t="n"/>
      <c r="D10" s="30" t="n"/>
      <c r="E10" s="34" t="n"/>
      <c r="F10" s="30" t="n"/>
      <c r="G10" s="9" t="n"/>
      <c r="H10" s="20">
        <f>_xlfn.XLOOKUP(G10,A3:A107,D3:D107)</f>
        <v/>
      </c>
      <c r="I10" s="8">
        <f>IFERROR(IF($E$3=15,IF(_xlfn.XLOOKUP(G10,A$3:A$17,B$3:B$17) = "Missed Hit",_xlfn.XLOOKUP(G10,A$3:A$17,B$3:B$17),_xlfn.XLOOKUP(G10,A$3:A$17,B$3:B$17) &amp; " Star " &amp; _xlfn.XLOOKUP(G10,A$3:A$17,C$3:C$17) &amp; "%"),_xlfn.XLOOKUP(G10,A$3:A$32,B$3:B$32)),"Not in war")</f>
        <v/>
      </c>
      <c r="J10" s="8">
        <f>IFERROR(IF($E$3=15,IF(_xlfn.XLOOKUP(G10,A$18:A$32,B$18:B$32) = "Missed Hit",_xlfn.XLOOKUP(G10,A$18:A$32,B$18:B$32),_xlfn.XLOOKUP(G10,A$18:A$32,B$18:B$32) &amp; " Star " &amp; _xlfn.XLOOKUP(G10,A$18:A$32,C$18:C$32) &amp; "%"),_xlfn.XLOOKUP(G10,A$33:A$62,B$33:B$62)),"Not in war")</f>
        <v/>
      </c>
      <c r="K10" s="8">
        <f>IFERROR(IF($E$3=15,IF(_xlfn.XLOOKUP(G10,A$33:A$47,B$33:B$47) = "Missed Hit",_xlfn.XLOOKUP(G10,A$33:A$47,B$33:B$47),_xlfn.XLOOKUP(G10,A$33:A$47,B$33:B$47) &amp; " Star " &amp; _xlfn.XLOOKUP(G10,A$33:A$47,C$33:C$47) &amp; "%"),_xlfn.XLOOKUP(G10,A$63:A$92,B$63:B$92)),"Not in war")</f>
        <v/>
      </c>
      <c r="L10" s="7">
        <f>IFERROR(IF($E$3=15,IF(_xlfn.XLOOKUP(G10,A$48:A$62,B$48:B$62) = "Missed Hit",_xlfn.XLOOKUP(G10,A$48:A$62,B$48:B$62),_xlfn.XLOOKUP(G10,A$48:A$62,B$48:B$62) &amp; " Star " &amp; _xlfn.XLOOKUP(G10,A$48:A$62,C$48:C$62) &amp; "%"),_xlfn.XLOOKUP(G10,A$93:A$122,B$93:B$122)),"Not in war")</f>
        <v/>
      </c>
      <c r="M10" s="7">
        <f>IFERROR(IF($E$3=15,IF(_xlfn.XLOOKUP(G10,A$63:A$77,B$63:B$77) = "Missed Hit",_xlfn.XLOOKUP(G10,A$63:A$77,B$63:B$77),_xlfn.XLOOKUP(G10,A$63:A$77,B$63:B$77) &amp; " Star " &amp; _xlfn.XLOOKUP(G10,A$63:A$77,C$63:C$77) &amp; "%"),_xlfn.XLOOKUP(G10,A$123:A$152,B$123:B$152)),"Not in war")</f>
        <v/>
      </c>
      <c r="N10" s="7">
        <f>IFERROR(IF($E$3=15,IF(_xlfn.XLOOKUP(G10,A$78:A$92,B$78:B$92) = "Missed Hit",_xlfn.XLOOKUP(G10,A$78:A$92,B$78:B$92),_xlfn.XLOOKUP(G10,A$78:A$92,B$78:B$92) &amp; " Star " &amp; _xlfn.XLOOKUP(G10,A$78:A$92,C$78:C$92) &amp; "%"),_xlfn.XLOOKUP(G10,A$153:A$182,B$153:B$182)),"Not in war")</f>
        <v/>
      </c>
      <c r="O10" s="6">
        <f>IFERROR(IF($E$3=15,IF(_xlfn.XLOOKUP(G10,A$93:A$107,B$93:B$107) = "Missed Hit",_xlfn.XLOOKUP(G10,A$93:A$107,B$93:B$107),_xlfn.XLOOKUP(G10,A$93:A$107,B$93:B$107) &amp; " Star " &amp; _xlfn.XLOOKUP(G10,A$93:A$107,C$93:C$107) &amp; "%"),_xlfn.XLOOKUP(G10,A$153:A$182,B$153:B$182)),"Not in war")</f>
        <v/>
      </c>
      <c r="Q10" s="16">
        <f>IFERROR($R10/(3*(7-$Y10)),0)</f>
        <v/>
      </c>
      <c r="R10" s="14">
        <f>3*S10+2*T10+U10</f>
        <v/>
      </c>
      <c r="S10" s="17">
        <f>COUNTIF($I10:$O10, 3 &amp; "*")</f>
        <v/>
      </c>
      <c r="T10" s="17">
        <f>COUNTIF($I10:$O10, 2 &amp; "*")</f>
        <v/>
      </c>
      <c r="U10" s="17">
        <f>COUNTIF($I10:$O10, 1 &amp; "*")</f>
        <v/>
      </c>
      <c r="V10" s="17">
        <f>COUNTIF($I10:$O10, 0 &amp; "*")</f>
        <v/>
      </c>
      <c r="W10" s="17">
        <f>COUNTIF($I10:$O10,"Missed hit")</f>
        <v/>
      </c>
      <c r="X10" s="17">
        <f>IF($E$3=15,SUM(_xlfn.XLOOKUP(G10,$A$3:$A$17,$C$3:$C$17,0),_xlfn.XLOOKUP(G10,$A$18:$A$32,$C$18:$C$32,0),_xlfn.XLOOKUP(G10,$A$33:$A$47,$C$33:$C$47,0), _xlfn.XLOOKUP(G10,$A$48:$A$62,$C$48:$C$62,0), _xlfn.XLOOKUP(G10,$A$63:$A$77,$C$63:$C$77,0), _xlfn.XLOOKUP(G10,$A$78:$A$92,$C$78:$C$92,0), _xlfn.XLOOKUP(G10,$A$93:$A$107,$C$93:$C$107,0)))</f>
        <v/>
      </c>
      <c r="Y10" s="17">
        <f>COUNTIF($I10:$O10,"Not in war")</f>
        <v/>
      </c>
      <c r="AB10" s="61" t="n">
        <v>0</v>
      </c>
      <c r="AC10" s="58" t="n">
        <v>0</v>
      </c>
      <c r="AD10" s="8" t="n">
        <v>0</v>
      </c>
      <c r="AE10" s="8" t="n">
        <v>0</v>
      </c>
      <c r="AF10" s="7" t="n">
        <v>0</v>
      </c>
      <c r="AG10" s="7" t="n">
        <v>0</v>
      </c>
      <c r="AH10" s="7" t="n">
        <v>0</v>
      </c>
      <c r="AI10" s="6" t="n">
        <v>0</v>
      </c>
      <c r="AJ10" s="55" t="n">
        <v>0</v>
      </c>
      <c r="AK10" s="16" t="n">
        <v>0</v>
      </c>
      <c r="AL10" s="14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b">
        <v>0</v>
      </c>
      <c r="AS10" s="17" t="n">
        <v>0</v>
      </c>
    </row>
    <row r="11" ht="19.5" customFormat="1" customHeight="1" s="3">
      <c r="A11" s="30" t="n"/>
      <c r="B11" s="40" t="n"/>
      <c r="C11" s="40" t="n"/>
      <c r="D11" s="30" t="n"/>
      <c r="E11" s="34" t="n"/>
      <c r="F11" s="30" t="n"/>
      <c r="G11" s="9" t="n"/>
      <c r="H11" s="20">
        <f>_xlfn.XLOOKUP(G11,A9:A109,D9:D109)</f>
        <v/>
      </c>
      <c r="I11" s="8">
        <f>IFERROR(IF($E$3=15,IF(_xlfn.XLOOKUP(G11,A$3:A$17,B$3:B$17) = "Missed Hit",_xlfn.XLOOKUP(G11,A$3:A$17,B$3:B$17),_xlfn.XLOOKUP(G11,A$3:A$17,B$3:B$17) &amp; " Star " &amp; _xlfn.XLOOKUP(G11,A$3:A$17,C$3:C$17) &amp; "%"),_xlfn.XLOOKUP(G11,A$3:A$32,B$3:B$32)),"Not in war")</f>
        <v/>
      </c>
      <c r="J11" s="8">
        <f>IFERROR(IF($E$3=15,IF(_xlfn.XLOOKUP(G11,A$18:A$32,B$18:B$32) = "Missed Hit",_xlfn.XLOOKUP(G11,A$18:A$32,B$18:B$32),_xlfn.XLOOKUP(G11,A$18:A$32,B$18:B$32) &amp; " Star " &amp; _xlfn.XLOOKUP(G11,A$18:A$32,C$18:C$32) &amp; "%"),_xlfn.XLOOKUP(G11,A$33:A$62,B$33:B$62)),"Not in war")</f>
        <v/>
      </c>
      <c r="K11" s="8">
        <f>IFERROR(IF($E$3=15,IF(_xlfn.XLOOKUP(G11,A$33:A$47,B$33:B$47) = "Missed Hit",_xlfn.XLOOKUP(G11,A$33:A$47,B$33:B$47),_xlfn.XLOOKUP(G11,A$33:A$47,B$33:B$47) &amp; " Star " &amp; _xlfn.XLOOKUP(G11,A$33:A$47,C$33:C$47) &amp; "%"),_xlfn.XLOOKUP(G11,A$63:A$92,B$63:B$92)),"Not in war")</f>
        <v/>
      </c>
      <c r="L11" s="7">
        <f>IFERROR(IF($E$3=15,IF(_xlfn.XLOOKUP(G11,A$48:A$62,B$48:B$62) = "Missed Hit",_xlfn.XLOOKUP(G11,A$48:A$62,B$48:B$62),_xlfn.XLOOKUP(G11,A$48:A$62,B$48:B$62) &amp; " Star " &amp; _xlfn.XLOOKUP(G11,A$48:A$62,C$48:C$62) &amp; "%"),_xlfn.XLOOKUP(G11,A$93:A$122,B$93:B$122)),"Not in war")</f>
        <v/>
      </c>
      <c r="M11" s="7">
        <f>IFERROR(IF($E$3=15,IF(_xlfn.XLOOKUP(G11,A$63:A$77,B$63:B$77) = "Missed Hit",_xlfn.XLOOKUP(G11,A$63:A$77,B$63:B$77),_xlfn.XLOOKUP(G11,A$63:A$77,B$63:B$77) &amp; " Star " &amp; _xlfn.XLOOKUP(G11,A$63:A$77,C$63:C$77) &amp; "%"),_xlfn.XLOOKUP(G11,A$123:A$152,B$123:B$152)),"Not in war")</f>
        <v/>
      </c>
      <c r="N11" s="7">
        <f>IFERROR(IF($E$3=15,IF(_xlfn.XLOOKUP(G11,A$78:A$92,B$78:B$92) = "Missed Hit",_xlfn.XLOOKUP(G11,A$78:A$92,B$78:B$92),_xlfn.XLOOKUP(G11,A$78:A$92,B$78:B$92) &amp; " Star " &amp; _xlfn.XLOOKUP(G11,A$78:A$92,C$78:C$92) &amp; "%"),_xlfn.XLOOKUP(G11,A$153:A$182,B$153:B$182)),"Not in war")</f>
        <v/>
      </c>
      <c r="O11" s="6">
        <f>IFERROR(IF($E$3=15,IF(_xlfn.XLOOKUP(G11,A$93:A$107,B$93:B$107) = "Missed Hit",_xlfn.XLOOKUP(G11,A$93:A$107,B$93:B$107),_xlfn.XLOOKUP(G11,A$93:A$107,B$93:B$107) &amp; " Star " &amp; _xlfn.XLOOKUP(G11,A$93:A$107,C$93:C$107) &amp; "%"),_xlfn.XLOOKUP(G11,A$153:A$182,B$153:B$182)),"Not in war")</f>
        <v/>
      </c>
      <c r="Q11" s="16">
        <f>IFERROR($R11/(3*(7-$Y11)),0)</f>
        <v/>
      </c>
      <c r="R11" s="14">
        <f>3*S11+2*T11+U11</f>
        <v/>
      </c>
      <c r="S11" s="17">
        <f>COUNTIF($I11:$O11, 3 &amp; "*")</f>
        <v/>
      </c>
      <c r="T11" s="17">
        <f>COUNTIF($I11:$O11, 2 &amp; "*")</f>
        <v/>
      </c>
      <c r="U11" s="17">
        <f>COUNTIF($I11:$O11, 1 &amp; "*")</f>
        <v/>
      </c>
      <c r="V11" s="17">
        <f>COUNTIF($I11:$O11, 0 &amp; "*")</f>
        <v/>
      </c>
      <c r="W11" s="17">
        <f>COUNTIF($I11:$O11,"Missed hit")</f>
        <v/>
      </c>
      <c r="X11" s="17">
        <f>IF($E$3=15,SUM(_xlfn.XLOOKUP(G11,$A$3:$A$17,$C$3:$C$17,0),_xlfn.XLOOKUP(G11,$A$18:$A$32,$C$18:$C$32,0),_xlfn.XLOOKUP(G11,$A$33:$A$47,$C$33:$C$47,0), _xlfn.XLOOKUP(G11,$A$48:$A$62,$C$48:$C$62,0), _xlfn.XLOOKUP(G11,$A$63:$A$77,$C$63:$C$77,0), _xlfn.XLOOKUP(G11,$A$78:$A$92,$C$78:$C$92,0), _xlfn.XLOOKUP(G11,$A$93:$A$107,$C$93:$C$107,0)))</f>
        <v/>
      </c>
      <c r="Y11" s="17">
        <f>COUNTIF($I11:$O11,"Not in war")</f>
        <v/>
      </c>
      <c r="AB11" s="61" t="n">
        <v>0</v>
      </c>
      <c r="AC11" s="58" t="n">
        <v>0</v>
      </c>
      <c r="AD11" s="8" t="n">
        <v>0</v>
      </c>
      <c r="AE11" s="8" t="n">
        <v>0</v>
      </c>
      <c r="AF11" s="7" t="n">
        <v>0</v>
      </c>
      <c r="AG11" s="7" t="n">
        <v>0</v>
      </c>
      <c r="AH11" s="7" t="n">
        <v>0</v>
      </c>
      <c r="AI11" s="6" t="n">
        <v>0</v>
      </c>
      <c r="AJ11" s="55" t="n">
        <v>0</v>
      </c>
      <c r="AK11" s="16" t="n">
        <v>0</v>
      </c>
      <c r="AL11" s="14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b">
        <v>0</v>
      </c>
      <c r="AS11" s="17" t="n">
        <v>0</v>
      </c>
    </row>
    <row r="12" ht="19.5" customFormat="1" customHeight="1" s="3">
      <c r="A12" s="30" t="n"/>
      <c r="B12" s="40" t="n"/>
      <c r="C12" s="40" t="n"/>
      <c r="D12" s="30" t="n"/>
      <c r="E12" s="34" t="n"/>
      <c r="F12" s="30" t="n"/>
      <c r="G12" s="9" t="n"/>
      <c r="H12" s="20">
        <f>_xlfn.XLOOKUP(G12,A10:A108,D10:D108)</f>
        <v/>
      </c>
      <c r="I12" s="8">
        <f>IFERROR(IF($E$3=15,IF(_xlfn.XLOOKUP(G12,A$3:A$17,B$3:B$17) = "Missed Hit",_xlfn.XLOOKUP(G12,A$3:A$17,B$3:B$17),_xlfn.XLOOKUP(G12,A$3:A$17,B$3:B$17) &amp; " Star " &amp; _xlfn.XLOOKUP(G12,A$3:A$17,C$3:C$17) &amp; "%"),_xlfn.XLOOKUP(G12,A$3:A$32,B$3:B$32)),"Not in war")</f>
        <v/>
      </c>
      <c r="J12" s="8">
        <f>IFERROR(IF($E$3=15,IF(_xlfn.XLOOKUP(G12,A$18:A$32,B$18:B$32) = "Missed Hit",_xlfn.XLOOKUP(G12,A$18:A$32,B$18:B$32),_xlfn.XLOOKUP(G12,A$18:A$32,B$18:B$32) &amp; " Star " &amp; _xlfn.XLOOKUP(G12,A$18:A$32,C$18:C$32) &amp; "%"),_xlfn.XLOOKUP(G12,A$33:A$62,B$33:B$62)),"Not in war")</f>
        <v/>
      </c>
      <c r="K12" s="8">
        <f>IFERROR(IF($E$3=15,IF(_xlfn.XLOOKUP(G12,A$33:A$47,B$33:B$47) = "Missed Hit",_xlfn.XLOOKUP(G12,A$33:A$47,B$33:B$47),_xlfn.XLOOKUP(G12,A$33:A$47,B$33:B$47) &amp; " Star " &amp; _xlfn.XLOOKUP(G12,A$33:A$47,C$33:C$47) &amp; "%"),_xlfn.XLOOKUP(G12,A$63:A$92,B$63:B$92)),"Not in war")</f>
        <v/>
      </c>
      <c r="L12" s="7">
        <f>IFERROR(IF($E$3=15,IF(_xlfn.XLOOKUP(G12,A$48:A$62,B$48:B$62) = "Missed Hit",_xlfn.XLOOKUP(G12,A$48:A$62,B$48:B$62),_xlfn.XLOOKUP(G12,A$48:A$62,B$48:B$62) &amp; " Star " &amp; _xlfn.XLOOKUP(G12,A$48:A$62,C$48:C$62) &amp; "%"),_xlfn.XLOOKUP(G12,A$93:A$122,B$93:B$122)),"Not in war")</f>
        <v/>
      </c>
      <c r="M12" s="7">
        <f>IFERROR(IF($E$3=15,IF(_xlfn.XLOOKUP(G12,A$63:A$77,B$63:B$77) = "Missed Hit",_xlfn.XLOOKUP(G12,A$63:A$77,B$63:B$77),_xlfn.XLOOKUP(G12,A$63:A$77,B$63:B$77) &amp; " Star " &amp; _xlfn.XLOOKUP(G12,A$63:A$77,C$63:C$77) &amp; "%"),_xlfn.XLOOKUP(G12,A$123:A$152,B$123:B$152)),"Not in war")</f>
        <v/>
      </c>
      <c r="N12" s="7">
        <f>IFERROR(IF($E$3=15,IF(_xlfn.XLOOKUP(G12,A$78:A$92,B$78:B$92) = "Missed Hit",_xlfn.XLOOKUP(G12,A$78:A$92,B$78:B$92),_xlfn.XLOOKUP(G12,A$78:A$92,B$78:B$92) &amp; " Star " &amp; _xlfn.XLOOKUP(G12,A$78:A$92,C$78:C$92) &amp; "%"),_xlfn.XLOOKUP(G12,A$153:A$182,B$153:B$182)),"Not in war")</f>
        <v/>
      </c>
      <c r="O12" s="6">
        <f>IFERROR(IF($E$3=15,IF(_xlfn.XLOOKUP(G12,A$93:A$107,B$93:B$107) = "Missed Hit",_xlfn.XLOOKUP(G12,A$93:A$107,B$93:B$107),_xlfn.XLOOKUP(G12,A$93:A$107,B$93:B$107) &amp; " Star " &amp; _xlfn.XLOOKUP(G12,A$93:A$107,C$93:C$107) &amp; "%"),_xlfn.XLOOKUP(G12,A$153:A$182,B$153:B$182)),"Not in war")</f>
        <v/>
      </c>
      <c r="Q12" s="16">
        <f>IFERROR($R12/(3*(7-$Y12)),0)</f>
        <v/>
      </c>
      <c r="R12" s="14">
        <f>3*S12+2*T12+U12</f>
        <v/>
      </c>
      <c r="S12" s="17">
        <f>COUNTIF($I12:$O12, 3 &amp; "*")</f>
        <v/>
      </c>
      <c r="T12" s="17">
        <f>COUNTIF($I12:$O12, 2 &amp; "*")</f>
        <v/>
      </c>
      <c r="U12" s="17">
        <f>COUNTIF($I12:$O12, 1 &amp; "*")</f>
        <v/>
      </c>
      <c r="V12" s="17">
        <f>COUNTIF($I12:$O12, 0 &amp; "*")</f>
        <v/>
      </c>
      <c r="W12" s="17">
        <f>COUNTIF($I12:$O12,"Missed hit")</f>
        <v/>
      </c>
      <c r="X12" s="17">
        <f>IF($E$3=15,SUM(_xlfn.XLOOKUP(G12,$A$3:$A$17,$C$3:$C$17,0),_xlfn.XLOOKUP(G12,$A$18:$A$32,$C$18:$C$32,0),_xlfn.XLOOKUP(G12,$A$33:$A$47,$C$33:$C$47,0), _xlfn.XLOOKUP(G12,$A$48:$A$62,$C$48:$C$62,0), _xlfn.XLOOKUP(G12,$A$63:$A$77,$C$63:$C$77,0), _xlfn.XLOOKUP(G12,$A$78:$A$92,$C$78:$C$92,0), _xlfn.XLOOKUP(G12,$A$93:$A$107,$C$93:$C$107,0)))</f>
        <v/>
      </c>
      <c r="Y12" s="17">
        <f>COUNTIF($I12:$O12,"Not in war")</f>
        <v/>
      </c>
      <c r="AB12" s="61" t="n">
        <v>0</v>
      </c>
      <c r="AC12" s="58" t="n">
        <v>0</v>
      </c>
      <c r="AD12" s="8" t="n">
        <v>0</v>
      </c>
      <c r="AE12" s="8" t="n">
        <v>0</v>
      </c>
      <c r="AF12" s="7" t="n">
        <v>0</v>
      </c>
      <c r="AG12" s="7" t="n">
        <v>0</v>
      </c>
      <c r="AH12" s="7" t="n">
        <v>0</v>
      </c>
      <c r="AI12" s="6" t="n">
        <v>0</v>
      </c>
      <c r="AJ12" s="55" t="n">
        <v>0</v>
      </c>
      <c r="AK12" s="16" t="n">
        <v>0</v>
      </c>
      <c r="AL12" s="14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b">
        <v>0</v>
      </c>
      <c r="AS12" s="17" t="n">
        <v>0</v>
      </c>
    </row>
    <row r="13" ht="19.5" customFormat="1" customHeight="1" s="3">
      <c r="A13" s="30" t="n"/>
      <c r="B13" s="40" t="n"/>
      <c r="C13" s="40" t="n"/>
      <c r="D13" s="30" t="n"/>
      <c r="E13" s="34" t="n"/>
      <c r="F13" s="30" t="n"/>
      <c r="G13" s="9" t="n"/>
      <c r="H13" s="20">
        <f>_xlfn.XLOOKUP(G13,A12:A116,D12:D116)</f>
        <v/>
      </c>
      <c r="I13" s="8">
        <f>IFERROR(IF($E$3=15,IF(_xlfn.XLOOKUP(G13,A$3:A$17,B$3:B$17) = "Missed Hit",_xlfn.XLOOKUP(G13,A$3:A$17,B$3:B$17),_xlfn.XLOOKUP(G13,A$3:A$17,B$3:B$17) &amp; " Star " &amp; _xlfn.XLOOKUP(G13,A$3:A$17,C$3:C$17) &amp; "%"),_xlfn.XLOOKUP(G13,A$3:A$32,B$3:B$32)),"Not in war")</f>
        <v/>
      </c>
      <c r="J13" s="8">
        <f>IFERROR(IF($E$3=15,IF(_xlfn.XLOOKUP(G13,A$18:A$32,B$18:B$32) = "Missed Hit",_xlfn.XLOOKUP(G13,A$18:A$32,B$18:B$32),_xlfn.XLOOKUP(G13,A$18:A$32,B$18:B$32) &amp; " Star " &amp; _xlfn.XLOOKUP(G13,A$18:A$32,C$18:C$32) &amp; "%"),_xlfn.XLOOKUP(G13,A$33:A$62,B$33:B$62)),"Not in war")</f>
        <v/>
      </c>
      <c r="K13" s="8">
        <f>IFERROR(IF($E$3=15,IF(_xlfn.XLOOKUP(G13,A$33:A$47,B$33:B$47) = "Missed Hit",_xlfn.XLOOKUP(G13,A$33:A$47,B$33:B$47),_xlfn.XLOOKUP(G13,A$33:A$47,B$33:B$47) &amp; " Star " &amp; _xlfn.XLOOKUP(G13,A$33:A$47,C$33:C$47) &amp; "%"),_xlfn.XLOOKUP(G13,A$63:A$92,B$63:B$92)),"Not in war")</f>
        <v/>
      </c>
      <c r="L13" s="7">
        <f>IFERROR(IF($E$3=15,IF(_xlfn.XLOOKUP(G13,A$48:A$62,B$48:B$62) = "Missed Hit",_xlfn.XLOOKUP(G13,A$48:A$62,B$48:B$62),_xlfn.XLOOKUP(G13,A$48:A$62,B$48:B$62) &amp; " Star " &amp; _xlfn.XLOOKUP(G13,A$48:A$62,C$48:C$62) &amp; "%"),_xlfn.XLOOKUP(G13,A$93:A$122,B$93:B$122)),"Not in war")</f>
        <v/>
      </c>
      <c r="M13" s="7">
        <f>IFERROR(IF($E$3=15,IF(_xlfn.XLOOKUP(G13,A$63:A$77,B$63:B$77) = "Missed Hit",_xlfn.XLOOKUP(G13,A$63:A$77,B$63:B$77),_xlfn.XLOOKUP(G13,A$63:A$77,B$63:B$77) &amp; " Star " &amp; _xlfn.XLOOKUP(G13,A$63:A$77,C$63:C$77) &amp; "%"),_xlfn.XLOOKUP(G13,A$123:A$152,B$123:B$152)),"Not in war")</f>
        <v/>
      </c>
      <c r="N13" s="7">
        <f>IFERROR(IF($E$3=15,IF(_xlfn.XLOOKUP(G13,A$78:A$92,B$78:B$92) = "Missed Hit",_xlfn.XLOOKUP(G13,A$78:A$92,B$78:B$92),_xlfn.XLOOKUP(G13,A$78:A$92,B$78:B$92) &amp; " Star " &amp; _xlfn.XLOOKUP(G13,A$78:A$92,C$78:C$92) &amp; "%"),_xlfn.XLOOKUP(G13,A$153:A$182,B$153:B$182)),"Not in war")</f>
        <v/>
      </c>
      <c r="O13" s="6">
        <f>IFERROR(IF($E$3=15,IF(_xlfn.XLOOKUP(G13,A$93:A$107,B$93:B$107) = "Missed Hit",_xlfn.XLOOKUP(G13,A$93:A$107,B$93:B$107),_xlfn.XLOOKUP(G13,A$93:A$107,B$93:B$107) &amp; " Star " &amp; _xlfn.XLOOKUP(G13,A$93:A$107,C$93:C$107) &amp; "%"),_xlfn.XLOOKUP(G13,A$153:A$182,B$153:B$182)),"Not in war")</f>
        <v/>
      </c>
      <c r="Q13" s="16">
        <f>IFERROR($R13/(3*(7-$Y13)),0)</f>
        <v/>
      </c>
      <c r="R13" s="14">
        <f>3*S13+2*T13+U13</f>
        <v/>
      </c>
      <c r="S13" s="17">
        <f>COUNTIF($I13:$O13, 3 &amp; "*")</f>
        <v/>
      </c>
      <c r="T13" s="17">
        <f>COUNTIF($I13:$O13, 2 &amp; "*")</f>
        <v/>
      </c>
      <c r="U13" s="17">
        <f>COUNTIF($I13:$O13, 1 &amp; "*")</f>
        <v/>
      </c>
      <c r="V13" s="17">
        <f>COUNTIF($I13:$O13, 0 &amp; "*")</f>
        <v/>
      </c>
      <c r="W13" s="17">
        <f>COUNTIF($I13:$O13,"Missed hit")</f>
        <v/>
      </c>
      <c r="X13" s="17">
        <f>IF($E$3=15,SUM(_xlfn.XLOOKUP(G13,$A$3:$A$17,$C$3:$C$17,0),_xlfn.XLOOKUP(G13,$A$18:$A$32,$C$18:$C$32,0),_xlfn.XLOOKUP(G13,$A$33:$A$47,$C$33:$C$47,0), _xlfn.XLOOKUP(G13,$A$48:$A$62,$C$48:$C$62,0), _xlfn.XLOOKUP(G13,$A$63:$A$77,$C$63:$C$77,0), _xlfn.XLOOKUP(G13,$A$78:$A$92,$C$78:$C$92,0), _xlfn.XLOOKUP(G13,$A$93:$A$107,$C$93:$C$107,0)))</f>
        <v/>
      </c>
      <c r="Y13" s="17">
        <f>COUNTIF($I13:$O13,"Not in war")</f>
        <v/>
      </c>
      <c r="AB13" s="61" t="n">
        <v>0</v>
      </c>
      <c r="AC13" s="58" t="n">
        <v>0</v>
      </c>
      <c r="AD13" s="8" t="n">
        <v>0</v>
      </c>
      <c r="AE13" s="8" t="n">
        <v>0</v>
      </c>
      <c r="AF13" s="7" t="n">
        <v>0</v>
      </c>
      <c r="AG13" s="7" t="n">
        <v>0</v>
      </c>
      <c r="AH13" s="7" t="n">
        <v>0</v>
      </c>
      <c r="AI13" s="6" t="n">
        <v>0</v>
      </c>
      <c r="AJ13" s="55" t="n">
        <v>0</v>
      </c>
      <c r="AK13" s="16" t="n">
        <v>0</v>
      </c>
      <c r="AL13" s="14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b">
        <v>0</v>
      </c>
      <c r="AS13" s="17" t="n">
        <v>0</v>
      </c>
    </row>
    <row r="14" ht="19.5" customFormat="1" customHeight="1" s="3">
      <c r="A14" s="30" t="n"/>
      <c r="B14" s="40" t="n"/>
      <c r="C14" s="40" t="n"/>
      <c r="D14" s="30" t="n"/>
      <c r="E14" s="34" t="n"/>
      <c r="F14" s="30" t="n"/>
      <c r="G14" s="9" t="n"/>
      <c r="H14" s="20">
        <f>_xlfn.XLOOKUP(G14,A11:A113,D11:D113)</f>
        <v/>
      </c>
      <c r="I14" s="8">
        <f>IFERROR(IF($E$3=15,IF(_xlfn.XLOOKUP(G14,A$3:A$17,B$3:B$17) = "Missed Hit",_xlfn.XLOOKUP(G14,A$3:A$17,B$3:B$17),_xlfn.XLOOKUP(G14,A$3:A$17,B$3:B$17) &amp; " Star " &amp; _xlfn.XLOOKUP(G14,A$3:A$17,C$3:C$17) &amp; "%"),_xlfn.XLOOKUP(G14,A$3:A$32,B$3:B$32)),"Not in war")</f>
        <v/>
      </c>
      <c r="J14" s="8">
        <f>IFERROR(IF($E$3=15,IF(_xlfn.XLOOKUP(G14,A$18:A$32,B$18:B$32) = "Missed Hit",_xlfn.XLOOKUP(G14,A$18:A$32,B$18:B$32),_xlfn.XLOOKUP(G14,A$18:A$32,B$18:B$32) &amp; " Star " &amp; _xlfn.XLOOKUP(G14,A$18:A$32,C$18:C$32) &amp; "%"),_xlfn.XLOOKUP(G14,A$33:A$62,B$33:B$62)),"Not in war")</f>
        <v/>
      </c>
      <c r="K14" s="8">
        <f>IFERROR(IF($E$3=15,IF(_xlfn.XLOOKUP(G14,A$33:A$47,B$33:B$47) = "Missed Hit",_xlfn.XLOOKUP(G14,A$33:A$47,B$33:B$47),_xlfn.XLOOKUP(G14,A$33:A$47,B$33:B$47) &amp; " Star " &amp; _xlfn.XLOOKUP(G14,A$33:A$47,C$33:C$47) &amp; "%"),_xlfn.XLOOKUP(G14,A$63:A$92,B$63:B$92)),"Not in war")</f>
        <v/>
      </c>
      <c r="L14" s="7">
        <f>IFERROR(IF($E$3=15,IF(_xlfn.XLOOKUP(G14,A$48:A$62,B$48:B$62) = "Missed Hit",_xlfn.XLOOKUP(G14,A$48:A$62,B$48:B$62),_xlfn.XLOOKUP(G14,A$48:A$62,B$48:B$62) &amp; " Star " &amp; _xlfn.XLOOKUP(G14,A$48:A$62,C$48:C$62) &amp; "%"),_xlfn.XLOOKUP(G14,A$93:A$122,B$93:B$122)),"Not in war")</f>
        <v/>
      </c>
      <c r="M14" s="7">
        <f>IFERROR(IF($E$3=15,IF(_xlfn.XLOOKUP(G14,A$63:A$77,B$63:B$77) = "Missed Hit",_xlfn.XLOOKUP(G14,A$63:A$77,B$63:B$77),_xlfn.XLOOKUP(G14,A$63:A$77,B$63:B$77) &amp; " Star " &amp; _xlfn.XLOOKUP(G14,A$63:A$77,C$63:C$77) &amp; "%"),_xlfn.XLOOKUP(G14,A$123:A$152,B$123:B$152)),"Not in war")</f>
        <v/>
      </c>
      <c r="N14" s="7">
        <f>IFERROR(IF($E$3=15,IF(_xlfn.XLOOKUP(G14,A$78:A$92,B$78:B$92) = "Missed Hit",_xlfn.XLOOKUP(G14,A$78:A$92,B$78:B$92),_xlfn.XLOOKUP(G14,A$78:A$92,B$78:B$92) &amp; " Star " &amp; _xlfn.XLOOKUP(G14,A$78:A$92,C$78:C$92) &amp; "%"),_xlfn.XLOOKUP(G14,A$153:A$182,B$153:B$182)),"Not in war")</f>
        <v/>
      </c>
      <c r="O14" s="6">
        <f>IFERROR(IF($E$3=15,IF(_xlfn.XLOOKUP(G14,A$93:A$107,B$93:B$107) = "Missed Hit",_xlfn.XLOOKUP(G14,A$93:A$107,B$93:B$107),_xlfn.XLOOKUP(G14,A$93:A$107,B$93:B$107) &amp; " Star " &amp; _xlfn.XLOOKUP(G14,A$93:A$107,C$93:C$107) &amp; "%"),_xlfn.XLOOKUP(G14,A$153:A$182,B$153:B$182)),"Not in war")</f>
        <v/>
      </c>
      <c r="Q14" s="16">
        <f>IFERROR($R14/(3*(7-$Y14)),0)</f>
        <v/>
      </c>
      <c r="R14" s="14">
        <f>3*S14+2*T14+U14</f>
        <v/>
      </c>
      <c r="S14" s="17">
        <f>COUNTIF($I14:$O14, 3 &amp; "*")</f>
        <v/>
      </c>
      <c r="T14" s="17">
        <f>COUNTIF($I14:$O14, 2 &amp; "*")</f>
        <v/>
      </c>
      <c r="U14" s="17">
        <f>COUNTIF($I14:$O14, 1 &amp; "*")</f>
        <v/>
      </c>
      <c r="V14" s="17">
        <f>COUNTIF($I14:$O14, 0 &amp; "*")</f>
        <v/>
      </c>
      <c r="W14" s="17">
        <f>COUNTIF($I14:$O14,"Missed hit")</f>
        <v/>
      </c>
      <c r="X14" s="17">
        <f>IF($E$3=15,SUM(_xlfn.XLOOKUP(G14,$A$3:$A$17,$C$3:$C$17,0),_xlfn.XLOOKUP(G14,$A$18:$A$32,$C$18:$C$32,0),_xlfn.XLOOKUP(G14,$A$33:$A$47,$C$33:$C$47,0), _xlfn.XLOOKUP(G14,$A$48:$A$62,$C$48:$C$62,0), _xlfn.XLOOKUP(G14,$A$63:$A$77,$C$63:$C$77,0), _xlfn.XLOOKUP(G14,$A$78:$A$92,$C$78:$C$92,0), _xlfn.XLOOKUP(G14,$A$93:$A$107,$C$93:$C$107,0)))</f>
        <v/>
      </c>
      <c r="Y14" s="17">
        <f>COUNTIF($I14:$O14,"Not in war")</f>
        <v/>
      </c>
      <c r="AB14" s="61" t="n">
        <v>0</v>
      </c>
      <c r="AC14" s="58" t="n">
        <v>0</v>
      </c>
      <c r="AD14" s="8" t="n">
        <v>0</v>
      </c>
      <c r="AE14" s="8" t="n">
        <v>0</v>
      </c>
      <c r="AF14" s="7" t="n">
        <v>0</v>
      </c>
      <c r="AG14" s="7" t="n">
        <v>0</v>
      </c>
      <c r="AH14" s="7" t="n">
        <v>0</v>
      </c>
      <c r="AI14" s="6" t="n">
        <v>0</v>
      </c>
      <c r="AJ14" s="55" t="n">
        <v>0</v>
      </c>
      <c r="AK14" s="16" t="n">
        <v>0</v>
      </c>
      <c r="AL14" s="14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b">
        <v>0</v>
      </c>
      <c r="AS14" s="17" t="n">
        <v>0</v>
      </c>
    </row>
    <row r="15" ht="19.5" customFormat="1" customHeight="1" s="3">
      <c r="A15" s="30" t="n"/>
      <c r="B15" s="40" t="n"/>
      <c r="C15" s="40" t="n"/>
      <c r="D15" s="30" t="n"/>
      <c r="E15" s="34" t="n"/>
      <c r="F15" s="30" t="n"/>
      <c r="G15" s="9" t="n"/>
      <c r="H15" s="20">
        <f>_xlfn.XLOOKUP(G15,A13:A117,D13:D117)</f>
        <v/>
      </c>
      <c r="I15" s="8">
        <f>IFERROR(IF($E$3=15,IF(_xlfn.XLOOKUP(G15,A$3:A$17,B$3:B$17) = "Missed Hit",_xlfn.XLOOKUP(G15,A$3:A$17,B$3:B$17),_xlfn.XLOOKUP(G15,A$3:A$17,B$3:B$17) &amp; " Star " &amp; _xlfn.XLOOKUP(G15,A$3:A$17,C$3:C$17) &amp; "%"),_xlfn.XLOOKUP(G15,A$3:A$32,B$3:B$32)),"Not in war")</f>
        <v/>
      </c>
      <c r="J15" s="8">
        <f>IFERROR(IF($E$3=15,IF(_xlfn.XLOOKUP(G15,A$18:A$32,B$18:B$32) = "Missed Hit",_xlfn.XLOOKUP(G15,A$18:A$32,B$18:B$32),_xlfn.XLOOKUP(G15,A$18:A$32,B$18:B$32) &amp; " Star " &amp; _xlfn.XLOOKUP(G15,A$18:A$32,C$18:C$32) &amp; "%"),_xlfn.XLOOKUP(G15,A$33:A$62,B$33:B$62)),"Not in war")</f>
        <v/>
      </c>
      <c r="K15" s="8">
        <f>IFERROR(IF($E$3=15,IF(_xlfn.XLOOKUP(G15,A$33:A$47,B$33:B$47) = "Missed Hit",_xlfn.XLOOKUP(G15,A$33:A$47,B$33:B$47),_xlfn.XLOOKUP(G15,A$33:A$47,B$33:B$47) &amp; " Star " &amp; _xlfn.XLOOKUP(G15,A$33:A$47,C$33:C$47) &amp; "%"),_xlfn.XLOOKUP(G15,A$63:A$92,B$63:B$92)),"Not in war")</f>
        <v/>
      </c>
      <c r="L15" s="7">
        <f>IFERROR(IF($E$3=15,IF(_xlfn.XLOOKUP(G15,A$48:A$62,B$48:B$62) = "Missed Hit",_xlfn.XLOOKUP(G15,A$48:A$62,B$48:B$62),_xlfn.XLOOKUP(G15,A$48:A$62,B$48:B$62) &amp; " Star " &amp; _xlfn.XLOOKUP(G15,A$48:A$62,C$48:C$62) &amp; "%"),_xlfn.XLOOKUP(G15,A$93:A$122,B$93:B$122)),"Not in war")</f>
        <v/>
      </c>
      <c r="M15" s="7">
        <f>IFERROR(IF($E$3=15,IF(_xlfn.XLOOKUP(G15,A$63:A$77,B$63:B$77) = "Missed Hit",_xlfn.XLOOKUP(G15,A$63:A$77,B$63:B$77),_xlfn.XLOOKUP(G15,A$63:A$77,B$63:B$77) &amp; " Star " &amp; _xlfn.XLOOKUP(G15,A$63:A$77,C$63:C$77) &amp; "%"),_xlfn.XLOOKUP(G15,A$123:A$152,B$123:B$152)),"Not in war")</f>
        <v/>
      </c>
      <c r="N15" s="7">
        <f>IFERROR(IF($E$3=15,IF(_xlfn.XLOOKUP(G15,A$78:A$92,B$78:B$92) = "Missed Hit",_xlfn.XLOOKUP(G15,A$78:A$92,B$78:B$92),_xlfn.XLOOKUP(G15,A$78:A$92,B$78:B$92) &amp; " Star " &amp; _xlfn.XLOOKUP(G15,A$78:A$92,C$78:C$92) &amp; "%"),_xlfn.XLOOKUP(G15,A$153:A$182,B$153:B$182)),"Not in war")</f>
        <v/>
      </c>
      <c r="O15" s="6">
        <f>IFERROR(IF($E$3=15,IF(_xlfn.XLOOKUP(G15,A$93:A$107,B$93:B$107) = "Missed Hit",_xlfn.XLOOKUP(G15,A$93:A$107,B$93:B$107),_xlfn.XLOOKUP(G15,A$93:A$107,B$93:B$107) &amp; " Star " &amp; _xlfn.XLOOKUP(G15,A$93:A$107,C$93:C$107) &amp; "%"),_xlfn.XLOOKUP(G15,A$153:A$182,B$153:B$182)),"Not in war")</f>
        <v/>
      </c>
      <c r="Q15" s="16">
        <f>IFERROR($R15/(3*(7-$Y15)),0)</f>
        <v/>
      </c>
      <c r="R15" s="14">
        <f>3*S15+2*T15+U15</f>
        <v/>
      </c>
      <c r="S15" s="17">
        <f>COUNTIF($I15:$O15, 3 &amp; "*")</f>
        <v/>
      </c>
      <c r="T15" s="17">
        <f>COUNTIF($I15:$O15, 2 &amp; "*")</f>
        <v/>
      </c>
      <c r="U15" s="17">
        <f>COUNTIF($I15:$O15, 1 &amp; "*")</f>
        <v/>
      </c>
      <c r="V15" s="17">
        <f>COUNTIF($I15:$O15, 0 &amp; "*")</f>
        <v/>
      </c>
      <c r="W15" s="17">
        <f>COUNTIF($I15:$O15,"Missed hit")</f>
        <v/>
      </c>
      <c r="X15" s="17">
        <f>IF($E$3=15,SUM(_xlfn.XLOOKUP(G15,$A$3:$A$17,$C$3:$C$17,0),_xlfn.XLOOKUP(G15,$A$18:$A$32,$C$18:$C$32,0),_xlfn.XLOOKUP(G15,$A$33:$A$47,$C$33:$C$47,0), _xlfn.XLOOKUP(G15,$A$48:$A$62,$C$48:$C$62,0), _xlfn.XLOOKUP(G15,$A$63:$A$77,$C$63:$C$77,0), _xlfn.XLOOKUP(G15,$A$78:$A$92,$C$78:$C$92,0), _xlfn.XLOOKUP(G15,$A$93:$A$107,$C$93:$C$107,0)))</f>
        <v/>
      </c>
      <c r="Y15" s="17">
        <f>COUNTIF($I15:$O15,"Not in war")</f>
        <v/>
      </c>
      <c r="AB15" s="61" t="n">
        <v>0</v>
      </c>
      <c r="AC15" s="58" t="n">
        <v>0</v>
      </c>
      <c r="AD15" s="8" t="n">
        <v>0</v>
      </c>
      <c r="AE15" s="8" t="n">
        <v>0</v>
      </c>
      <c r="AF15" s="7" t="n">
        <v>0</v>
      </c>
      <c r="AG15" s="7" t="n">
        <v>0</v>
      </c>
      <c r="AH15" s="7" t="n">
        <v>0</v>
      </c>
      <c r="AI15" s="6" t="n">
        <v>0</v>
      </c>
      <c r="AJ15" s="55" t="n">
        <v>0</v>
      </c>
      <c r="AK15" s="16" t="n">
        <v>0</v>
      </c>
      <c r="AL15" s="14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b">
        <v>0</v>
      </c>
      <c r="AS15" s="17" t="n">
        <v>0</v>
      </c>
    </row>
    <row r="16" ht="19.5" customFormat="1" customHeight="1" s="3">
      <c r="A16" s="30" t="n"/>
      <c r="B16" s="40" t="n"/>
      <c r="C16" s="40" t="n"/>
      <c r="D16" s="30" t="n"/>
      <c r="E16" s="34" t="n"/>
      <c r="F16" s="30" t="n"/>
      <c r="G16" s="9" t="n"/>
      <c r="H16" s="20">
        <f>_xlfn.XLOOKUP(G16,A12:A116,D12:D116)</f>
        <v/>
      </c>
      <c r="I16" s="8">
        <f>IFERROR(IF($E$3=15,IF(_xlfn.XLOOKUP(G16,A$3:A$17,B$3:B$17) = "Missed Hit",_xlfn.XLOOKUP(G16,A$3:A$17,B$3:B$17),_xlfn.XLOOKUP(G16,A$3:A$17,B$3:B$17) &amp; " Star " &amp; _xlfn.XLOOKUP(G16,A$3:A$17,C$3:C$17) &amp; "%"),_xlfn.XLOOKUP(G16,A$3:A$32,B$3:B$32)),"Not in war")</f>
        <v/>
      </c>
      <c r="J16" s="8">
        <f>IFERROR(IF($E$3=15,IF(_xlfn.XLOOKUP(G16,A$18:A$32,B$18:B$32) = "Missed Hit",_xlfn.XLOOKUP(G16,A$18:A$32,B$18:B$32),_xlfn.XLOOKUP(G16,A$18:A$32,B$18:B$32) &amp; " Star " &amp; _xlfn.XLOOKUP(G16,A$18:A$32,C$18:C$32) &amp; "%"),_xlfn.XLOOKUP(G16,A$33:A$62,B$33:B$62)),"Not in war")</f>
        <v/>
      </c>
      <c r="K16" s="8">
        <f>IFERROR(IF($E$3=15,IF(_xlfn.XLOOKUP(G16,A$33:A$47,B$33:B$47) = "Missed Hit",_xlfn.XLOOKUP(G16,A$33:A$47,B$33:B$47),_xlfn.XLOOKUP(G16,A$33:A$47,B$33:B$47) &amp; " Star " &amp; _xlfn.XLOOKUP(G16,A$33:A$47,C$33:C$47) &amp; "%"),_xlfn.XLOOKUP(G16,A$63:A$92,B$63:B$92)),"Not in war")</f>
        <v/>
      </c>
      <c r="L16" s="7">
        <f>IFERROR(IF($E$3=15,IF(_xlfn.XLOOKUP(G16,A$48:A$62,B$48:B$62) = "Missed Hit",_xlfn.XLOOKUP(G16,A$48:A$62,B$48:B$62),_xlfn.XLOOKUP(G16,A$48:A$62,B$48:B$62) &amp; " Star " &amp; _xlfn.XLOOKUP(G16,A$48:A$62,C$48:C$62) &amp; "%"),_xlfn.XLOOKUP(G16,A$93:A$122,B$93:B$122)),"Not in war")</f>
        <v/>
      </c>
      <c r="M16" s="7">
        <f>IFERROR(IF($E$3=15,IF(_xlfn.XLOOKUP(G16,A$63:A$77,B$63:B$77) = "Missed Hit",_xlfn.XLOOKUP(G16,A$63:A$77,B$63:B$77),_xlfn.XLOOKUP(G16,A$63:A$77,B$63:B$77) &amp; " Star " &amp; _xlfn.XLOOKUP(G16,A$63:A$77,C$63:C$77) &amp; "%"),_xlfn.XLOOKUP(G16,A$123:A$152,B$123:B$152)),"Not in war")</f>
        <v/>
      </c>
      <c r="N16" s="7">
        <f>IFERROR(IF($E$3=15,IF(_xlfn.XLOOKUP(G16,A$78:A$92,B$78:B$92) = "Missed Hit",_xlfn.XLOOKUP(G16,A$78:A$92,B$78:B$92),_xlfn.XLOOKUP(G16,A$78:A$92,B$78:B$92) &amp; " Star " &amp; _xlfn.XLOOKUP(G16,A$78:A$92,C$78:C$92) &amp; "%"),_xlfn.XLOOKUP(G16,A$153:A$182,B$153:B$182)),"Not in war")</f>
        <v/>
      </c>
      <c r="O16" s="6">
        <f>IFERROR(IF($E$3=15,IF(_xlfn.XLOOKUP(G16,A$93:A$107,B$93:B$107) = "Missed Hit",_xlfn.XLOOKUP(G16,A$93:A$107,B$93:B$107),_xlfn.XLOOKUP(G16,A$93:A$107,B$93:B$107) &amp; " Star " &amp; _xlfn.XLOOKUP(G16,A$93:A$107,C$93:C$107) &amp; "%"),_xlfn.XLOOKUP(G16,A$153:A$182,B$153:B$182)),"Not in war")</f>
        <v/>
      </c>
      <c r="Q16" s="16">
        <f>IFERROR($R16/(3*(7-$Y16)),0)</f>
        <v/>
      </c>
      <c r="R16" s="14">
        <f>3*S16+2*T16+U16</f>
        <v/>
      </c>
      <c r="S16" s="17">
        <f>COUNTIF($I16:$O16, 3 &amp; "*")</f>
        <v/>
      </c>
      <c r="T16" s="17">
        <f>COUNTIF($I16:$O16, 2 &amp; "*")</f>
        <v/>
      </c>
      <c r="U16" s="17">
        <f>COUNTIF($I16:$O16, 1 &amp; "*")</f>
        <v/>
      </c>
      <c r="V16" s="17">
        <f>COUNTIF($I16:$O16, 0 &amp; "*")</f>
        <v/>
      </c>
      <c r="W16" s="17">
        <f>COUNTIF($I16:$O16,"Missed hit")</f>
        <v/>
      </c>
      <c r="X16" s="17">
        <f>IF($E$3=15,SUM(_xlfn.XLOOKUP(G16,$A$3:$A$17,$C$3:$C$17,0),_xlfn.XLOOKUP(G16,$A$18:$A$32,$C$18:$C$32,0),_xlfn.XLOOKUP(G16,$A$33:$A$47,$C$33:$C$47,0), _xlfn.XLOOKUP(G16,$A$48:$A$62,$C$48:$C$62,0), _xlfn.XLOOKUP(G16,$A$63:$A$77,$C$63:$C$77,0), _xlfn.XLOOKUP(G16,$A$78:$A$92,$C$78:$C$92,0), _xlfn.XLOOKUP(G16,$A$93:$A$107,$C$93:$C$107,0)))</f>
        <v/>
      </c>
      <c r="Y16" s="17">
        <f>COUNTIF($I16:$O16,"Not in war")</f>
        <v/>
      </c>
      <c r="AB16" s="61" t="n">
        <v>0</v>
      </c>
      <c r="AC16" s="58" t="n">
        <v>0</v>
      </c>
      <c r="AD16" s="8" t="n">
        <v>0</v>
      </c>
      <c r="AE16" s="8" t="n">
        <v>0</v>
      </c>
      <c r="AF16" s="7" t="n">
        <v>0</v>
      </c>
      <c r="AG16" s="7" t="n">
        <v>0</v>
      </c>
      <c r="AH16" s="7" t="n">
        <v>0</v>
      </c>
      <c r="AI16" s="6" t="n">
        <v>0</v>
      </c>
      <c r="AJ16" s="55" t="n">
        <v>0</v>
      </c>
      <c r="AK16" s="16" t="n">
        <v>0</v>
      </c>
      <c r="AL16" s="14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b">
        <v>0</v>
      </c>
      <c r="AS16" s="17" t="n">
        <v>0</v>
      </c>
    </row>
    <row r="17" ht="19.5" customFormat="1" customHeight="1" s="3">
      <c r="A17" s="30" t="n"/>
      <c r="B17" s="40" t="n"/>
      <c r="C17" s="40" t="n"/>
      <c r="D17" s="30" t="n"/>
      <c r="E17" s="34" t="n"/>
      <c r="F17" s="30" t="n"/>
      <c r="G17" s="9" t="n"/>
      <c r="H17" s="20">
        <f>_xlfn.XLOOKUP(G17,A15:A112,D15:D112)</f>
        <v/>
      </c>
      <c r="I17" s="8">
        <f>IFERROR(IF($E$3=15,IF(_xlfn.XLOOKUP(G17,A$3:A$17,B$3:B$17) = "Missed Hit",_xlfn.XLOOKUP(G17,A$3:A$17,B$3:B$17),_xlfn.XLOOKUP(G17,A$3:A$17,B$3:B$17) &amp; " Star " &amp; _xlfn.XLOOKUP(G17,A$3:A$17,C$3:C$17) &amp; "%"),_xlfn.XLOOKUP(G17,A$3:A$32,B$3:B$32)),"Not in war")</f>
        <v/>
      </c>
      <c r="J17" s="8">
        <f>IFERROR(IF($E$3=15,IF(_xlfn.XLOOKUP(G17,A$18:A$32,B$18:B$32) = "Missed Hit",_xlfn.XLOOKUP(G17,A$18:A$32,B$18:B$32),_xlfn.XLOOKUP(G17,A$18:A$32,B$18:B$32) &amp; " Star " &amp; _xlfn.XLOOKUP(G17,A$18:A$32,C$18:C$32) &amp; "%"),_xlfn.XLOOKUP(G17,A$33:A$62,B$33:B$62)),"Not in war")</f>
        <v/>
      </c>
      <c r="K17" s="8">
        <f>IFERROR(IF($E$3=15,IF(_xlfn.XLOOKUP(G17,A$33:A$47,B$33:B$47) = "Missed Hit",_xlfn.XLOOKUP(G17,A$33:A$47,B$33:B$47),_xlfn.XLOOKUP(G17,A$33:A$47,B$33:B$47) &amp; " Star " &amp; _xlfn.XLOOKUP(G17,A$33:A$47,C$33:C$47) &amp; "%"),_xlfn.XLOOKUP(G17,A$63:A$92,B$63:B$92)),"Not in war")</f>
        <v/>
      </c>
      <c r="L17" s="7">
        <f>IFERROR(IF($E$3=15,IF(_xlfn.XLOOKUP(G17,A$48:A$62,B$48:B$62) = "Missed Hit",_xlfn.XLOOKUP(G17,A$48:A$62,B$48:B$62),_xlfn.XLOOKUP(G17,A$48:A$62,B$48:B$62) &amp; " Star " &amp; _xlfn.XLOOKUP(G17,A$48:A$62,C$48:C$62) &amp; "%"),_xlfn.XLOOKUP(G17,A$93:A$122,B$93:B$122)),"Not in war")</f>
        <v/>
      </c>
      <c r="M17" s="7">
        <f>IFERROR(IF($E$3=15,IF(_xlfn.XLOOKUP(G17,A$63:A$77,B$63:B$77) = "Missed Hit",_xlfn.XLOOKUP(G17,A$63:A$77,B$63:B$77),_xlfn.XLOOKUP(G17,A$63:A$77,B$63:B$77) &amp; " Star " &amp; _xlfn.XLOOKUP(G17,A$63:A$77,C$63:C$77) &amp; "%"),_xlfn.XLOOKUP(G17,A$123:A$152,B$123:B$152)),"Not in war")</f>
        <v/>
      </c>
      <c r="N17" s="7">
        <f>IFERROR(IF($E$3=15,IF(_xlfn.XLOOKUP(G17,A$78:A$92,B$78:B$92) = "Missed Hit",_xlfn.XLOOKUP(G17,A$78:A$92,B$78:B$92),_xlfn.XLOOKUP(G17,A$78:A$92,B$78:B$92) &amp; " Star " &amp; _xlfn.XLOOKUP(G17,A$78:A$92,C$78:C$92) &amp; "%"),_xlfn.XLOOKUP(G17,A$153:A$182,B$153:B$182)),"Not in war")</f>
        <v/>
      </c>
      <c r="O17" s="6">
        <f>IFERROR(IF($E$3=15,IF(_xlfn.XLOOKUP(G17,A$93:A$107,B$93:B$107) = "Missed Hit",_xlfn.XLOOKUP(G17,A$93:A$107,B$93:B$107),_xlfn.XLOOKUP(G17,A$93:A$107,B$93:B$107) &amp; " Star " &amp; _xlfn.XLOOKUP(G17,A$93:A$107,C$93:C$107) &amp; "%"),_xlfn.XLOOKUP(G17,A$153:A$182,B$153:B$182)),"Not in war")</f>
        <v/>
      </c>
      <c r="Q17" s="16">
        <f>IFERROR($R17/(3*(7-$Y17)),0)</f>
        <v/>
      </c>
      <c r="R17" s="14">
        <f>3*S17+2*T17+U17</f>
        <v/>
      </c>
      <c r="S17" s="17">
        <f>COUNTIF($I17:$O17, 3 &amp; "*")</f>
        <v/>
      </c>
      <c r="T17" s="17">
        <f>COUNTIF($I17:$O17, 2 &amp; "*")</f>
        <v/>
      </c>
      <c r="U17" s="17">
        <f>COUNTIF($I17:$O17, 1 &amp; "*")</f>
        <v/>
      </c>
      <c r="V17" s="17">
        <f>COUNTIF($I17:$O17, 0 &amp; "*")</f>
        <v/>
      </c>
      <c r="W17" s="17">
        <f>COUNTIF($I17:$O17,"Missed hit")</f>
        <v/>
      </c>
      <c r="X17" s="17">
        <f>IF($E$3=15,SUM(_xlfn.XLOOKUP(G17,$A$3:$A$17,$C$3:$C$17,0),_xlfn.XLOOKUP(G17,$A$18:$A$32,$C$18:$C$32,0),_xlfn.XLOOKUP(G17,$A$33:$A$47,$C$33:$C$47,0), _xlfn.XLOOKUP(G17,$A$48:$A$62,$C$48:$C$62,0), _xlfn.XLOOKUP(G17,$A$63:$A$77,$C$63:$C$77,0), _xlfn.XLOOKUP(G17,$A$78:$A$92,$C$78:$C$92,0), _xlfn.XLOOKUP(G17,$A$93:$A$107,$C$93:$C$107,0)))</f>
        <v/>
      </c>
      <c r="Y17" s="17">
        <f>COUNTIF($I17:$O17,"Not in war")</f>
        <v/>
      </c>
      <c r="AB17" s="61" t="n">
        <v>0</v>
      </c>
      <c r="AC17" s="58" t="n">
        <v>0</v>
      </c>
      <c r="AD17" s="8" t="n">
        <v>0</v>
      </c>
      <c r="AE17" s="8" t="n">
        <v>0</v>
      </c>
      <c r="AF17" s="7" t="n">
        <v>0</v>
      </c>
      <c r="AG17" s="7" t="n">
        <v>0</v>
      </c>
      <c r="AH17" s="7" t="n">
        <v>0</v>
      </c>
      <c r="AI17" s="6" t="n">
        <v>0</v>
      </c>
      <c r="AJ17" s="55" t="n">
        <v>0</v>
      </c>
      <c r="AK17" s="16" t="n">
        <v>0</v>
      </c>
      <c r="AL17" s="14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b">
        <v>0</v>
      </c>
      <c r="AS17" s="17" t="n">
        <v>0</v>
      </c>
    </row>
    <row r="18" ht="19" customFormat="1" customHeight="1" s="3">
      <c r="A18" s="30" t="n"/>
      <c r="B18" s="40" t="n"/>
      <c r="C18" s="40" t="n"/>
      <c r="D18" s="30" t="n"/>
      <c r="E18" s="34" t="n"/>
      <c r="F18" s="30" t="n"/>
      <c r="G18" s="9" t="n"/>
      <c r="H18" s="20">
        <f>_xlfn.XLOOKUP(G18,A10:A109,D10:D109)</f>
        <v/>
      </c>
      <c r="I18" s="8">
        <f>IFERROR(IF($E$3=15,IF(_xlfn.XLOOKUP(G18,A$3:A$17,B$3:B$17) = "Missed Hit",_xlfn.XLOOKUP(G18,A$3:A$17,B$3:B$17),_xlfn.XLOOKUP(G18,A$3:A$17,B$3:B$17) &amp; " Star " &amp; _xlfn.XLOOKUP(G18,A$3:A$17,C$3:C$17) &amp; "%"),_xlfn.XLOOKUP(G18,A$3:A$32,B$3:B$32)),"Not in war")</f>
        <v/>
      </c>
      <c r="J18" s="8">
        <f>IFERROR(IF($E$3=15,IF(_xlfn.XLOOKUP(G18,A$18:A$32,B$18:B$32) = "Missed Hit",_xlfn.XLOOKUP(G18,A$18:A$32,B$18:B$32),_xlfn.XLOOKUP(G18,A$18:A$32,B$18:B$32) &amp; " Star " &amp; _xlfn.XLOOKUP(G18,A$18:A$32,C$18:C$32) &amp; "%"),_xlfn.XLOOKUP(G18,A$33:A$62,B$33:B$62)),"Not in war")</f>
        <v/>
      </c>
      <c r="K18" s="8">
        <f>IFERROR(IF($E$3=15,IF(_xlfn.XLOOKUP(G18,A$33:A$47,B$33:B$47) = "Missed Hit",_xlfn.XLOOKUP(G18,A$33:A$47,B$33:B$47),_xlfn.XLOOKUP(G18,A$33:A$47,B$33:B$47) &amp; " Star " &amp; _xlfn.XLOOKUP(G18,A$33:A$47,C$33:C$47) &amp; "%"),_xlfn.XLOOKUP(G18,A$63:A$92,B$63:B$92)),"Not in war")</f>
        <v/>
      </c>
      <c r="L18" s="7">
        <f>IFERROR(IF($E$3=15,IF(_xlfn.XLOOKUP(G18,A$48:A$62,B$48:B$62) = "Missed Hit",_xlfn.XLOOKUP(G18,A$48:A$62,B$48:B$62),_xlfn.XLOOKUP(G18,A$48:A$62,B$48:B$62) &amp; " Star " &amp; _xlfn.XLOOKUP(G18,A$48:A$62,C$48:C$62) &amp; "%"),_xlfn.XLOOKUP(G18,A$93:A$122,B$93:B$122)),"Not in war")</f>
        <v/>
      </c>
      <c r="M18" s="7">
        <f>IFERROR(IF($E$3=15,IF(_xlfn.XLOOKUP(G18,A$63:A$77,B$63:B$77) = "Missed Hit",_xlfn.XLOOKUP(G18,A$63:A$77,B$63:B$77),_xlfn.XLOOKUP(G18,A$63:A$77,B$63:B$77) &amp; " Star " &amp; _xlfn.XLOOKUP(G18,A$63:A$77,C$63:C$77) &amp; "%"),_xlfn.XLOOKUP(G18,A$123:A$152,B$123:B$152)),"Not in war")</f>
        <v/>
      </c>
      <c r="N18" s="7">
        <f>IFERROR(IF($E$3=15,IF(_xlfn.XLOOKUP(G18,A$78:A$92,B$78:B$92) = "Missed Hit",_xlfn.XLOOKUP(G18,A$78:A$92,B$78:B$92),_xlfn.XLOOKUP(G18,A$78:A$92,B$78:B$92) &amp; " Star " &amp; _xlfn.XLOOKUP(G18,A$78:A$92,C$78:C$92) &amp; "%"),_xlfn.XLOOKUP(G18,A$153:A$182,B$153:B$182)),"Not in war")</f>
        <v/>
      </c>
      <c r="O18" s="6">
        <f>IFERROR(IF($E$3=15,IF(_xlfn.XLOOKUP(G18,A$93:A$107,B$93:B$107) = "Missed Hit",_xlfn.XLOOKUP(G18,A$93:A$107,B$93:B$107),_xlfn.XLOOKUP(G18,A$93:A$107,B$93:B$107) &amp; " Star " &amp; _xlfn.XLOOKUP(G18,A$93:A$107,C$93:C$107) &amp; "%"),_xlfn.XLOOKUP(G18,A$153:A$182,B$153:B$182)),"Not in war")</f>
        <v/>
      </c>
      <c r="Q18" s="16">
        <f>IFERROR($R18/(3*(7-$Y18)),0)</f>
        <v/>
      </c>
      <c r="R18" s="14">
        <f>3*S18+2*T18+U18</f>
        <v/>
      </c>
      <c r="S18" s="17">
        <f>COUNTIF($I18:$O18, 3 &amp; "*")</f>
        <v/>
      </c>
      <c r="T18" s="17">
        <f>COUNTIF($I18:$O18, 2 &amp; "*")</f>
        <v/>
      </c>
      <c r="U18" s="17">
        <f>COUNTIF($I18:$O18, 1 &amp; "*")</f>
        <v/>
      </c>
      <c r="V18" s="17">
        <f>COUNTIF($I18:$O18, 0 &amp; "*")</f>
        <v/>
      </c>
      <c r="W18" s="17">
        <f>COUNTIF($I18:$O18,"Missed hit")</f>
        <v/>
      </c>
      <c r="X18" s="17">
        <f>IF($E$3=15,SUM(_xlfn.XLOOKUP(G18,$A$3:$A$17,$C$3:$C$17,0),_xlfn.XLOOKUP(G18,$A$18:$A$32,$C$18:$C$32,0),_xlfn.XLOOKUP(G18,$A$33:$A$47,$C$33:$C$47,0), _xlfn.XLOOKUP(G18,$A$48:$A$62,$C$48:$C$62,0), _xlfn.XLOOKUP(G18,$A$63:$A$77,$C$63:$C$77,0), _xlfn.XLOOKUP(G18,$A$78:$A$92,$C$78:$C$92,0), _xlfn.XLOOKUP(G18,$A$93:$A$107,$C$93:$C$107,0)))</f>
        <v/>
      </c>
      <c r="Y18" s="17">
        <f>COUNTIF($I18:$O18,"Not in war")</f>
        <v/>
      </c>
      <c r="AB18" s="61" t="n">
        <v>0</v>
      </c>
      <c r="AC18" s="58" t="n">
        <v>0</v>
      </c>
      <c r="AD18" s="8" t="n">
        <v>0</v>
      </c>
      <c r="AE18" s="8" t="n">
        <v>0</v>
      </c>
      <c r="AF18" s="7" t="n">
        <v>0</v>
      </c>
      <c r="AG18" s="7" t="n">
        <v>0</v>
      </c>
      <c r="AH18" s="7" t="n">
        <v>0</v>
      </c>
      <c r="AI18" s="6" t="n">
        <v>0</v>
      </c>
      <c r="AJ18" s="55" t="n">
        <v>0</v>
      </c>
      <c r="AK18" s="16" t="n">
        <v>0</v>
      </c>
      <c r="AL18" s="14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b">
        <v>0</v>
      </c>
      <c r="AS18" s="17" t="n">
        <v>0</v>
      </c>
    </row>
    <row r="19" ht="19.5" customFormat="1" customHeight="1" s="3">
      <c r="A19" s="30" t="n"/>
      <c r="B19" s="40" t="n"/>
      <c r="C19" s="40" t="n"/>
      <c r="D19" s="30" t="n"/>
      <c r="E19" s="34" t="n"/>
      <c r="F19" s="30" t="n"/>
      <c r="G19" s="9" t="n"/>
      <c r="H19" s="20" t="n"/>
      <c r="I19" s="8">
        <f>IFERROR(IF($E$3=15,IF(_xlfn.XLOOKUP(G19,A$3:A$17,B$3:B$17) = "Missed Hit",_xlfn.XLOOKUP(G19,A$3:A$17,B$3:B$17),_xlfn.XLOOKUP(G19,A$3:A$17,B$3:B$17) &amp; " Star " &amp; _xlfn.XLOOKUP(G19,A$3:A$17,C$3:C$17) &amp; "%"),_xlfn.XLOOKUP(G19,A$3:A$32,B$3:B$32)),"Not in war")</f>
        <v/>
      </c>
      <c r="J19" s="8">
        <f>IFERROR(IF($E$3=15,IF(_xlfn.XLOOKUP(G19,A$18:A$32,B$18:B$32) = "Missed Hit",_xlfn.XLOOKUP(G19,A$18:A$32,B$18:B$32),_xlfn.XLOOKUP(G19,A$18:A$32,B$18:B$32) &amp; " Star " &amp; _xlfn.XLOOKUP(G19,A$18:A$32,C$18:C$32) &amp; "%"),_xlfn.XLOOKUP(G19,A$33:A$62,B$33:B$62)),"Not in war")</f>
        <v/>
      </c>
      <c r="K19" s="8">
        <f>IFERROR(IF($E$3=15,IF(_xlfn.XLOOKUP(G19,A$33:A$47,B$33:B$47) = "Missed Hit",_xlfn.XLOOKUP(G19,A$33:A$47,B$33:B$47),_xlfn.XLOOKUP(G19,A$33:A$47,B$33:B$47) &amp; " Star " &amp; _xlfn.XLOOKUP(G19,A$33:A$47,C$33:C$47) &amp; "%"),_xlfn.XLOOKUP(G19,A$63:A$92,B$63:B$92)),"Not in war")</f>
        <v/>
      </c>
      <c r="L19" s="7">
        <f>IFERROR(IF($E$3=15,IF(_xlfn.XLOOKUP(G19,A$48:A$62,B$48:B$62) = "Missed Hit",_xlfn.XLOOKUP(G19,A$48:A$62,B$48:B$62),_xlfn.XLOOKUP(G19,A$48:A$62,B$48:B$62) &amp; " Star " &amp; _xlfn.XLOOKUP(G19,A$48:A$62,C$48:C$62) &amp; "%"),_xlfn.XLOOKUP(G19,A$93:A$122,B$93:B$122)),"Not in war")</f>
        <v/>
      </c>
      <c r="M19" s="7">
        <f>IFERROR(IF($E$3=15,IF(_xlfn.XLOOKUP(G19,A$63:A$77,B$63:B$77) = "Missed Hit",_xlfn.XLOOKUP(G19,A$63:A$77,B$63:B$77),_xlfn.XLOOKUP(G19,A$63:A$77,B$63:B$77) &amp; " Star " &amp; _xlfn.XLOOKUP(G19,A$63:A$77,C$63:C$77) &amp; "%"),_xlfn.XLOOKUP(G19,A$123:A$152,B$123:B$152)),"Not in war")</f>
        <v/>
      </c>
      <c r="N19" s="7">
        <f>IFERROR(IF($E$3=15,IF(_xlfn.XLOOKUP(G19,A$78:A$92,B$78:B$92) = "Missed Hit",_xlfn.XLOOKUP(G19,A$78:A$92,B$78:B$92),_xlfn.XLOOKUP(G19,A$78:A$92,B$78:B$92) &amp; " Star " &amp; _xlfn.XLOOKUP(G19,A$78:A$92,C$78:C$92) &amp; "%"),_xlfn.XLOOKUP(G19,A$153:A$182,B$153:B$182)),"Not in war")</f>
        <v/>
      </c>
      <c r="O19" s="6">
        <f>IFERROR(IF($E$3=15,IF(_xlfn.XLOOKUP(G19,A$93:A$107,B$93:B$107) = "Missed Hit",_xlfn.XLOOKUP(G19,A$93:A$107,B$93:B$107),_xlfn.XLOOKUP(G19,A$93:A$107,B$93:B$107) &amp; " Star " &amp; _xlfn.XLOOKUP(G19,A$93:A$107,C$93:C$107) &amp; "%"),_xlfn.XLOOKUP(G19,A$153:A$182,B$153:B$182)),"Not in war")</f>
        <v/>
      </c>
      <c r="Q19" s="16">
        <f>IFERROR($R19/(3*(7-$Y19)),0)</f>
        <v/>
      </c>
      <c r="R19" s="14">
        <f>3*S19+2*T19+U19</f>
        <v/>
      </c>
      <c r="S19" s="17">
        <f>COUNTIF($I19:$O19, 3 &amp; "*")</f>
        <v/>
      </c>
      <c r="T19" s="17">
        <f>COUNTIF($I19:$O19, 2 &amp; "*")</f>
        <v/>
      </c>
      <c r="U19" s="17">
        <f>COUNTIF($I19:$O19,1)</f>
        <v/>
      </c>
      <c r="V19" s="17">
        <f>COUNTIF($I19:$O19, 0 &amp; "*")</f>
        <v/>
      </c>
      <c r="W19" s="17">
        <f>COUNTIF($I19:$O19,"Missed hit")</f>
        <v/>
      </c>
      <c r="X19" s="17">
        <f>IF($E$3=15,SUM(_xlfn.XLOOKUP(G19,$A$3:$A$17,$C$3:$C$17,0),_xlfn.XLOOKUP(G19,$A$18:$A$32,$C$18:$C$32,0),_xlfn.XLOOKUP(G19,$A$33:$A$47,$C$33:$C$47,0), _xlfn.XLOOKUP(G19,$A$48:$A$62,$C$48:$C$62,0), _xlfn.XLOOKUP(G19,$A$63:$A$77,$C$63:$C$77,0), _xlfn.XLOOKUP(G19,$A$78:$A$92,$C$78:$C$92,0), _xlfn.XLOOKUP(G19,$A$93:$A$107,$C$93:$C$107,0)))</f>
        <v/>
      </c>
      <c r="Y19" s="17">
        <f>COUNTIF($I19:$O19,"Not in war")</f>
        <v/>
      </c>
      <c r="AB19" s="61" t="n">
        <v>0</v>
      </c>
      <c r="AC19" s="58" t="n">
        <v>0</v>
      </c>
      <c r="AD19" s="8" t="n">
        <v>0</v>
      </c>
      <c r="AE19" s="8" t="n">
        <v>0</v>
      </c>
      <c r="AF19" s="7" t="n">
        <v>0</v>
      </c>
      <c r="AG19" s="7" t="n">
        <v>0</v>
      </c>
      <c r="AH19" s="7" t="n">
        <v>0</v>
      </c>
      <c r="AI19" s="6" t="n">
        <v>0</v>
      </c>
      <c r="AJ19" s="55" t="n">
        <v>0</v>
      </c>
      <c r="AK19" s="16" t="n">
        <v>0</v>
      </c>
      <c r="AL19" s="14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b">
        <v>0</v>
      </c>
      <c r="AS19" s="17" t="n">
        <v>0</v>
      </c>
    </row>
    <row r="20" ht="19.5" customFormat="1" customHeight="1" s="3">
      <c r="A20" s="30" t="n"/>
      <c r="B20" s="40" t="n"/>
      <c r="C20" s="40" t="n"/>
      <c r="D20" s="30" t="n"/>
      <c r="E20" s="34" t="n"/>
      <c r="F20" s="30" t="n"/>
      <c r="G20" s="9" t="n"/>
      <c r="H20" s="20" t="n"/>
      <c r="I20" s="8">
        <f>IFERROR(IF($E$3=15,IF(_xlfn.XLOOKUP(G20,A$3:A$17,B$3:B$17) = "Missed Hit",_xlfn.XLOOKUP(G20,A$3:A$17,B$3:B$17),_xlfn.XLOOKUP(G20,A$3:A$17,B$3:B$17) &amp; " Star " &amp; _xlfn.XLOOKUP(G20,A$3:A$17,C$3:C$17) &amp; "%"),_xlfn.XLOOKUP(G20,A$3:A$32,B$3:B$32)),"Not in war")</f>
        <v/>
      </c>
      <c r="J20" s="8">
        <f>IFERROR(IF($E$3=15,IF(_xlfn.XLOOKUP(G20,A$18:A$32,B$18:B$32) = "Missed Hit",_xlfn.XLOOKUP(G20,A$18:A$32,B$18:B$32),_xlfn.XLOOKUP(G20,A$18:A$32,B$18:B$32) &amp; " Star " &amp; _xlfn.XLOOKUP(G20,A$18:A$32,C$18:C$32) &amp; "%"),_xlfn.XLOOKUP(G20,A$33:A$62,B$33:B$62)),"Not in war")</f>
        <v/>
      </c>
      <c r="K20" s="8">
        <f>IFERROR(IF($E$3=15,IF(_xlfn.XLOOKUP(G20,A$33:A$47,B$33:B$47) = "Missed Hit",_xlfn.XLOOKUP(G20,A$33:A$47,B$33:B$47),_xlfn.XLOOKUP(G20,A$33:A$47,B$33:B$47) &amp; " Star " &amp; _xlfn.XLOOKUP(G20,A$33:A$47,C$33:C$47) &amp; "%"),_xlfn.XLOOKUP(G20,A$63:A$92,B$63:B$92)),"Not in war")</f>
        <v/>
      </c>
      <c r="L20" s="7">
        <f>IFERROR(IF($E$3=15,IF(_xlfn.XLOOKUP(G20,A$48:A$62,B$48:B$62) = "Missed Hit",_xlfn.XLOOKUP(G20,A$48:A$62,B$48:B$62),_xlfn.XLOOKUP(G20,A$48:A$62,B$48:B$62) &amp; " Star " &amp; _xlfn.XLOOKUP(G20,A$48:A$62,C$48:C$62) &amp; "%"),_xlfn.XLOOKUP(G20,A$93:A$122,B$93:B$122)),"Not in war")</f>
        <v/>
      </c>
      <c r="M20" s="7">
        <f>IFERROR(IF($E$3=15,IF(_xlfn.XLOOKUP(G20,A$63:A$77,B$63:B$77) = "Missed Hit",_xlfn.XLOOKUP(G20,A$63:A$77,B$63:B$77),_xlfn.XLOOKUP(G20,A$63:A$77,B$63:B$77) &amp; " Star " &amp; _xlfn.XLOOKUP(G20,A$63:A$77,C$63:C$77) &amp; "%"),_xlfn.XLOOKUP(G20,A$123:A$152,B$123:B$152)),"Not in war")</f>
        <v/>
      </c>
      <c r="N20" s="7">
        <f>IFERROR(IF($E$3=15,IF(_xlfn.XLOOKUP(G20,A$78:A$92,B$78:B$92) = "Missed Hit",_xlfn.XLOOKUP(G20,A$78:A$92,B$78:B$92),_xlfn.XLOOKUP(G20,A$78:A$92,B$78:B$92) &amp; " Star " &amp; _xlfn.XLOOKUP(G20,A$78:A$92,C$78:C$92) &amp; "%"),_xlfn.XLOOKUP(G20,A$153:A$182,B$153:B$182)),"Not in war")</f>
        <v/>
      </c>
      <c r="O20" s="6">
        <f>IFERROR(IF($E$3=15,IF(_xlfn.XLOOKUP(G20,A$93:A$107,B$93:B$107) = "Missed Hit",_xlfn.XLOOKUP(G20,A$93:A$107,B$93:B$107),_xlfn.XLOOKUP(G20,A$93:A$107,B$93:B$107) &amp; " Star " &amp; _xlfn.XLOOKUP(G20,A$93:A$107,C$93:C$107) &amp; "%"),_xlfn.XLOOKUP(G20,A$153:A$182,B$153:B$182)),"Not in war")</f>
        <v/>
      </c>
      <c r="Q20" s="16">
        <f>IFERROR($R20/(3*(7-$Y20)),0)</f>
        <v/>
      </c>
      <c r="R20" s="14">
        <f>3*S20+2*T20+U20</f>
        <v/>
      </c>
      <c r="S20" s="17">
        <f>COUNTIF($I20:$O20, 3 &amp; "*")</f>
        <v/>
      </c>
      <c r="T20" s="17">
        <f>COUNTIF($I20:$O20, 2 &amp; "*")</f>
        <v/>
      </c>
      <c r="U20" s="17">
        <f>COUNTIF($I20:$O20,1)</f>
        <v/>
      </c>
      <c r="V20" s="17">
        <f>COUNTIF($I20:$O20, 0 &amp; "*")</f>
        <v/>
      </c>
      <c r="W20" s="17">
        <f>COUNTIF($I20:$O20,"Missed hit")</f>
        <v/>
      </c>
      <c r="X20" s="17">
        <f>IF($E$3=15,SUM(_xlfn.XLOOKUP(G20,$A$3:$A$17,$C$3:$C$17,0),_xlfn.XLOOKUP(G20,$A$18:$A$32,$C$18:$C$32,0),_xlfn.XLOOKUP(G20,$A$33:$A$47,$C$33:$C$47,0), _xlfn.XLOOKUP(G20,$A$48:$A$62,$C$48:$C$62,0), _xlfn.XLOOKUP(G20,$A$63:$A$77,$C$63:$C$77,0), _xlfn.XLOOKUP(G20,$A$78:$A$92,$C$78:$C$92,0), _xlfn.XLOOKUP(G20,$A$93:$A$107,$C$93:$C$107,0)))</f>
        <v/>
      </c>
      <c r="Y20" s="17">
        <f>COUNTIF($I20:$O20,"Not in war")</f>
        <v/>
      </c>
      <c r="AB20" s="61" t="n">
        <v>0</v>
      </c>
      <c r="AC20" s="58" t="n">
        <v>0</v>
      </c>
      <c r="AD20" s="8" t="n">
        <v>0</v>
      </c>
      <c r="AE20" s="8" t="n">
        <v>0</v>
      </c>
      <c r="AF20" s="7" t="n">
        <v>0</v>
      </c>
      <c r="AG20" s="7" t="n">
        <v>0</v>
      </c>
      <c r="AH20" s="7" t="n">
        <v>0</v>
      </c>
      <c r="AI20" s="6" t="n">
        <v>0</v>
      </c>
      <c r="AJ20" s="55" t="n">
        <v>0</v>
      </c>
      <c r="AK20" s="16" t="n">
        <v>0</v>
      </c>
      <c r="AL20" s="14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b">
        <v>0</v>
      </c>
      <c r="AS20" s="17" t="n">
        <v>0</v>
      </c>
    </row>
    <row r="21" ht="19.5" customFormat="1" customHeight="1" s="3">
      <c r="A21" s="30" t="n"/>
      <c r="B21" s="40" t="n"/>
      <c r="C21" s="40" t="n"/>
      <c r="D21" s="30" t="n"/>
      <c r="E21" s="34" t="n"/>
      <c r="F21" s="30" t="n"/>
      <c r="G21" s="9" t="n"/>
      <c r="H21" s="20" t="n"/>
      <c r="I21" s="8">
        <f>IFERROR(IF($E$3=15,IF(_xlfn.XLOOKUP(G21,A$3:A$17,B$3:B$17) = "Missed Hit",_xlfn.XLOOKUP(G21,A$3:A$17,B$3:B$17),_xlfn.XLOOKUP(G21,A$3:A$17,B$3:B$17) &amp; " Star " &amp; _xlfn.XLOOKUP(G21,A$3:A$17,C$3:C$17) &amp; "%"),_xlfn.XLOOKUP(G21,A$3:A$32,B$3:B$32)),"Not in war")</f>
        <v/>
      </c>
      <c r="J21" s="8">
        <f>IFERROR(IF($E$3=15,IF(_xlfn.XLOOKUP(G21,A$18:A$32,B$18:B$32) = "Missed Hit",_xlfn.XLOOKUP(G21,A$18:A$32,B$18:B$32),_xlfn.XLOOKUP(G21,A$18:A$32,B$18:B$32) &amp; " Star " &amp; _xlfn.XLOOKUP(G21,A$18:A$32,C$18:C$32) &amp; "%"),_xlfn.XLOOKUP(G21,A$33:A$62,B$33:B$62)),"Not in war")</f>
        <v/>
      </c>
      <c r="K21" s="8">
        <f>IFERROR(IF($E$3=15,IF(_xlfn.XLOOKUP(G21,A$33:A$47,B$33:B$47) = "Missed Hit",_xlfn.XLOOKUP(G21,A$33:A$47,B$33:B$47),_xlfn.XLOOKUP(G21,A$33:A$47,B$33:B$47) &amp; " Star " &amp; _xlfn.XLOOKUP(G21,A$33:A$47,C$33:C$47) &amp; "%"),_xlfn.XLOOKUP(G21,A$63:A$92,B$63:B$92)),"Not in war")</f>
        <v/>
      </c>
      <c r="L21" s="7">
        <f>IFERROR(IF($E$3=15,IF(_xlfn.XLOOKUP(G21,A$48:A$62,B$48:B$62) = "Missed Hit",_xlfn.XLOOKUP(G21,A$48:A$62,B$48:B$62),_xlfn.XLOOKUP(G21,A$48:A$62,B$48:B$62) &amp; " Star " &amp; _xlfn.XLOOKUP(G21,A$48:A$62,C$48:C$62) &amp; "%"),_xlfn.XLOOKUP(G21,A$93:A$122,B$93:B$122)),"Not in war")</f>
        <v/>
      </c>
      <c r="M21" s="7">
        <f>IFERROR(IF($E$3=15,IF(_xlfn.XLOOKUP(G21,A$63:A$77,B$63:B$77) = "Missed Hit",_xlfn.XLOOKUP(G21,A$63:A$77,B$63:B$77),_xlfn.XLOOKUP(G21,A$63:A$77,B$63:B$77) &amp; " Star " &amp; _xlfn.XLOOKUP(G21,A$63:A$77,C$63:C$77) &amp; "%"),_xlfn.XLOOKUP(G21,A$123:A$152,B$123:B$152)),"Not in war")</f>
        <v/>
      </c>
      <c r="N21" s="7">
        <f>IFERROR(IF($E$3=15,IF(_xlfn.XLOOKUP(G21,A$78:A$92,B$78:B$92) = "Missed Hit",_xlfn.XLOOKUP(G21,A$78:A$92,B$78:B$92),_xlfn.XLOOKUP(G21,A$78:A$92,B$78:B$92) &amp; " Star " &amp; _xlfn.XLOOKUP(G21,A$78:A$92,C$78:C$92) &amp; "%"),_xlfn.XLOOKUP(G21,A$153:A$182,B$153:B$182)),"Not in war")</f>
        <v/>
      </c>
      <c r="O21" s="6">
        <f>IFERROR(IF($E$3=15,IF(_xlfn.XLOOKUP(G21,A$93:A$107,B$93:B$107) = "Missed Hit",_xlfn.XLOOKUP(G21,A$93:A$107,B$93:B$107),_xlfn.XLOOKUP(G21,A$93:A$107,B$93:B$107) &amp; " Star " &amp; _xlfn.XLOOKUP(G21,A$93:A$107,C$93:C$107) &amp; "%"),_xlfn.XLOOKUP(G21,A$153:A$182,B$153:B$182)),"Not in war")</f>
        <v/>
      </c>
      <c r="Q21" s="16">
        <f>IFERROR($R21/(3*(7-$Y21)),0)</f>
        <v/>
      </c>
      <c r="R21" s="14">
        <f>3*S21+2*T21+U21</f>
        <v/>
      </c>
      <c r="S21" s="17">
        <f>COUNTIF($I21:$O21, 3 &amp; "*")</f>
        <v/>
      </c>
      <c r="T21" s="17">
        <f>COUNTIF($I21:$O21, 2 &amp; "*")</f>
        <v/>
      </c>
      <c r="U21" s="17">
        <f>COUNTIF($I21:$O21,1)</f>
        <v/>
      </c>
      <c r="V21" s="17">
        <f>COUNTIF($I21:$O21, 0 &amp; "*")</f>
        <v/>
      </c>
      <c r="W21" s="17">
        <f>COUNTIF($I21:$O21,"Missed hit")</f>
        <v/>
      </c>
      <c r="X21" s="17">
        <f>IF($E$3=15,SUM(_xlfn.XLOOKUP(G21,$A$3:$A$17,$C$3:$C$17,0),_xlfn.XLOOKUP(G21,$A$18:$A$32,$C$18:$C$32,0),_xlfn.XLOOKUP(G21,$A$33:$A$47,$C$33:$C$47,0), _xlfn.XLOOKUP(G21,$A$48:$A$62,$C$48:$C$62,0), _xlfn.XLOOKUP(G21,$A$63:$A$77,$C$63:$C$77,0), _xlfn.XLOOKUP(G21,$A$78:$A$92,$C$78:$C$92,0), _xlfn.XLOOKUP(G21,$A$93:$A$107,$C$93:$C$107,0)))</f>
        <v/>
      </c>
      <c r="Y21" s="17">
        <f>COUNTIF($I21:$O21,"Not in war")</f>
        <v/>
      </c>
      <c r="AB21" s="61" t="n">
        <v>0</v>
      </c>
      <c r="AC21" s="58" t="n">
        <v>0</v>
      </c>
      <c r="AD21" s="8" t="n">
        <v>0</v>
      </c>
      <c r="AE21" s="8" t="n">
        <v>0</v>
      </c>
      <c r="AF21" s="7" t="n">
        <v>0</v>
      </c>
      <c r="AG21" s="7" t="n">
        <v>0</v>
      </c>
      <c r="AH21" s="7" t="n">
        <v>0</v>
      </c>
      <c r="AI21" s="6" t="n">
        <v>0</v>
      </c>
      <c r="AJ21" s="55" t="n">
        <v>0</v>
      </c>
      <c r="AK21" s="16" t="n">
        <v>0</v>
      </c>
      <c r="AL21" s="14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b">
        <v>0</v>
      </c>
      <c r="AS21" s="17" t="n">
        <v>0</v>
      </c>
    </row>
    <row r="22" ht="19.5" customFormat="1" customHeight="1" s="3">
      <c r="A22" s="30" t="n"/>
      <c r="B22" s="40" t="n"/>
      <c r="C22" s="40" t="n"/>
      <c r="D22" s="30" t="n"/>
      <c r="E22" s="34" t="n"/>
      <c r="F22" s="30" t="n"/>
      <c r="G22" s="9" t="n"/>
      <c r="H22" s="20" t="n"/>
      <c r="I22" s="8">
        <f>IFERROR(IF($E$3=15,IF(_xlfn.XLOOKUP(G22,A$3:A$17,B$3:B$17) = "Missed Hit",_xlfn.XLOOKUP(G22,A$3:A$17,B$3:B$17),_xlfn.XLOOKUP(G22,A$3:A$17,B$3:B$17) &amp; " Star " &amp; _xlfn.XLOOKUP(G22,A$3:A$17,C$3:C$17) &amp; "%"),_xlfn.XLOOKUP(G22,A$3:A$32,B$3:B$32)),"Not in war")</f>
        <v/>
      </c>
      <c r="J22" s="8">
        <f>IFERROR(IF($E$3=15,IF(_xlfn.XLOOKUP(G22,A$18:A$32,B$18:B$32) = "Missed Hit",_xlfn.XLOOKUP(G22,A$18:A$32,B$18:B$32),_xlfn.XLOOKUP(G22,A$18:A$32,B$18:B$32) &amp; " Star " &amp; _xlfn.XLOOKUP(G22,A$18:A$32,C$18:C$32) &amp; "%"),_xlfn.XLOOKUP(G22,A$33:A$62,B$33:B$62)),"Not in war")</f>
        <v/>
      </c>
      <c r="K22" s="8">
        <f>IFERROR(IF($E$3=15,IF(_xlfn.XLOOKUP(G22,A$33:A$47,B$33:B$47) = "Missed Hit",_xlfn.XLOOKUP(G22,A$33:A$47,B$33:B$47),_xlfn.XLOOKUP(G22,A$33:A$47,B$33:B$47) &amp; " Star " &amp; _xlfn.XLOOKUP(G22,A$33:A$47,C$33:C$47) &amp; "%"),_xlfn.XLOOKUP(G22,A$63:A$92,B$63:B$92)),"Not in war")</f>
        <v/>
      </c>
      <c r="L22" s="7">
        <f>IFERROR(IF($E$3=15,IF(_xlfn.XLOOKUP(G22,A$48:A$62,B$48:B$62) = "Missed Hit",_xlfn.XLOOKUP(G22,A$48:A$62,B$48:B$62),_xlfn.XLOOKUP(G22,A$48:A$62,B$48:B$62) &amp; " Star " &amp; _xlfn.XLOOKUP(G22,A$48:A$62,C$48:C$62) &amp; "%"),_xlfn.XLOOKUP(G22,A$93:A$122,B$93:B$122)),"Not in war")</f>
        <v/>
      </c>
      <c r="M22" s="7">
        <f>IFERROR(IF($E$3=15,IF(_xlfn.XLOOKUP(G22,A$63:A$77,B$63:B$77) = "Missed Hit",_xlfn.XLOOKUP(G22,A$63:A$77,B$63:B$77),_xlfn.XLOOKUP(G22,A$63:A$77,B$63:B$77) &amp; " Star " &amp; _xlfn.XLOOKUP(G22,A$63:A$77,C$63:C$77) &amp; "%"),_xlfn.XLOOKUP(G22,A$123:A$152,B$123:B$152)),"Not in war")</f>
        <v/>
      </c>
      <c r="N22" s="7">
        <f>IFERROR(IF($E$3=15,IF(_xlfn.XLOOKUP(G22,A$78:A$92,B$78:B$92) = "Missed Hit",_xlfn.XLOOKUP(G22,A$78:A$92,B$78:B$92),_xlfn.XLOOKUP(G22,A$78:A$92,B$78:B$92) &amp; " Star " &amp; _xlfn.XLOOKUP(G22,A$78:A$92,C$78:C$92) &amp; "%"),_xlfn.XLOOKUP(G22,A$153:A$182,B$153:B$182)),"Not in war")</f>
        <v/>
      </c>
      <c r="O22" s="6">
        <f>IFERROR(IF($E$3=15,IF(_xlfn.XLOOKUP(G22,A$93:A$107,B$93:B$107) = "Missed Hit",_xlfn.XLOOKUP(G22,A$93:A$107,B$93:B$107),_xlfn.XLOOKUP(G22,A$93:A$107,B$93:B$107) &amp; " Star " &amp; _xlfn.XLOOKUP(G22,A$93:A$107,C$93:C$107) &amp; "%"),_xlfn.XLOOKUP(G22,A$153:A$182,B$153:B$182)),"Not in war")</f>
        <v/>
      </c>
      <c r="Q22" s="16">
        <f>IFERROR($R22/(3*(7-$Y22)),0)</f>
        <v/>
      </c>
      <c r="R22" s="14">
        <f>3*S22+2*T22+U22</f>
        <v/>
      </c>
      <c r="S22" s="17">
        <f>COUNTIF($I22:$O22, 3 &amp; "*")</f>
        <v/>
      </c>
      <c r="T22" s="17">
        <f>COUNTIF($I22:$O22, 2 &amp; "*")</f>
        <v/>
      </c>
      <c r="U22" s="17">
        <f>COUNTIF($I22:$O22,1)</f>
        <v/>
      </c>
      <c r="V22" s="17">
        <f>COUNTIF($I22:$O22, 0 &amp; "*")</f>
        <v/>
      </c>
      <c r="W22" s="17">
        <f>COUNTIF($I22:$O22,"Missed hit")</f>
        <v/>
      </c>
      <c r="X22" s="17">
        <f>IF($E$3=15,SUM(_xlfn.XLOOKUP(G22,$A$3:$A$17,$C$3:$C$17,0),_xlfn.XLOOKUP(G22,$A$18:$A$32,$C$18:$C$32,0),_xlfn.XLOOKUP(G22,$A$33:$A$47,$C$33:$C$47,0), _xlfn.XLOOKUP(G22,$A$48:$A$62,$C$48:$C$62,0), _xlfn.XLOOKUP(G22,$A$63:$A$77,$C$63:$C$77,0), _xlfn.XLOOKUP(G22,$A$78:$A$92,$C$78:$C$92,0), _xlfn.XLOOKUP(G22,$A$93:$A$107,$C$93:$C$107,0)))</f>
        <v/>
      </c>
      <c r="Y22" s="17">
        <f>COUNTIF($I22:$O22,"Not in war")</f>
        <v/>
      </c>
      <c r="AB22" s="61" t="n">
        <v>0</v>
      </c>
      <c r="AC22" s="58" t="n">
        <v>0</v>
      </c>
      <c r="AD22" s="8" t="n">
        <v>0</v>
      </c>
      <c r="AE22" s="8" t="n">
        <v>0</v>
      </c>
      <c r="AF22" s="7" t="n">
        <v>0</v>
      </c>
      <c r="AG22" s="7" t="n">
        <v>0</v>
      </c>
      <c r="AH22" s="7" t="n">
        <v>0</v>
      </c>
      <c r="AI22" s="6" t="n">
        <v>0</v>
      </c>
      <c r="AJ22" s="55" t="n">
        <v>0</v>
      </c>
      <c r="AK22" s="16" t="n">
        <v>0</v>
      </c>
      <c r="AL22" s="14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b">
        <v>0</v>
      </c>
      <c r="AS22" s="17" t="n">
        <v>0</v>
      </c>
    </row>
    <row r="23" ht="19.5" customFormat="1" customHeight="1" s="3">
      <c r="A23" s="30" t="n"/>
      <c r="B23" s="40" t="n"/>
      <c r="C23" s="40" t="n"/>
      <c r="D23" s="30" t="n"/>
      <c r="E23" s="34" t="n"/>
      <c r="F23" s="30" t="n"/>
      <c r="G23" s="9" t="n"/>
      <c r="H23" s="20" t="n"/>
      <c r="I23" s="8">
        <f>IFERROR(IF($E$3=15,IF(_xlfn.XLOOKUP(G23,A$3:A$17,B$3:B$17) = "Missed Hit",_xlfn.XLOOKUP(G23,A$3:A$17,B$3:B$17),_xlfn.XLOOKUP(G23,A$3:A$17,B$3:B$17) &amp; " Star " &amp; _xlfn.XLOOKUP(G23,A$3:A$17,C$3:C$17) &amp; "%"),_xlfn.XLOOKUP(G23,A$3:A$32,B$3:B$32)),"Not in war")</f>
        <v/>
      </c>
      <c r="J23" s="8">
        <f>IFERROR(IF($E$3=15,IF(_xlfn.XLOOKUP(G23,A$18:A$32,B$18:B$32) = "Missed Hit",_xlfn.XLOOKUP(G23,A$18:A$32,B$18:B$32),_xlfn.XLOOKUP(G23,A$18:A$32,B$18:B$32) &amp; " Star " &amp; _xlfn.XLOOKUP(G23,A$18:A$32,C$18:C$32) &amp; "%"),_xlfn.XLOOKUP(G23,A$33:A$62,B$33:B$62)),"Not in war")</f>
        <v/>
      </c>
      <c r="K23" s="8">
        <f>IFERROR(IF($E$3=15,IF(_xlfn.XLOOKUP(G23,A$33:A$47,B$33:B$47) = "Missed Hit",_xlfn.XLOOKUP(G23,A$33:A$47,B$33:B$47),_xlfn.XLOOKUP(G23,A$33:A$47,B$33:B$47) &amp; " Star " &amp; _xlfn.XLOOKUP(G23,A$33:A$47,C$33:C$47) &amp; "%"),_xlfn.XLOOKUP(G23,A$63:A$92,B$63:B$92)),"Not in war")</f>
        <v/>
      </c>
      <c r="L23" s="7">
        <f>IFERROR(IF($E$3=15,IF(_xlfn.XLOOKUP(G23,A$48:A$62,B$48:B$62) = "Missed Hit",_xlfn.XLOOKUP(G23,A$48:A$62,B$48:B$62),_xlfn.XLOOKUP(G23,A$48:A$62,B$48:B$62) &amp; " Star " &amp; _xlfn.XLOOKUP(G23,A$48:A$62,C$48:C$62) &amp; "%"),_xlfn.XLOOKUP(G23,A$93:A$122,B$93:B$122)),"Not in war")</f>
        <v/>
      </c>
      <c r="M23" s="7">
        <f>IFERROR(IF($E$3=15,IF(_xlfn.XLOOKUP(G23,A$63:A$77,B$63:B$77) = "Missed Hit",_xlfn.XLOOKUP(G23,A$63:A$77,B$63:B$77),_xlfn.XLOOKUP(G23,A$63:A$77,B$63:B$77) &amp; " Star " &amp; _xlfn.XLOOKUP(G23,A$63:A$77,C$63:C$77) &amp; "%"),_xlfn.XLOOKUP(G23,A$123:A$152,B$123:B$152)),"Not in war")</f>
        <v/>
      </c>
      <c r="N23" s="7">
        <f>IFERROR(IF($E$3=15,IF(_xlfn.XLOOKUP(G23,A$78:A$92,B$78:B$92) = "Missed Hit",_xlfn.XLOOKUP(G23,A$78:A$92,B$78:B$92),_xlfn.XLOOKUP(G23,A$78:A$92,B$78:B$92) &amp; " Star " &amp; _xlfn.XLOOKUP(G23,A$78:A$92,C$78:C$92) &amp; "%"),_xlfn.XLOOKUP(G23,A$153:A$182,B$153:B$182)),"Not in war")</f>
        <v/>
      </c>
      <c r="O23" s="6">
        <f>IFERROR(IF($E$3=15,IF(_xlfn.XLOOKUP(G23,A$93:A$107,B$93:B$107) = "Missed Hit",_xlfn.XLOOKUP(G23,A$93:A$107,B$93:B$107),_xlfn.XLOOKUP(G23,A$93:A$107,B$93:B$107) &amp; " Star " &amp; _xlfn.XLOOKUP(G23,A$93:A$107,C$93:C$107) &amp; "%"),_xlfn.XLOOKUP(G23,A$153:A$182,B$153:B$182)),"Not in war")</f>
        <v/>
      </c>
      <c r="Q23" s="16">
        <f>IFERROR($R23/(3*(7-$Y23)),0)</f>
        <v/>
      </c>
      <c r="R23" s="14">
        <f>3*S23+2*T23+U23</f>
        <v/>
      </c>
      <c r="S23" s="17">
        <f>COUNTIF($I23:$O23, 3 &amp; "*")</f>
        <v/>
      </c>
      <c r="T23" s="17">
        <f>COUNTIF($I23:$O23, 2 &amp; "*")</f>
        <v/>
      </c>
      <c r="U23" s="17">
        <f>COUNTIF($I23:$O23,1)</f>
        <v/>
      </c>
      <c r="V23" s="17">
        <f>COUNTIF($I23:$O23, 0 &amp; "*")</f>
        <v/>
      </c>
      <c r="W23" s="17">
        <f>COUNTIF($I23:$O23,"Missed hit")</f>
        <v/>
      </c>
      <c r="X23" s="17">
        <f>IF($E$3=15,SUM(_xlfn.XLOOKUP(G23,$A$3:$A$17,$C$3:$C$17,0),_xlfn.XLOOKUP(G23,$A$18:$A$32,$C$18:$C$32,0),_xlfn.XLOOKUP(G23,$A$33:$A$47,$C$33:$C$47,0), _xlfn.XLOOKUP(G23,$A$48:$A$62,$C$48:$C$62,0), _xlfn.XLOOKUP(G23,$A$63:$A$77,$C$63:$C$77,0), _xlfn.XLOOKUP(G23,$A$78:$A$92,$C$78:$C$92,0), _xlfn.XLOOKUP(G23,$A$93:$A$107,$C$93:$C$107,0)))</f>
        <v/>
      </c>
      <c r="Y23" s="17">
        <f>COUNTIF($I23:$O23,"Not in war")</f>
        <v/>
      </c>
      <c r="AB23" s="61" t="n">
        <v>0</v>
      </c>
      <c r="AC23" s="58" t="n">
        <v>0</v>
      </c>
      <c r="AD23" s="8" t="n">
        <v>0</v>
      </c>
      <c r="AE23" s="8" t="n">
        <v>0</v>
      </c>
      <c r="AF23" s="7" t="n">
        <v>0</v>
      </c>
      <c r="AG23" s="7" t="n">
        <v>0</v>
      </c>
      <c r="AH23" s="7" t="n">
        <v>0</v>
      </c>
      <c r="AI23" s="6" t="n">
        <v>0</v>
      </c>
      <c r="AJ23" s="55" t="n">
        <v>0</v>
      </c>
      <c r="AK23" s="16" t="n">
        <v>0</v>
      </c>
      <c r="AL23" s="14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b">
        <v>0</v>
      </c>
      <c r="AS23" s="17" t="n">
        <v>0</v>
      </c>
    </row>
    <row r="24" ht="18.75" customFormat="1" customHeight="1" s="3">
      <c r="A24" s="30" t="n"/>
      <c r="B24" s="40" t="n"/>
      <c r="C24" s="40" t="n"/>
      <c r="D24" s="30" t="n"/>
      <c r="E24" s="34" t="n"/>
      <c r="F24" s="30" t="n"/>
      <c r="G24" s="9" t="n"/>
      <c r="H24" s="20" t="n"/>
      <c r="I24" s="8">
        <f>IFERROR(IF($E$3=15,IF(_xlfn.XLOOKUP(G24,A$3:A$17,B$3:B$17) = "Missed Hit",_xlfn.XLOOKUP(G24,A$3:A$17,B$3:B$17),_xlfn.XLOOKUP(G24,A$3:A$17,B$3:B$17) &amp; " Star " &amp; _xlfn.XLOOKUP(G24,A$3:A$17,C$3:C$17) &amp; "%"),_xlfn.XLOOKUP(G24,A$3:A$32,B$3:B$32)),"Not in war")</f>
        <v/>
      </c>
      <c r="J24" s="8">
        <f>IFERROR(IF($E$3=15,IF(_xlfn.XLOOKUP(G24,A$18:A$32,B$18:B$32) = "Missed Hit",_xlfn.XLOOKUP(G24,A$18:A$32,B$18:B$32),_xlfn.XLOOKUP(G24,A$18:A$32,B$18:B$32) &amp; " Star " &amp; _xlfn.XLOOKUP(G24,A$18:A$32,C$18:C$32) &amp; "%"),_xlfn.XLOOKUP(G24,A$33:A$62,B$33:B$62)),"Not in war")</f>
        <v/>
      </c>
      <c r="K24" s="8">
        <f>IFERROR(IF($E$3=15,IF(_xlfn.XLOOKUP(G24,A$33:A$47,B$33:B$47) = "Missed Hit",_xlfn.XLOOKUP(G24,A$33:A$47,B$33:B$47),_xlfn.XLOOKUP(G24,A$33:A$47,B$33:B$47) &amp; " Star " &amp; _xlfn.XLOOKUP(G24,A$33:A$47,C$33:C$47) &amp; "%"),_xlfn.XLOOKUP(G24,A$63:A$92,B$63:B$92)),"Not in war")</f>
        <v/>
      </c>
      <c r="L24" s="7">
        <f>IFERROR(IF($E$3=15,IF(_xlfn.XLOOKUP(G24,A$48:A$62,B$48:B$62) = "Missed Hit",_xlfn.XLOOKUP(G24,A$48:A$62,B$48:B$62),_xlfn.XLOOKUP(G24,A$48:A$62,B$48:B$62) &amp; " Star " &amp; _xlfn.XLOOKUP(G24,A$48:A$62,C$48:C$62) &amp; "%"),_xlfn.XLOOKUP(G24,A$93:A$122,B$93:B$122)),"Not in war")</f>
        <v/>
      </c>
      <c r="M24" s="7">
        <f>IFERROR(IF($E$3=15,IF(_xlfn.XLOOKUP(G24,A$63:A$77,B$63:B$77) = "Missed Hit",_xlfn.XLOOKUP(G24,A$63:A$77,B$63:B$77),_xlfn.XLOOKUP(G24,A$63:A$77,B$63:B$77) &amp; " Star " &amp; _xlfn.XLOOKUP(G24,A$63:A$77,C$63:C$77) &amp; "%"),_xlfn.XLOOKUP(G24,A$123:A$152,B$123:B$152)),"Not in war")</f>
        <v/>
      </c>
      <c r="N24" s="7">
        <f>IFERROR(IF($E$3=15,IF(_xlfn.XLOOKUP(G24,A$78:A$92,B$78:B$92) = "Missed Hit",_xlfn.XLOOKUP(G24,A$78:A$92,B$78:B$92),_xlfn.XLOOKUP(G24,A$78:A$92,B$78:B$92) &amp; " Star " &amp; _xlfn.XLOOKUP(G24,A$78:A$92,C$78:C$92) &amp; "%"),_xlfn.XLOOKUP(G24,A$153:A$182,B$153:B$182)),"Not in war")</f>
        <v/>
      </c>
      <c r="O24" s="6">
        <f>IFERROR(IF($E$3=15,IF(_xlfn.XLOOKUP(G24,A$93:A$107,B$93:B$107) = "Missed Hit",_xlfn.XLOOKUP(G24,A$93:A$107,B$93:B$107),_xlfn.XLOOKUP(G24,A$93:A$107,B$93:B$107) &amp; " Star " &amp; _xlfn.XLOOKUP(G24,A$93:A$107,C$93:C$107) &amp; "%"),_xlfn.XLOOKUP(G24,A$153:A$182,B$153:B$182)),"Not in war")</f>
        <v/>
      </c>
      <c r="Q24" s="16">
        <f>IFERROR($R24/(3*(7-$Y24)),0)</f>
        <v/>
      </c>
      <c r="R24" s="14">
        <f>3*S24+2*T24+U24</f>
        <v/>
      </c>
      <c r="S24" s="17">
        <f>COUNTIF($I24:$O24, 3 &amp; "*")</f>
        <v/>
      </c>
      <c r="T24" s="17">
        <f>COUNTIF($I24:$O24, 2 &amp; "*")</f>
        <v/>
      </c>
      <c r="U24" s="17">
        <f>COUNTIF($I24:$O24,1)</f>
        <v/>
      </c>
      <c r="V24" s="17">
        <f>COUNTIF($I24:$O24, 0 &amp; "*")</f>
        <v/>
      </c>
      <c r="W24" s="17">
        <f>COUNTIF($I24:$O24,"Missed hit")</f>
        <v/>
      </c>
      <c r="X24" s="17">
        <f>IF($E$3=15,SUM(_xlfn.XLOOKUP(G24,$A$3:$A$17,$C$3:$C$17,0),_xlfn.XLOOKUP(G24,$A$18:$A$32,$C$18:$C$32,0),_xlfn.XLOOKUP(G24,$A$33:$A$47,$C$33:$C$47,0), _xlfn.XLOOKUP(G24,$A$48:$A$62,$C$48:$C$62,0), _xlfn.XLOOKUP(G24,$A$63:$A$77,$C$63:$C$77,0), _xlfn.XLOOKUP(G24,$A$78:$A$92,$C$78:$C$92,0), _xlfn.XLOOKUP(G24,$A$93:$A$107,$C$93:$C$107,0)))</f>
        <v/>
      </c>
      <c r="Y24" s="17">
        <f>COUNTIF($I24:$O24,"Not in war")</f>
        <v/>
      </c>
      <c r="AB24" s="61" t="n">
        <v>0</v>
      </c>
      <c r="AC24" s="58" t="n">
        <v>0</v>
      </c>
      <c r="AD24" s="8" t="n">
        <v>0</v>
      </c>
      <c r="AE24" s="8" t="n">
        <v>0</v>
      </c>
      <c r="AF24" s="7" t="n">
        <v>0</v>
      </c>
      <c r="AG24" s="7" t="n">
        <v>0</v>
      </c>
      <c r="AH24" s="7" t="n">
        <v>0</v>
      </c>
      <c r="AI24" s="6" t="n">
        <v>0</v>
      </c>
      <c r="AJ24" s="55" t="n">
        <v>0</v>
      </c>
      <c r="AK24" s="16" t="n">
        <v>0</v>
      </c>
      <c r="AL24" s="14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b">
        <v>0</v>
      </c>
      <c r="AS24" s="17" t="n">
        <v>0</v>
      </c>
    </row>
    <row r="25" ht="18.75" customFormat="1" customHeight="1" s="3">
      <c r="A25" s="30" t="n"/>
      <c r="B25" s="40" t="n"/>
      <c r="C25" s="40" t="n"/>
      <c r="D25" s="30" t="n"/>
      <c r="E25" s="34" t="n"/>
      <c r="F25" s="30" t="n"/>
      <c r="G25" s="9" t="n"/>
      <c r="H25" s="20" t="n"/>
      <c r="I25" s="8">
        <f>IFERROR(IF($E$3=15,IF(_xlfn.XLOOKUP(G25,A$3:A$17,B$3:B$17) = "Missed Hit",_xlfn.XLOOKUP(G25,A$3:A$17,B$3:B$17),_xlfn.XLOOKUP(G25,A$3:A$17,B$3:B$17) &amp; " Star " &amp; _xlfn.XLOOKUP(G25,A$3:A$17,C$3:C$17) &amp; "%"),_xlfn.XLOOKUP(G25,A$3:A$32,B$3:B$32)),"Not in war")</f>
        <v/>
      </c>
      <c r="J25" s="8">
        <f>IFERROR(IF($E$3=15,IF(_xlfn.XLOOKUP(G25,A$18:A$32,B$18:B$32) = "Missed Hit",_xlfn.XLOOKUP(G25,A$18:A$32,B$18:B$32),_xlfn.XLOOKUP(G25,A$18:A$32,B$18:B$32) &amp; " Star " &amp; _xlfn.XLOOKUP(G25,A$18:A$32,C$18:C$32) &amp; "%"),_xlfn.XLOOKUP(G25,A$33:A$62,B$33:B$62)),"Not in war")</f>
        <v/>
      </c>
      <c r="K25" s="8">
        <f>IFERROR(IF($E$3=15,IF(_xlfn.XLOOKUP(G25,A$33:A$47,B$33:B$47) = "Missed Hit",_xlfn.XLOOKUP(G25,A$33:A$47,B$33:B$47),_xlfn.XLOOKUP(G25,A$33:A$47,B$33:B$47) &amp; " Star " &amp; _xlfn.XLOOKUP(G25,A$33:A$47,C$33:C$47) &amp; "%"),_xlfn.XLOOKUP(G25,A$63:A$92,B$63:B$92)),"Not in war")</f>
        <v/>
      </c>
      <c r="L25" s="7">
        <f>IFERROR(IF($E$3=15,IF(_xlfn.XLOOKUP(G25,A$48:A$62,B$48:B$62) = "Missed Hit",_xlfn.XLOOKUP(G25,A$48:A$62,B$48:B$62),_xlfn.XLOOKUP(G25,A$48:A$62,B$48:B$62) &amp; " Star " &amp; _xlfn.XLOOKUP(G25,A$48:A$62,C$48:C$62) &amp; "%"),_xlfn.XLOOKUP(G25,A$93:A$122,B$93:B$122)),"Not in war")</f>
        <v/>
      </c>
      <c r="M25" s="7">
        <f>IFERROR(IF($E$3=15,IF(_xlfn.XLOOKUP(G25,A$63:A$77,B$63:B$77) = "Missed Hit",_xlfn.XLOOKUP(G25,A$63:A$77,B$63:B$77),_xlfn.XLOOKUP(G25,A$63:A$77,B$63:B$77) &amp; " Star " &amp; _xlfn.XLOOKUP(G25,A$63:A$77,C$63:C$77) &amp; "%"),_xlfn.XLOOKUP(G25,A$123:A$152,B$123:B$152)),"Not in war")</f>
        <v/>
      </c>
      <c r="N25" s="7">
        <f>IFERROR(IF($E$3=15,IF(_xlfn.XLOOKUP(G25,A$78:A$92,B$78:B$92) = "Missed Hit",_xlfn.XLOOKUP(G25,A$78:A$92,B$78:B$92),_xlfn.XLOOKUP(G25,A$78:A$92,B$78:B$92) &amp; " Star " &amp; _xlfn.XLOOKUP(G25,A$78:A$92,C$78:C$92) &amp; "%"),_xlfn.XLOOKUP(G25,A$153:A$182,B$153:B$182)),"Not in war")</f>
        <v/>
      </c>
      <c r="O25" s="6">
        <f>IFERROR(IF($E$3=15,IF(_xlfn.XLOOKUP(G25,A$93:A$107,B$93:B$107) = "Missed Hit",_xlfn.XLOOKUP(G25,A$93:A$107,B$93:B$107),_xlfn.XLOOKUP(G25,A$93:A$107,B$93:B$107) &amp; " Star " &amp; _xlfn.XLOOKUP(G25,A$93:A$107,C$93:C$107) &amp; "%"),_xlfn.XLOOKUP(G25,A$153:A$182,B$153:B$182)),"Not in war")</f>
        <v/>
      </c>
      <c r="Q25" s="16">
        <f>IFERROR($R25/(3*(7-$Y25)),0)</f>
        <v/>
      </c>
      <c r="R25" s="14">
        <f>3*S25+2*T25+U25</f>
        <v/>
      </c>
      <c r="S25" s="17">
        <f>COUNTIF($I25:$O25, 3 &amp; "*")</f>
        <v/>
      </c>
      <c r="T25" s="17">
        <f>COUNTIF($I25:$O25, 2 &amp; "*")</f>
        <v/>
      </c>
      <c r="U25" s="17">
        <f>COUNTIF($I25:$O25,1)</f>
        <v/>
      </c>
      <c r="V25" s="17">
        <f>COUNTIF($I25:$O25, 0 &amp; "*")</f>
        <v/>
      </c>
      <c r="W25" s="17">
        <f>COUNTIF($I25:$O25,"Missed hit")</f>
        <v/>
      </c>
      <c r="X25" s="17">
        <f>IF($E$3=15,SUM(_xlfn.XLOOKUP(G25,$A$3:$A$17,$C$3:$C$17,0),_xlfn.XLOOKUP(G25,$A$18:$A$32,$C$18:$C$32,0),_xlfn.XLOOKUP(G25,$A$33:$A$47,$C$33:$C$47,0), _xlfn.XLOOKUP(G25,$A$48:$A$62,$C$48:$C$62,0), _xlfn.XLOOKUP(G25,$A$63:$A$77,$C$63:$C$77,0), _xlfn.XLOOKUP(G25,$A$78:$A$92,$C$78:$C$92,0), _xlfn.XLOOKUP(G25,$A$93:$A$107,$C$93:$C$107,0)))</f>
        <v/>
      </c>
      <c r="Y25" s="17">
        <f>COUNTIF($I25:$O25,"Not in war")</f>
        <v/>
      </c>
      <c r="AB25" s="61" t="n">
        <v>0</v>
      </c>
      <c r="AC25" s="58" t="n">
        <v>0</v>
      </c>
      <c r="AD25" s="8" t="n">
        <v>0</v>
      </c>
      <c r="AE25" s="8" t="n">
        <v>0</v>
      </c>
      <c r="AF25" s="7" t="n">
        <v>0</v>
      </c>
      <c r="AG25" s="7" t="n">
        <v>0</v>
      </c>
      <c r="AH25" s="7" t="n">
        <v>0</v>
      </c>
      <c r="AI25" s="6" t="n">
        <v>0</v>
      </c>
      <c r="AJ25" s="55" t="n">
        <v>0</v>
      </c>
      <c r="AK25" s="16" t="n">
        <v>0</v>
      </c>
      <c r="AL25" s="14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b">
        <v>0</v>
      </c>
      <c r="AS25" s="17" t="n">
        <v>0</v>
      </c>
    </row>
    <row r="26" ht="18.75" customFormat="1" customHeight="1" s="3">
      <c r="A26" s="30" t="n"/>
      <c r="B26" s="40" t="n"/>
      <c r="C26" s="40" t="n"/>
      <c r="D26" s="30" t="n"/>
      <c r="E26" s="34" t="n"/>
      <c r="F26" s="30" t="n"/>
      <c r="G26" s="9" t="n"/>
      <c r="H26" s="20" t="n"/>
      <c r="I26" s="8">
        <f>IFERROR(IF($E$3=15,IF(_xlfn.XLOOKUP(G26,A$3:A$17,B$3:B$17) = "Missed Hit",_xlfn.XLOOKUP(G26,A$3:A$17,B$3:B$17),_xlfn.XLOOKUP(G26,A$3:A$17,B$3:B$17) &amp; " Star " &amp; _xlfn.XLOOKUP(G26,A$3:A$17,C$3:C$17) &amp; "%"),_xlfn.XLOOKUP(G26,A$3:A$32,B$3:B$32)),"Not in war")</f>
        <v/>
      </c>
      <c r="J26" s="8">
        <f>IFERROR(IF($E$3=15,IF(_xlfn.XLOOKUP(G26,A$18:A$32,B$18:B$32) = "Missed Hit",_xlfn.XLOOKUP(G26,A$18:A$32,B$18:B$32),_xlfn.XLOOKUP(G26,A$18:A$32,B$18:B$32) &amp; " Star " &amp; _xlfn.XLOOKUP(G26,A$18:A$32,C$18:C$32) &amp; "%"),_xlfn.XLOOKUP(G26,A$33:A$62,B$33:B$62)),"Not in war")</f>
        <v/>
      </c>
      <c r="K26" s="8">
        <f>IFERROR(IF($E$3=15,IF(_xlfn.XLOOKUP(G26,A$33:A$47,B$33:B$47) = "Missed Hit",_xlfn.XLOOKUP(G26,A$33:A$47,B$33:B$47),_xlfn.XLOOKUP(G26,A$33:A$47,B$33:B$47) &amp; " Star " &amp; _xlfn.XLOOKUP(G26,A$33:A$47,C$33:C$47) &amp; "%"),_xlfn.XLOOKUP(G26,A$63:A$92,B$63:B$92)),"Not in war")</f>
        <v/>
      </c>
      <c r="L26" s="7">
        <f>IFERROR(IF($E$3=15,IF(_xlfn.XLOOKUP(G26,A$48:A$62,B$48:B$62) = "Missed Hit",_xlfn.XLOOKUP(G26,A$48:A$62,B$48:B$62),_xlfn.XLOOKUP(G26,A$48:A$62,B$48:B$62) &amp; " Star " &amp; _xlfn.XLOOKUP(G26,A$48:A$62,C$48:C$62) &amp; "%"),_xlfn.XLOOKUP(G26,A$93:A$122,B$93:B$122)),"Not in war")</f>
        <v/>
      </c>
      <c r="M26" s="7">
        <f>IFERROR(IF($E$3=15,IF(_xlfn.XLOOKUP(G26,A$63:A$77,B$63:B$77) = "Missed Hit",_xlfn.XLOOKUP(G26,A$63:A$77,B$63:B$77),_xlfn.XLOOKUP(G26,A$63:A$77,B$63:B$77) &amp; " Star " &amp; _xlfn.XLOOKUP(G26,A$63:A$77,C$63:C$77) &amp; "%"),_xlfn.XLOOKUP(G26,A$123:A$152,B$123:B$152)),"Not in war")</f>
        <v/>
      </c>
      <c r="N26" s="7">
        <f>IFERROR(IF($E$3=15,IF(_xlfn.XLOOKUP(G26,A$78:A$92,B$78:B$92) = "Missed Hit",_xlfn.XLOOKUP(G26,A$78:A$92,B$78:B$92),_xlfn.XLOOKUP(G26,A$78:A$92,B$78:B$92) &amp; " Star " &amp; _xlfn.XLOOKUP(G26,A$78:A$92,C$78:C$92) &amp; "%"),_xlfn.XLOOKUP(G26,A$153:A$182,B$153:B$182)),"Not in war")</f>
        <v/>
      </c>
      <c r="O26" s="6">
        <f>IFERROR(IF($E$3=15,IF(_xlfn.XLOOKUP(G26,A$93:A$107,B$93:B$107) = "Missed Hit",_xlfn.XLOOKUP(G26,A$93:A$107,B$93:B$107),_xlfn.XLOOKUP(G26,A$93:A$107,B$93:B$107) &amp; " Star " &amp; _xlfn.XLOOKUP(G26,A$93:A$107,C$93:C$107) &amp; "%"),_xlfn.XLOOKUP(G26,A$153:A$182,B$153:B$182)),"Not in war")</f>
        <v/>
      </c>
      <c r="Q26" s="16">
        <f>IFERROR($R26/(3*(7-$Y26)),0)</f>
        <v/>
      </c>
      <c r="R26" s="14">
        <f>3*S26+2*T26+U26</f>
        <v/>
      </c>
      <c r="S26" s="17">
        <f>COUNTIF($I26:$O26, 3 &amp; "*")</f>
        <v/>
      </c>
      <c r="T26" s="17">
        <f>COUNTIF($I26:$O26, 2 &amp; "*")</f>
        <v/>
      </c>
      <c r="U26" s="17">
        <f>COUNTIF($I26:$O26,1)</f>
        <v/>
      </c>
      <c r="V26" s="17">
        <f>COUNTIF($I26:$O26, 0 &amp; "*")</f>
        <v/>
      </c>
      <c r="W26" s="17">
        <f>COUNTIF($I26:$O26,"Missed hit")</f>
        <v/>
      </c>
      <c r="X26" s="17">
        <f>IF($E$3=15,SUM(_xlfn.XLOOKUP(G26,$A$3:$A$17,$C$3:$C$17,0),_xlfn.XLOOKUP(G26,$A$18:$A$32,$C$18:$C$32,0),_xlfn.XLOOKUP(G26,$A$33:$A$47,$C$33:$C$47,0), _xlfn.XLOOKUP(G26,$A$48:$A$62,$C$48:$C$62,0), _xlfn.XLOOKUP(G26,$A$63:$A$77,$C$63:$C$77,0), _xlfn.XLOOKUP(G26,$A$78:$A$92,$C$78:$C$92,0), _xlfn.XLOOKUP(G26,$A$93:$A$107,$C$93:$C$107,0)))</f>
        <v/>
      </c>
      <c r="Y26" s="17">
        <f>COUNTIF($I26:$O26,"Not in war")</f>
        <v/>
      </c>
      <c r="AB26" s="61" t="n">
        <v>0</v>
      </c>
      <c r="AC26" s="58" t="n">
        <v>0</v>
      </c>
      <c r="AD26" s="8" t="n">
        <v>0</v>
      </c>
      <c r="AE26" s="8" t="n">
        <v>0</v>
      </c>
      <c r="AF26" s="7" t="n">
        <v>0</v>
      </c>
      <c r="AG26" s="7" t="n">
        <v>0</v>
      </c>
      <c r="AH26" s="7" t="n">
        <v>0</v>
      </c>
      <c r="AI26" s="6" t="n">
        <v>0</v>
      </c>
      <c r="AJ26" s="55" t="n">
        <v>0</v>
      </c>
      <c r="AK26" s="16" t="n">
        <v>0</v>
      </c>
      <c r="AL26" s="14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b">
        <v>0</v>
      </c>
      <c r="AS26" s="17" t="n">
        <v>0</v>
      </c>
    </row>
    <row r="27" ht="18.75" customFormat="1" customHeight="1" s="3">
      <c r="A27" s="30" t="n"/>
      <c r="B27" s="40" t="n"/>
      <c r="C27" s="40" t="n"/>
      <c r="D27" s="30" t="n"/>
      <c r="E27" s="34" t="n"/>
      <c r="F27" s="30" t="n"/>
      <c r="G27" s="9" t="n"/>
      <c r="H27" s="20" t="n"/>
      <c r="I27" s="8">
        <f>IFERROR(IF($E$3=15,IF(_xlfn.XLOOKUP(G27,A$3:A$17,B$3:B$17) = "Missed Hit",_xlfn.XLOOKUP(G27,A$3:A$17,B$3:B$17),_xlfn.XLOOKUP(G27,A$3:A$17,B$3:B$17) &amp; " Star " &amp; _xlfn.XLOOKUP(G27,A$3:A$17,C$3:C$17) &amp; "%"),_xlfn.XLOOKUP(G27,A$3:A$32,B$3:B$32)),"Not in war")</f>
        <v/>
      </c>
      <c r="J27" s="8">
        <f>IFERROR(IF($E$3=15,IF(_xlfn.XLOOKUP(G27,A$18:A$32,B$18:B$32) = "Missed Hit",_xlfn.XLOOKUP(G27,A$18:A$32,B$18:B$32),_xlfn.XLOOKUP(G27,A$18:A$32,B$18:B$32) &amp; " Star " &amp; _xlfn.XLOOKUP(G27,A$18:A$32,C$18:C$32) &amp; "%"),_xlfn.XLOOKUP(G27,A$33:A$62,B$33:B$62)),"Not in war")</f>
        <v/>
      </c>
      <c r="K27" s="8">
        <f>IFERROR(IF($E$3=15,IF(_xlfn.XLOOKUP(G27,A$33:A$47,B$33:B$47) = "Missed Hit",_xlfn.XLOOKUP(G27,A$33:A$47,B$33:B$47),_xlfn.XLOOKUP(G27,A$33:A$47,B$33:B$47) &amp; " Star " &amp; _xlfn.XLOOKUP(G27,A$33:A$47,C$33:C$47) &amp; "%"),_xlfn.XLOOKUP(G27,A$63:A$92,B$63:B$92)),"Not in war")</f>
        <v/>
      </c>
      <c r="L27" s="7">
        <f>IFERROR(IF($E$3=15,IF(_xlfn.XLOOKUP(G27,A$48:A$62,B$48:B$62) = "Missed Hit",_xlfn.XLOOKUP(G27,A$48:A$62,B$48:B$62),_xlfn.XLOOKUP(G27,A$48:A$62,B$48:B$62) &amp; " Star " &amp; _xlfn.XLOOKUP(G27,A$48:A$62,C$48:C$62) &amp; "%"),_xlfn.XLOOKUP(G27,A$93:A$122,B$93:B$122)),"Not in war")</f>
        <v/>
      </c>
      <c r="M27" s="7">
        <f>IFERROR(IF($E$3=15,IF(_xlfn.XLOOKUP(G27,A$63:A$77,B$63:B$77) = "Missed Hit",_xlfn.XLOOKUP(G27,A$63:A$77,B$63:B$77),_xlfn.XLOOKUP(G27,A$63:A$77,B$63:B$77) &amp; " Star " &amp; _xlfn.XLOOKUP(G27,A$63:A$77,C$63:C$77) &amp; "%"),_xlfn.XLOOKUP(G27,A$123:A$152,B$123:B$152)),"Not in war")</f>
        <v/>
      </c>
      <c r="N27" s="7">
        <f>IFERROR(IF($E$3=15,IF(_xlfn.XLOOKUP(G27,A$78:A$92,B$78:B$92) = "Missed Hit",_xlfn.XLOOKUP(G27,A$78:A$92,B$78:B$92),_xlfn.XLOOKUP(G27,A$78:A$92,B$78:B$92) &amp; " Star " &amp; _xlfn.XLOOKUP(G27,A$78:A$92,C$78:C$92) &amp; "%"),_xlfn.XLOOKUP(G27,A$153:A$182,B$153:B$182)),"Not in war")</f>
        <v/>
      </c>
      <c r="O27" s="6">
        <f>IFERROR(IF($E$3=15,IF(_xlfn.XLOOKUP(G27,A$93:A$107,B$93:B$107) = "Missed Hit",_xlfn.XLOOKUP(G27,A$93:A$107,B$93:B$107),_xlfn.XLOOKUP(G27,A$93:A$107,B$93:B$107) &amp; " Star " &amp; _xlfn.XLOOKUP(G27,A$93:A$107,C$93:C$107) &amp; "%"),_xlfn.XLOOKUP(G27,A$153:A$182,B$153:B$182)),"Not in war")</f>
        <v/>
      </c>
      <c r="Q27" s="16">
        <f>IFERROR($R27/(3*(7-$Y27)),0)</f>
        <v/>
      </c>
      <c r="R27" s="14">
        <f>3*S27+2*T27+U27</f>
        <v/>
      </c>
      <c r="S27" s="17">
        <f>COUNTIF($I27:$O27, 3 &amp; "*")</f>
        <v/>
      </c>
      <c r="T27" s="17">
        <f>COUNTIF($I27:$O27, 2 &amp; "*")</f>
        <v/>
      </c>
      <c r="U27" s="17">
        <f>COUNTIF($I27:$O27,1)</f>
        <v/>
      </c>
      <c r="V27" s="17">
        <f>COUNTIF($I27:$O27, 0 &amp; "*")</f>
        <v/>
      </c>
      <c r="W27" s="17">
        <f>COUNTIF($I27:$O27,"Missed hit")</f>
        <v/>
      </c>
      <c r="X27" s="17">
        <f>IF($E$3=15,SUM(_xlfn.XLOOKUP(G27,$A$3:$A$17,$C$3:$C$17,0),_xlfn.XLOOKUP(G27,$A$18:$A$32,$C$18:$C$32,0),_xlfn.XLOOKUP(G27,$A$33:$A$47,$C$33:$C$47,0), _xlfn.XLOOKUP(G27,$A$48:$A$62,$C$48:$C$62,0), _xlfn.XLOOKUP(G27,$A$63:$A$77,$C$63:$C$77,0), _xlfn.XLOOKUP(G27,$A$78:$A$92,$C$78:$C$92,0), _xlfn.XLOOKUP(G27,$A$93:$A$107,$C$93:$C$107,0)))</f>
        <v/>
      </c>
      <c r="Y27" s="17">
        <f>COUNTIF($I27:$O27,"Not in war")</f>
        <v/>
      </c>
      <c r="AB27" s="61" t="n">
        <v>0</v>
      </c>
      <c r="AC27" s="58" t="n">
        <v>0</v>
      </c>
      <c r="AD27" s="8" t="n">
        <v>0</v>
      </c>
      <c r="AE27" s="8" t="n">
        <v>0</v>
      </c>
      <c r="AF27" s="7" t="n">
        <v>0</v>
      </c>
      <c r="AG27" s="7" t="n">
        <v>0</v>
      </c>
      <c r="AH27" s="7" t="n">
        <v>0</v>
      </c>
      <c r="AI27" s="6" t="n">
        <v>0</v>
      </c>
      <c r="AJ27" s="55" t="n">
        <v>0</v>
      </c>
      <c r="AK27" s="16" t="n">
        <v>0</v>
      </c>
      <c r="AL27" s="14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b">
        <v>0</v>
      </c>
      <c r="AS27" s="17" t="n">
        <v>0</v>
      </c>
    </row>
    <row r="28" ht="18.75" customFormat="1" customHeight="1" s="3">
      <c r="A28" s="30" t="n"/>
      <c r="B28" s="40" t="n"/>
      <c r="C28" s="40" t="n"/>
      <c r="D28" s="30" t="n"/>
      <c r="E28" s="34" t="n"/>
      <c r="F28" s="30" t="n"/>
      <c r="G28" s="9" t="n"/>
      <c r="H28" s="20" t="n"/>
      <c r="I28" s="8">
        <f>IFERROR(IF($E$3=15,IF(_xlfn.XLOOKUP(G28,A$3:A$17,B$3:B$17) = "Missed Hit",_xlfn.XLOOKUP(G28,A$3:A$17,B$3:B$17),_xlfn.XLOOKUP(G28,A$3:A$17,B$3:B$17) &amp; " Star " &amp; _xlfn.XLOOKUP(G28,A$3:A$17,C$3:C$17) &amp; "%"),_xlfn.XLOOKUP(G28,A$3:A$32,B$3:B$32)),"Not in war")</f>
        <v/>
      </c>
      <c r="J28" s="8">
        <f>IFERROR(IF($E$3=15,IF(_xlfn.XLOOKUP(G28,A$18:A$32,B$18:B$32) = "Missed Hit",_xlfn.XLOOKUP(G28,A$18:A$32,B$18:B$32),_xlfn.XLOOKUP(G28,A$18:A$32,B$18:B$32) &amp; " Star " &amp; _xlfn.XLOOKUP(G28,A$18:A$32,C$18:C$32) &amp; "%"),_xlfn.XLOOKUP(G28,A$33:A$62,B$33:B$62)),"Not in war")</f>
        <v/>
      </c>
      <c r="K28" s="8">
        <f>IFERROR(IF($E$3=15,IF(_xlfn.XLOOKUP(G28,A$33:A$47,B$33:B$47) = "Missed Hit",_xlfn.XLOOKUP(G28,A$33:A$47,B$33:B$47),_xlfn.XLOOKUP(G28,A$33:A$47,B$33:B$47) &amp; " Star " &amp; _xlfn.XLOOKUP(G28,A$33:A$47,C$33:C$47) &amp; "%"),_xlfn.XLOOKUP(G28,A$63:A$92,B$63:B$92)),"Not in war")</f>
        <v/>
      </c>
      <c r="L28" s="7">
        <f>IFERROR(IF($E$3=15,IF(_xlfn.XLOOKUP(G28,A$48:A$62,B$48:B$62) = "Missed Hit",_xlfn.XLOOKUP(G28,A$48:A$62,B$48:B$62),_xlfn.XLOOKUP(G28,A$48:A$62,B$48:B$62) &amp; " Star " &amp; _xlfn.XLOOKUP(G28,A$48:A$62,C$48:C$62) &amp; "%"),_xlfn.XLOOKUP(G28,A$93:A$122,B$93:B$122)),"Not in war")</f>
        <v/>
      </c>
      <c r="M28" s="7">
        <f>IFERROR(IF($E$3=15,IF(_xlfn.XLOOKUP(G28,A$63:A$77,B$63:B$77) = "Missed Hit",_xlfn.XLOOKUP(G28,A$63:A$77,B$63:B$77),_xlfn.XLOOKUP(G28,A$63:A$77,B$63:B$77) &amp; " Star " &amp; _xlfn.XLOOKUP(G28,A$63:A$77,C$63:C$77) &amp; "%"),_xlfn.XLOOKUP(G28,A$123:A$152,B$123:B$152)),"Not in war")</f>
        <v/>
      </c>
      <c r="N28" s="7">
        <f>IFERROR(IF($E$3=15,IF(_xlfn.XLOOKUP(G28,A$78:A$92,B$78:B$92) = "Missed Hit",_xlfn.XLOOKUP(G28,A$78:A$92,B$78:B$92),_xlfn.XLOOKUP(G28,A$78:A$92,B$78:B$92) &amp; " Star " &amp; _xlfn.XLOOKUP(G28,A$78:A$92,C$78:C$92) &amp; "%"),_xlfn.XLOOKUP(G28,A$153:A$182,B$153:B$182)),"Not in war")</f>
        <v/>
      </c>
      <c r="O28" s="6">
        <f>IFERROR(IF($E$3=15,IF(_xlfn.XLOOKUP(G28,A$93:A$107,B$93:B$107) = "Missed Hit",_xlfn.XLOOKUP(G28,A$93:A$107,B$93:B$107),_xlfn.XLOOKUP(G28,A$93:A$107,B$93:B$107) &amp; " Star " &amp; _xlfn.XLOOKUP(G28,A$93:A$107,C$93:C$107) &amp; "%"),_xlfn.XLOOKUP(G28,A$153:A$182,B$153:B$182)),"Not in war")</f>
        <v/>
      </c>
      <c r="Q28" s="16">
        <f>IFERROR($R28/(3*(7-$Y28)),0)</f>
        <v/>
      </c>
      <c r="R28" s="14">
        <f>3*S28+2*T28+U28</f>
        <v/>
      </c>
      <c r="S28" s="17">
        <f>COUNTIF($I28:$O28, 3 &amp; "*")</f>
        <v/>
      </c>
      <c r="T28" s="17">
        <f>COUNTIF($I28:$O28, 2 &amp; "*")</f>
        <v/>
      </c>
      <c r="U28" s="17">
        <f>COUNTIF($I28:$O28,1)</f>
        <v/>
      </c>
      <c r="V28" s="17">
        <f>COUNTIF($I28:$O28, 0 &amp; "*")</f>
        <v/>
      </c>
      <c r="W28" s="17">
        <f>COUNTIF($I28:$O28,"Missed hit")</f>
        <v/>
      </c>
      <c r="X28" s="17">
        <f>IF($E$3=15,SUM(_xlfn.XLOOKUP(G28,$A$3:$A$17,$C$3:$C$17,0),_xlfn.XLOOKUP(G28,$A$18:$A$32,$C$18:$C$32,0),_xlfn.XLOOKUP(G28,$A$33:$A$47,$C$33:$C$47,0), _xlfn.XLOOKUP(G28,$A$48:$A$62,$C$48:$C$62,0), _xlfn.XLOOKUP(G28,$A$63:$A$77,$C$63:$C$77,0), _xlfn.XLOOKUP(G28,$A$78:$A$92,$C$78:$C$92,0), _xlfn.XLOOKUP(G28,$A$93:$A$107,$C$93:$C$107,0)))</f>
        <v/>
      </c>
      <c r="Y28" s="17">
        <f>COUNTIF($I28:$O28,"Not in war")</f>
        <v/>
      </c>
      <c r="AB28" s="61" t="n">
        <v>0</v>
      </c>
      <c r="AC28" s="58" t="n">
        <v>0</v>
      </c>
      <c r="AD28" s="8" t="n">
        <v>0</v>
      </c>
      <c r="AE28" s="8" t="n">
        <v>0</v>
      </c>
      <c r="AF28" s="7" t="n">
        <v>0</v>
      </c>
      <c r="AG28" s="7" t="n">
        <v>0</v>
      </c>
      <c r="AH28" s="7" t="n">
        <v>0</v>
      </c>
      <c r="AI28" s="6" t="n">
        <v>0</v>
      </c>
      <c r="AJ28" s="55" t="n">
        <v>0</v>
      </c>
      <c r="AK28" s="16" t="n">
        <v>0</v>
      </c>
      <c r="AL28" s="14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b">
        <v>0</v>
      </c>
      <c r="AS28" s="17" t="n">
        <v>0</v>
      </c>
    </row>
    <row r="29" ht="18.75" customFormat="1" customHeight="1" s="3">
      <c r="A29" s="30" t="n"/>
      <c r="B29" s="40" t="n"/>
      <c r="C29" s="40" t="n"/>
      <c r="D29" s="30" t="n"/>
      <c r="E29" s="34" t="n"/>
      <c r="F29" s="30" t="n"/>
      <c r="G29" s="9" t="n"/>
      <c r="H29" s="20" t="n"/>
      <c r="I29" s="8">
        <f>IFERROR(IF($E$3=15,IF(_xlfn.XLOOKUP(G29,A$3:A$17,B$3:B$17) = "Missed Hit",_xlfn.XLOOKUP(G29,A$3:A$17,B$3:B$17),_xlfn.XLOOKUP(G29,A$3:A$17,B$3:B$17) &amp; " Star " &amp; _xlfn.XLOOKUP(G29,A$3:A$17,C$3:C$17) &amp; "%"),_xlfn.XLOOKUP(G29,A$3:A$32,B$3:B$32)),"Not in war")</f>
        <v/>
      </c>
      <c r="J29" s="8">
        <f>IFERROR(IF($E$3=15,IF(_xlfn.XLOOKUP(G29,A$18:A$32,B$18:B$32) = "Missed Hit",_xlfn.XLOOKUP(G29,A$18:A$32,B$18:B$32),_xlfn.XLOOKUP(G29,A$18:A$32,B$18:B$32) &amp; " Star " &amp; _xlfn.XLOOKUP(G29,A$18:A$32,C$18:C$32) &amp; "%"),_xlfn.XLOOKUP(G29,A$33:A$62,B$33:B$62)),"Not in war")</f>
        <v/>
      </c>
      <c r="K29" s="8">
        <f>IFERROR(IF($E$3=15,IF(_xlfn.XLOOKUP(G29,A$33:A$47,B$33:B$47) = "Missed Hit",_xlfn.XLOOKUP(G29,A$33:A$47,B$33:B$47),_xlfn.XLOOKUP(G29,A$33:A$47,B$33:B$47) &amp; " Star " &amp; _xlfn.XLOOKUP(G29,A$33:A$47,C$33:C$47) &amp; "%"),_xlfn.XLOOKUP(G29,A$63:A$92,B$63:B$92)),"Not in war")</f>
        <v/>
      </c>
      <c r="L29" s="7">
        <f>IFERROR(IF($E$3=15,IF(_xlfn.XLOOKUP(G29,A$48:A$62,B$48:B$62) = "Missed Hit",_xlfn.XLOOKUP(G29,A$48:A$62,B$48:B$62),_xlfn.XLOOKUP(G29,A$48:A$62,B$48:B$62) &amp; " Star " &amp; _xlfn.XLOOKUP(G29,A$48:A$62,C$48:C$62) &amp; "%"),_xlfn.XLOOKUP(G29,A$93:A$122,B$93:B$122)),"Not in war")</f>
        <v/>
      </c>
      <c r="M29" s="7">
        <f>IFERROR(IF($E$3=15,IF(_xlfn.XLOOKUP(G29,A$63:A$77,B$63:B$77) = "Missed Hit",_xlfn.XLOOKUP(G29,A$63:A$77,B$63:B$77),_xlfn.XLOOKUP(G29,A$63:A$77,B$63:B$77) &amp; " Star " &amp; _xlfn.XLOOKUP(G29,A$63:A$77,C$63:C$77) &amp; "%"),_xlfn.XLOOKUP(G29,A$123:A$152,B$123:B$152)),"Not in war")</f>
        <v/>
      </c>
      <c r="N29" s="7">
        <f>IFERROR(IF($E$3=15,IF(_xlfn.XLOOKUP(G29,A$78:A$92,B$78:B$92) = "Missed Hit",_xlfn.XLOOKUP(G29,A$78:A$92,B$78:B$92),_xlfn.XLOOKUP(G29,A$78:A$92,B$78:B$92) &amp; " Star " &amp; _xlfn.XLOOKUP(G29,A$78:A$92,C$78:C$92) &amp; "%"),_xlfn.XLOOKUP(G29,A$153:A$182,B$153:B$182)),"Not in war")</f>
        <v/>
      </c>
      <c r="O29" s="6">
        <f>IFERROR(IF($E$3=15,IF(_xlfn.XLOOKUP(G29,A$93:A$107,B$93:B$107) = "Missed Hit",_xlfn.XLOOKUP(G29,A$93:A$107,B$93:B$107),_xlfn.XLOOKUP(G29,A$93:A$107,B$93:B$107) &amp; " Star " &amp; _xlfn.XLOOKUP(G29,A$93:A$107,C$93:C$107) &amp; "%"),_xlfn.XLOOKUP(G29,A$153:A$182,B$153:B$182)),"Not in war")</f>
        <v/>
      </c>
      <c r="Q29" s="16">
        <f>IFERROR($R29/(3*(7-$Y29)),0)</f>
        <v/>
      </c>
      <c r="R29" s="14">
        <f>3*S29+2*T29+U29</f>
        <v/>
      </c>
      <c r="S29" s="17">
        <f>COUNTIF($I29:$O29, 3 &amp; "*")</f>
        <v/>
      </c>
      <c r="T29" s="17">
        <f>COUNTIF($I29:$O29, 2 &amp; "*")</f>
        <v/>
      </c>
      <c r="U29" s="17">
        <f>COUNTIF($I29:$O29,1)</f>
        <v/>
      </c>
      <c r="V29" s="17">
        <f>COUNTIF($I29:$O29, 0 &amp; "*")</f>
        <v/>
      </c>
      <c r="W29" s="17">
        <f>COUNTIF($I29:$O29,"Missed hit")</f>
        <v/>
      </c>
      <c r="X29" s="17">
        <f>IF($E$3=15,SUM(_xlfn.XLOOKUP(G29,$A$3:$A$17,$C$3:$C$17,0),_xlfn.XLOOKUP(G29,$A$18:$A$32,$C$18:$C$32,0),_xlfn.XLOOKUP(G29,$A$33:$A$47,$C$33:$C$47,0), _xlfn.XLOOKUP(G29,$A$48:$A$62,$C$48:$C$62,0), _xlfn.XLOOKUP(G29,$A$63:$A$77,$C$63:$C$77,0), _xlfn.XLOOKUP(G29,$A$78:$A$92,$C$78:$C$92,0), _xlfn.XLOOKUP(G29,$A$93:$A$107,$C$93:$C$107,0)))</f>
        <v/>
      </c>
      <c r="Y29" s="17">
        <f>COUNTIF($I29:$O29,"Not in war")</f>
        <v/>
      </c>
      <c r="AB29" s="61" t="n">
        <v>0</v>
      </c>
      <c r="AC29" s="58" t="n">
        <v>0</v>
      </c>
      <c r="AD29" s="8" t="n">
        <v>0</v>
      </c>
      <c r="AE29" s="8" t="n">
        <v>0</v>
      </c>
      <c r="AF29" s="7" t="n">
        <v>0</v>
      </c>
      <c r="AG29" s="7" t="n">
        <v>0</v>
      </c>
      <c r="AH29" s="7" t="n">
        <v>0</v>
      </c>
      <c r="AI29" s="6" t="n">
        <v>0</v>
      </c>
      <c r="AJ29" s="55" t="n">
        <v>0</v>
      </c>
      <c r="AK29" s="16" t="n">
        <v>0</v>
      </c>
      <c r="AL29" s="14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b">
        <v>0</v>
      </c>
      <c r="AS29" s="17" t="n">
        <v>0</v>
      </c>
    </row>
    <row r="30" ht="18.75" customFormat="1" customHeight="1" s="3">
      <c r="A30" s="30" t="n"/>
      <c r="B30" s="40" t="n"/>
      <c r="C30" s="40" t="n"/>
      <c r="D30" s="30" t="n"/>
      <c r="E30" s="34" t="n"/>
      <c r="F30" s="30" t="n"/>
      <c r="G30" s="9" t="n"/>
      <c r="H30" s="20" t="n"/>
      <c r="I30" s="8">
        <f>IFERROR(IF($E$3=15,IF(_xlfn.XLOOKUP(G30,A$3:A$17,B$3:B$17) = "Missed Hit",_xlfn.XLOOKUP(G30,A$3:A$17,B$3:B$17),_xlfn.XLOOKUP(G30,A$3:A$17,B$3:B$17) &amp; " Star " &amp; _xlfn.XLOOKUP(G30,A$3:A$17,C$3:C$17) &amp; "%"),_xlfn.XLOOKUP(G30,A$3:A$32,B$3:B$32)),"Not in war")</f>
        <v/>
      </c>
      <c r="J30" s="8">
        <f>IFERROR(IF($E$3=15,IF(_xlfn.XLOOKUP(G30,A$18:A$32,B$18:B$32) = "Missed Hit",_xlfn.XLOOKUP(G30,A$18:A$32,B$18:B$32),_xlfn.XLOOKUP(G30,A$18:A$32,B$18:B$32) &amp; " Star " &amp; _xlfn.XLOOKUP(G30,A$18:A$32,C$18:C$32) &amp; "%"),_xlfn.XLOOKUP(G30,A$33:A$62,B$33:B$62)),"Not in war")</f>
        <v/>
      </c>
      <c r="K30" s="8">
        <f>IFERROR(IF($E$3=15,IF(_xlfn.XLOOKUP(G30,A$33:A$47,B$33:B$47) = "Missed Hit",_xlfn.XLOOKUP(G30,A$33:A$47,B$33:B$47),_xlfn.XLOOKUP(G30,A$33:A$47,B$33:B$47) &amp; " Star " &amp; _xlfn.XLOOKUP(G30,A$33:A$47,C$33:C$47) &amp; "%"),_xlfn.XLOOKUP(G30,A$63:A$92,B$63:B$92)),"Not in war")</f>
        <v/>
      </c>
      <c r="L30" s="7">
        <f>IFERROR(IF($E$3=15,IF(_xlfn.XLOOKUP(G30,A$48:A$62,B$48:B$62) = "Missed Hit",_xlfn.XLOOKUP(G30,A$48:A$62,B$48:B$62),_xlfn.XLOOKUP(G30,A$48:A$62,B$48:B$62) &amp; " Star " &amp; _xlfn.XLOOKUP(G30,A$48:A$62,C$48:C$62) &amp; "%"),_xlfn.XLOOKUP(G30,A$93:A$122,B$93:B$122)),"Not in war")</f>
        <v/>
      </c>
      <c r="M30" s="7">
        <f>IFERROR(IF($E$3=15,IF(_xlfn.XLOOKUP(G30,A$63:A$77,B$63:B$77) = "Missed Hit",_xlfn.XLOOKUP(G30,A$63:A$77,B$63:B$77),_xlfn.XLOOKUP(G30,A$63:A$77,B$63:B$77) &amp; " Star " &amp; _xlfn.XLOOKUP(G30,A$63:A$77,C$63:C$77) &amp; "%"),_xlfn.XLOOKUP(G30,A$123:A$152,B$123:B$152)),"Not in war")</f>
        <v/>
      </c>
      <c r="N30" s="7">
        <f>IFERROR(IF($E$3=15,IF(_xlfn.XLOOKUP(G30,A$78:A$92,B$78:B$92) = "Missed Hit",_xlfn.XLOOKUP(G30,A$78:A$92,B$78:B$92),_xlfn.XLOOKUP(G30,A$78:A$92,B$78:B$92) &amp; " Star " &amp; _xlfn.XLOOKUP(G30,A$78:A$92,C$78:C$92) &amp; "%"),_xlfn.XLOOKUP(G30,A$153:A$182,B$153:B$182)),"Not in war")</f>
        <v/>
      </c>
      <c r="O30" s="6">
        <f>IFERROR(IF($E$3=15,IF(_xlfn.XLOOKUP(G30,A$93:A$107,B$93:B$107) = "Missed Hit",_xlfn.XLOOKUP(G30,A$93:A$107,B$93:B$107),_xlfn.XLOOKUP(G30,A$93:A$107,B$93:B$107) &amp; " Star " &amp; _xlfn.XLOOKUP(G30,A$93:A$107,C$93:C$107) &amp; "%"),_xlfn.XLOOKUP(G30,A$153:A$182,B$153:B$182)),"Not in war")</f>
        <v/>
      </c>
      <c r="Q30" s="16">
        <f>IFERROR($R30/(3*(7-$Y30)),0)</f>
        <v/>
      </c>
      <c r="R30" s="14">
        <f>3*S30+2*T30+U30</f>
        <v/>
      </c>
      <c r="S30" s="17">
        <f>COUNTIF($I30:$O30, 3 &amp; "*")</f>
        <v/>
      </c>
      <c r="T30" s="17">
        <f>COUNTIF($I30:$O30, 2 &amp; "*")</f>
        <v/>
      </c>
      <c r="U30" s="17">
        <f>COUNTIF($I30:$O30,1)</f>
        <v/>
      </c>
      <c r="V30" s="17">
        <f>COUNTIF($I30:$O30, 0 &amp; "*")</f>
        <v/>
      </c>
      <c r="W30" s="17">
        <f>COUNTIF($I30:$O30,"Missed hit")</f>
        <v/>
      </c>
      <c r="X30" s="17">
        <f>IF($E$3=15,SUM(_xlfn.XLOOKUP(G30,$A$3:$A$17,$C$3:$C$17,0),_xlfn.XLOOKUP(G30,$A$18:$A$32,$C$18:$C$32,0),_xlfn.XLOOKUP(G30,$A$33:$A$47,$C$33:$C$47,0), _xlfn.XLOOKUP(G30,$A$48:$A$62,$C$48:$C$62,0), _xlfn.XLOOKUP(G30,$A$63:$A$77,$C$63:$C$77,0), _xlfn.XLOOKUP(G30,$A$78:$A$92,$C$78:$C$92,0), _xlfn.XLOOKUP(G30,$A$93:$A$107,$C$93:$C$107,0)))</f>
        <v/>
      </c>
      <c r="Y30" s="17">
        <f>COUNTIF($I30:$O30,"Not in war")</f>
        <v/>
      </c>
      <c r="AB30" s="61" t="n">
        <v>0</v>
      </c>
      <c r="AC30" s="58" t="n">
        <v>0</v>
      </c>
      <c r="AD30" s="8" t="n">
        <v>0</v>
      </c>
      <c r="AE30" s="8" t="n">
        <v>0</v>
      </c>
      <c r="AF30" s="7" t="n">
        <v>0</v>
      </c>
      <c r="AG30" s="7" t="n">
        <v>0</v>
      </c>
      <c r="AH30" s="7" t="n">
        <v>0</v>
      </c>
      <c r="AI30" s="6" t="n">
        <v>0</v>
      </c>
      <c r="AJ30" s="55" t="n">
        <v>0</v>
      </c>
      <c r="AK30" s="16" t="n">
        <v>0</v>
      </c>
      <c r="AL30" s="14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b">
        <v>0</v>
      </c>
      <c r="AS30" s="17" t="n">
        <v>0</v>
      </c>
    </row>
    <row r="31" ht="18.75" customFormat="1" customHeight="1" s="3">
      <c r="A31" s="30" t="n"/>
      <c r="B31" s="40" t="n"/>
      <c r="C31" s="40" t="n"/>
      <c r="D31" s="30" t="n"/>
      <c r="E31" s="34" t="n"/>
      <c r="F31" s="30" t="n"/>
      <c r="G31" s="9" t="n"/>
      <c r="H31" s="20" t="n"/>
      <c r="I31" s="8">
        <f>IFERROR(IF($E$3=15,IF(_xlfn.XLOOKUP(G31,A$3:A$17,B$3:B$17) = "Missed Hit",_xlfn.XLOOKUP(G31,A$3:A$17,B$3:B$17),_xlfn.XLOOKUP(G31,A$3:A$17,B$3:B$17) &amp; " Star " &amp; _xlfn.XLOOKUP(G31,A$3:A$17,C$3:C$17) &amp; "%"),_xlfn.XLOOKUP(G31,A$3:A$32,B$3:B$32)),"Not in war")</f>
        <v/>
      </c>
      <c r="J31" s="8">
        <f>IFERROR(IF($E$3=15,IF(_xlfn.XLOOKUP(G31,A$18:A$32,B$18:B$32) = "Missed Hit",_xlfn.XLOOKUP(G31,A$18:A$32,B$18:B$32),_xlfn.XLOOKUP(G31,A$18:A$32,B$18:B$32) &amp; " Star " &amp; _xlfn.XLOOKUP(G31,A$18:A$32,C$18:C$32) &amp; "%"),_xlfn.XLOOKUP(G31,A$33:A$62,B$33:B$62)),"Not in war")</f>
        <v/>
      </c>
      <c r="K31" s="8">
        <f>IFERROR(IF($E$3=15,IF(_xlfn.XLOOKUP(G31,A$33:A$47,B$33:B$47) = "Missed Hit",_xlfn.XLOOKUP(G31,A$33:A$47,B$33:B$47),_xlfn.XLOOKUP(G31,A$33:A$47,B$33:B$47) &amp; " Star " &amp; _xlfn.XLOOKUP(G31,A$33:A$47,C$33:C$47) &amp; "%"),_xlfn.XLOOKUP(G31,A$63:A$92,B$63:B$92)),"Not in war")</f>
        <v/>
      </c>
      <c r="L31" s="7">
        <f>IFERROR(IF($E$3=15,IF(_xlfn.XLOOKUP(G31,A$48:A$62,B$48:B$62) = "Missed Hit",_xlfn.XLOOKUP(G31,A$48:A$62,B$48:B$62),_xlfn.XLOOKUP(G31,A$48:A$62,B$48:B$62) &amp; " Star " &amp; _xlfn.XLOOKUP(G31,A$48:A$62,C$48:C$62) &amp; "%"),_xlfn.XLOOKUP(G31,A$93:A$122,B$93:B$122)),"Not in war")</f>
        <v/>
      </c>
      <c r="M31" s="7">
        <f>IFERROR(IF($E$3=15,IF(_xlfn.XLOOKUP(G31,A$63:A$77,B$63:B$77) = "Missed Hit",_xlfn.XLOOKUP(G31,A$63:A$77,B$63:B$77),_xlfn.XLOOKUP(G31,A$63:A$77,B$63:B$77) &amp; " Star " &amp; _xlfn.XLOOKUP(G31,A$63:A$77,C$63:C$77) &amp; "%"),_xlfn.XLOOKUP(G31,A$123:A$152,B$123:B$152)),"Not in war")</f>
        <v/>
      </c>
      <c r="N31" s="7">
        <f>IFERROR(IF($E$3=15,IF(_xlfn.XLOOKUP(G31,A$78:A$92,B$78:B$92) = "Missed Hit",_xlfn.XLOOKUP(G31,A$78:A$92,B$78:B$92),_xlfn.XLOOKUP(G31,A$78:A$92,B$78:B$92) &amp; " Star " &amp; _xlfn.XLOOKUP(G31,A$78:A$92,C$78:C$92) &amp; "%"),_xlfn.XLOOKUP(G31,A$153:A$182,B$153:B$182)),"Not in war")</f>
        <v/>
      </c>
      <c r="O31" s="6">
        <f>IFERROR(IF($E$3=15,IF(_xlfn.XLOOKUP(G31,A$93:A$107,B$93:B$107) = "Missed Hit",_xlfn.XLOOKUP(G31,A$93:A$107,B$93:B$107),_xlfn.XLOOKUP(G31,A$93:A$107,B$93:B$107) &amp; " Star " &amp; _xlfn.XLOOKUP(G31,A$93:A$107,C$93:C$107) &amp; "%"),_xlfn.XLOOKUP(G31,A$153:A$182,B$153:B$182)),"Not in war")</f>
        <v/>
      </c>
      <c r="Q31" s="16">
        <f>IFERROR($R31/(3*(7-$Y31)),0)</f>
        <v/>
      </c>
      <c r="R31" s="14">
        <f>3*S31+2*T31+U31</f>
        <v/>
      </c>
      <c r="S31" s="17">
        <f>COUNTIF($I31:$O31, 3 &amp; "*")</f>
        <v/>
      </c>
      <c r="T31" s="17">
        <f>COUNTIF($I31:$O31, 2 &amp; "*")</f>
        <v/>
      </c>
      <c r="U31" s="17">
        <f>COUNTIF($I31:$O31,1)</f>
        <v/>
      </c>
      <c r="V31" s="17">
        <f>COUNTIF($I31:$O31, 0 &amp; "*")</f>
        <v/>
      </c>
      <c r="W31" s="17">
        <f>COUNTIF($I31:$O31,"Missed hit")</f>
        <v/>
      </c>
      <c r="X31" s="17">
        <f>IF($E$3=15,SUM(_xlfn.XLOOKUP(G31,$A$3:$A$17,$C$3:$C$17,0),_xlfn.XLOOKUP(G31,$A$18:$A$32,$C$18:$C$32,0),_xlfn.XLOOKUP(G31,$A$33:$A$47,$C$33:$C$47,0), _xlfn.XLOOKUP(G31,$A$48:$A$62,$C$48:$C$62,0), _xlfn.XLOOKUP(G31,$A$63:$A$77,$C$63:$C$77,0), _xlfn.XLOOKUP(G31,$A$78:$A$92,$C$78:$C$92,0), _xlfn.XLOOKUP(G31,$A$93:$A$107,$C$93:$C$107,0)))</f>
        <v/>
      </c>
      <c r="Y31" s="17">
        <f>COUNTIF($I31:$O31,"Not in war")</f>
        <v/>
      </c>
      <c r="AB31" s="61" t="n">
        <v>0</v>
      </c>
      <c r="AC31" s="58" t="n">
        <v>0</v>
      </c>
      <c r="AD31" s="8" t="n">
        <v>0</v>
      </c>
      <c r="AE31" s="8" t="n">
        <v>0</v>
      </c>
      <c r="AF31" s="7" t="n">
        <v>0</v>
      </c>
      <c r="AG31" s="7" t="n">
        <v>0</v>
      </c>
      <c r="AH31" s="7" t="n">
        <v>0</v>
      </c>
      <c r="AI31" s="6" t="n">
        <v>0</v>
      </c>
      <c r="AJ31" s="55" t="n">
        <v>0</v>
      </c>
      <c r="AK31" s="16" t="n">
        <v>0</v>
      </c>
      <c r="AL31" s="14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b">
        <v>0</v>
      </c>
      <c r="AS31" s="17" t="n">
        <v>0</v>
      </c>
    </row>
    <row r="32" ht="18.75" customFormat="1" customHeight="1" s="3">
      <c r="A32" s="30" t="n"/>
      <c r="B32" s="40" t="n"/>
      <c r="C32" s="40" t="n"/>
      <c r="D32" s="30" t="n"/>
      <c r="E32" s="34" t="n"/>
      <c r="F32" s="30" t="n"/>
      <c r="G32" s="9" t="n"/>
      <c r="H32" s="20" t="n"/>
      <c r="I32" s="8">
        <f>IFERROR(IF($E$3=15,IF(_xlfn.XLOOKUP(G32,A$3:A$17,B$3:B$17) = "Missed Hit",_xlfn.XLOOKUP(G32,A$3:A$17,B$3:B$17),_xlfn.XLOOKUP(G32,A$3:A$17,B$3:B$17) &amp; " Star " &amp; _xlfn.XLOOKUP(G32,A$3:A$17,C$3:C$17) &amp; "%"),_xlfn.XLOOKUP(G32,A$3:A$32,B$3:B$32)),"Not in war")</f>
        <v/>
      </c>
      <c r="J32" s="8">
        <f>IFERROR(IF($E$3=15,IF(_xlfn.XLOOKUP(G32,A$18:A$32,B$18:B$32) = "Missed Hit",_xlfn.XLOOKUP(G32,A$18:A$32,B$18:B$32),_xlfn.XLOOKUP(G32,A$18:A$32,B$18:B$32) &amp; " Star " &amp; _xlfn.XLOOKUP(G32,A$18:A$32,C$18:C$32) &amp; "%"),_xlfn.XLOOKUP(G32,A$33:A$62,B$33:B$62)),"Not in war")</f>
        <v/>
      </c>
      <c r="K32" s="8">
        <f>IFERROR(IF($E$3=15,IF(_xlfn.XLOOKUP(G32,A$33:A$47,B$33:B$47) = "Missed Hit",_xlfn.XLOOKUP(G32,A$33:A$47,B$33:B$47),_xlfn.XLOOKUP(G32,A$33:A$47,B$33:B$47) &amp; " Star " &amp; _xlfn.XLOOKUP(G32,A$33:A$47,C$33:C$47) &amp; "%"),_xlfn.XLOOKUP(G32,A$63:A$92,B$63:B$92)),"Not in war")</f>
        <v/>
      </c>
      <c r="L32" s="7">
        <f>IFERROR(IF($E$3=15,IF(_xlfn.XLOOKUP(G32,A$48:A$62,B$48:B$62) = "Missed Hit",_xlfn.XLOOKUP(G32,A$48:A$62,B$48:B$62),_xlfn.XLOOKUP(G32,A$48:A$62,B$48:B$62) &amp; " Star " &amp; _xlfn.XLOOKUP(G32,A$48:A$62,C$48:C$62) &amp; "%"),_xlfn.XLOOKUP(G32,A$93:A$122,B$93:B$122)),"Not in war")</f>
        <v/>
      </c>
      <c r="M32" s="7">
        <f>IFERROR(IF($E$3=15,IF(_xlfn.XLOOKUP(G32,A$63:A$77,B$63:B$77) = "Missed Hit",_xlfn.XLOOKUP(G32,A$63:A$77,B$63:B$77),_xlfn.XLOOKUP(G32,A$63:A$77,B$63:B$77) &amp; " Star " &amp; _xlfn.XLOOKUP(G32,A$63:A$77,C$63:C$77) &amp; "%"),_xlfn.XLOOKUP(G32,A$123:A$152,B$123:B$152)),"Not in war")</f>
        <v/>
      </c>
      <c r="N32" s="7">
        <f>IFERROR(IF($E$3=15,IF(_xlfn.XLOOKUP(G32,A$78:A$92,B$78:B$92) = "Missed Hit",_xlfn.XLOOKUP(G32,A$78:A$92,B$78:B$92),_xlfn.XLOOKUP(G32,A$78:A$92,B$78:B$92) &amp; " Star " &amp; _xlfn.XLOOKUP(G32,A$78:A$92,C$78:C$92) &amp; "%"),_xlfn.XLOOKUP(G32,A$153:A$182,B$153:B$182)),"Not in war")</f>
        <v/>
      </c>
      <c r="O32" s="6">
        <f>IFERROR(IF($E$3=15,IF(_xlfn.XLOOKUP(G32,A$93:A$107,B$93:B$107) = "Missed Hit",_xlfn.XLOOKUP(G32,A$93:A$107,B$93:B$107),_xlfn.XLOOKUP(G32,A$93:A$107,B$93:B$107) &amp; " Star " &amp; _xlfn.XLOOKUP(G32,A$93:A$107,C$93:C$107) &amp; "%"),_xlfn.XLOOKUP(G32,A$153:A$182,B$153:B$182)),"Not in war")</f>
        <v/>
      </c>
      <c r="Q32" s="16">
        <f>IFERROR($R32/(3*(7-$Y32)),0)</f>
        <v/>
      </c>
      <c r="R32" s="14">
        <f>3*S32+2*T32+U32</f>
        <v/>
      </c>
      <c r="S32" s="17">
        <f>COUNTIF($I32:$O32, 3 &amp; "*")</f>
        <v/>
      </c>
      <c r="T32" s="17">
        <f>COUNTIF($I32:$O32, 2 &amp; "*")</f>
        <v/>
      </c>
      <c r="U32" s="17">
        <f>COUNTIF($I32:$O32,1)</f>
        <v/>
      </c>
      <c r="V32" s="17">
        <f>COUNTIF($I32:$O32, 0 &amp; "*")</f>
        <v/>
      </c>
      <c r="W32" s="17">
        <f>COUNTIF($I32:$O32,"Missed hit")</f>
        <v/>
      </c>
      <c r="X32" s="17">
        <f>IF($E$3=15,SUM(_xlfn.XLOOKUP(G32,$A$3:$A$17,$C$3:$C$17,0),_xlfn.XLOOKUP(G32,$A$18:$A$32,$C$18:$C$32,0),_xlfn.XLOOKUP(G32,$A$33:$A$47,$C$33:$C$47,0), _xlfn.XLOOKUP(G32,$A$48:$A$62,$C$48:$C$62,0), _xlfn.XLOOKUP(G32,$A$63:$A$77,$C$63:$C$77,0), _xlfn.XLOOKUP(G32,$A$78:$A$92,$C$78:$C$92,0), _xlfn.XLOOKUP(G32,$A$93:$A$107,$C$93:$C$107,0)))</f>
        <v/>
      </c>
      <c r="Y32" s="17">
        <f>COUNTIF($I32:$O32,"Not in war")</f>
        <v/>
      </c>
      <c r="AB32" s="61" t="n">
        <v>0</v>
      </c>
      <c r="AC32" s="58" t="n">
        <v>0</v>
      </c>
      <c r="AD32" s="8" t="n">
        <v>0</v>
      </c>
      <c r="AE32" s="8" t="n">
        <v>0</v>
      </c>
      <c r="AF32" s="7" t="n">
        <v>0</v>
      </c>
      <c r="AG32" s="7" t="n">
        <v>0</v>
      </c>
      <c r="AH32" s="7" t="n">
        <v>0</v>
      </c>
      <c r="AI32" s="6" t="n">
        <v>0</v>
      </c>
      <c r="AJ32" s="55" t="n">
        <v>0</v>
      </c>
      <c r="AK32" s="16" t="n">
        <v>0</v>
      </c>
      <c r="AL32" s="14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b">
        <v>0</v>
      </c>
      <c r="AS32" s="17" t="n">
        <v>0</v>
      </c>
    </row>
    <row r="33" ht="18" customFormat="1" customHeight="1" s="3">
      <c r="A33" s="30" t="n"/>
      <c r="B33" s="40" t="n"/>
      <c r="C33" s="40" t="n"/>
      <c r="D33" s="30" t="n"/>
      <c r="E33" s="34" t="n"/>
      <c r="F33" s="30" t="n"/>
      <c r="G33" s="9" t="n"/>
      <c r="H33" s="20" t="n"/>
      <c r="I33" s="8">
        <f>IFERROR(IF($E$3=15,IF(_xlfn.XLOOKUP(G33,A$3:A$17,B$3:B$17) = "Missed Hit",_xlfn.XLOOKUP(G33,A$3:A$17,B$3:B$17),_xlfn.XLOOKUP(G33,A$3:A$17,B$3:B$17) &amp; " Star " &amp; _xlfn.XLOOKUP(G33,A$3:A$17,C$3:C$17) &amp; "%"),_xlfn.XLOOKUP(G33,A$3:A$32,B$3:B$32)),"Not in war")</f>
        <v/>
      </c>
      <c r="J33" s="8">
        <f>IFERROR(IF($E$3=15,IF(_xlfn.XLOOKUP(G33,A$18:A$32,B$18:B$32) = "Missed Hit",_xlfn.XLOOKUP(G33,A$18:A$32,B$18:B$32),_xlfn.XLOOKUP(G33,A$18:A$32,B$18:B$32) &amp; " Star " &amp; _xlfn.XLOOKUP(G33,A$18:A$32,C$18:C$32) &amp; "%"),_xlfn.XLOOKUP(G33,A$33:A$62,B$33:B$62)),"Not in war")</f>
        <v/>
      </c>
      <c r="K33" s="8">
        <f>IFERROR(IF($E$3=15,IF(_xlfn.XLOOKUP(G33,A$33:A$47,B$33:B$47) = "Missed Hit",_xlfn.XLOOKUP(G33,A$33:A$47,B$33:B$47),_xlfn.XLOOKUP(G33,A$33:A$47,B$33:B$47) &amp; " Star " &amp; _xlfn.XLOOKUP(G33,A$33:A$47,C$33:C$47) &amp; "%"),_xlfn.XLOOKUP(G33,A$63:A$92,B$63:B$92)),"Not in war")</f>
        <v/>
      </c>
      <c r="L33" s="7">
        <f>IFERROR(IF($E$3=15,IF(_xlfn.XLOOKUP(G33,A$48:A$62,B$48:B$62) = "Missed Hit",_xlfn.XLOOKUP(G33,A$48:A$62,B$48:B$62),_xlfn.XLOOKUP(G33,A$48:A$62,B$48:B$62) &amp; " Star " &amp; _xlfn.XLOOKUP(G33,A$48:A$62,C$48:C$62) &amp; "%"),_xlfn.XLOOKUP(G33,A$93:A$122,B$93:B$122)),"Not in war")</f>
        <v/>
      </c>
      <c r="M33" s="7">
        <f>IFERROR(IF($E$3=15,IF(_xlfn.XLOOKUP(G33,A$63:A$77,B$63:B$77) = "Missed Hit",_xlfn.XLOOKUP(G33,A$63:A$77,B$63:B$77),_xlfn.XLOOKUP(G33,A$63:A$77,B$63:B$77) &amp; " Star " &amp; _xlfn.XLOOKUP(G33,A$63:A$77,C$63:C$77) &amp; "%"),_xlfn.XLOOKUP(G33,A$123:A$152,B$123:B$152)),"Not in war")</f>
        <v/>
      </c>
      <c r="N33" s="7">
        <f>IFERROR(IF($E$3=15,IF(_xlfn.XLOOKUP(G33,A$78:A$92,B$78:B$92) = "Missed Hit",_xlfn.XLOOKUP(G33,A$78:A$92,B$78:B$92),_xlfn.XLOOKUP(G33,A$78:A$92,B$78:B$92) &amp; " Star " &amp; _xlfn.XLOOKUP(G33,A$78:A$92,C$78:C$92) &amp; "%"),_xlfn.XLOOKUP(G33,A$153:A$182,B$153:B$182)),"Not in war")</f>
        <v/>
      </c>
      <c r="O33" s="6">
        <f>IFERROR(IF($E$3=15,IF(_xlfn.XLOOKUP(G33,A$93:A$107,B$93:B$107) = "Missed Hit",_xlfn.XLOOKUP(G33,A$93:A$107,B$93:B$107),_xlfn.XLOOKUP(G33,A$93:A$107,B$93:B$107) &amp; " Star " &amp; _xlfn.XLOOKUP(G33,A$93:A$107,C$93:C$107) &amp; "%"),_xlfn.XLOOKUP(G33,A$153:A$182,B$153:B$182)),"Not in war")</f>
        <v/>
      </c>
      <c r="Q33" s="16">
        <f>IFERROR($R33/(3*(7-$Y33)),0)</f>
        <v/>
      </c>
      <c r="R33" s="14">
        <f>3*S33+2*T33+U33</f>
        <v/>
      </c>
      <c r="S33" s="17">
        <f>COUNTIF($I33:$O33, 3 &amp; "*")</f>
        <v/>
      </c>
      <c r="T33" s="17">
        <f>COUNTIF($I33:$O33, 2 &amp; "*")</f>
        <v/>
      </c>
      <c r="U33" s="17">
        <f>COUNTIF($I33:$O33,1)</f>
        <v/>
      </c>
      <c r="V33" s="17">
        <f>COUNTIF($I33:$O33, 0 &amp; "*")</f>
        <v/>
      </c>
      <c r="W33" s="17">
        <f>COUNTIF($I33:$O33,"Missed hit")</f>
        <v/>
      </c>
      <c r="X33" s="17">
        <f>IF($E$3=15,SUM(_xlfn.XLOOKUP(G33,$A$3:$A$17,$C$3:$C$17,0),_xlfn.XLOOKUP(G33,$A$18:$A$32,$C$18:$C$32,0),_xlfn.XLOOKUP(G33,$A$33:$A$47,$C$33:$C$47,0), _xlfn.XLOOKUP(G33,$A$48:$A$62,$C$48:$C$62,0), _xlfn.XLOOKUP(G33,$A$63:$A$77,$C$63:$C$77,0), _xlfn.XLOOKUP(G33,$A$78:$A$92,$C$78:$C$92,0), _xlfn.XLOOKUP(G33,$A$93:$A$107,$C$93:$C$107,0)))</f>
        <v/>
      </c>
      <c r="Y33" s="17">
        <f>COUNTIF($I33:$O33,"Not in war")</f>
        <v/>
      </c>
      <c r="AB33" s="61" t="n">
        <v>0</v>
      </c>
      <c r="AC33" s="58" t="n">
        <v>0</v>
      </c>
      <c r="AD33" s="8" t="n">
        <v>0</v>
      </c>
      <c r="AE33" s="8" t="n">
        <v>0</v>
      </c>
      <c r="AF33" s="7" t="n">
        <v>0</v>
      </c>
      <c r="AG33" s="7" t="n">
        <v>0</v>
      </c>
      <c r="AH33" s="7" t="n">
        <v>0</v>
      </c>
      <c r="AI33" s="6" t="n">
        <v>0</v>
      </c>
      <c r="AJ33" s="55" t="n">
        <v>0</v>
      </c>
      <c r="AK33" s="16" t="n">
        <v>0</v>
      </c>
      <c r="AL33" s="14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b">
        <v>0</v>
      </c>
      <c r="AS33" s="17" t="n">
        <v>0</v>
      </c>
    </row>
    <row r="34" ht="18" customFormat="1" customHeight="1" s="3">
      <c r="A34" s="30" t="n"/>
      <c r="B34" s="40" t="n"/>
      <c r="C34" s="40" t="n"/>
      <c r="D34" s="30" t="n"/>
      <c r="E34" s="34" t="n"/>
      <c r="F34" s="30" t="n"/>
      <c r="G34" s="9" t="n"/>
      <c r="H34" s="20" t="n"/>
      <c r="I34" s="8">
        <f>IFERROR(IF($E$3=15,IF(_xlfn.XLOOKUP(G34,A$3:A$17,B$3:B$17) = "Missed Hit",_xlfn.XLOOKUP(G34,A$3:A$17,B$3:B$17),_xlfn.XLOOKUP(G34,A$3:A$17,B$3:B$17) &amp; " Star " &amp; _xlfn.XLOOKUP(G34,A$3:A$17,C$3:C$17) &amp; "%"),_xlfn.XLOOKUP(G34,A$3:A$32,B$3:B$32)),"Not in war")</f>
        <v/>
      </c>
      <c r="J34" s="8">
        <f>IFERROR(IF($E$3=15,IF(_xlfn.XLOOKUP(G34,A$18:A$32,B$18:B$32) = "Missed Hit",_xlfn.XLOOKUP(G34,A$18:A$32,B$18:B$32),_xlfn.XLOOKUP(G34,A$18:A$32,B$18:B$32) &amp; " Star " &amp; _xlfn.XLOOKUP(G34,A$18:A$32,C$18:C$32) &amp; "%"),_xlfn.XLOOKUP(G34,A$33:A$62,B$33:B$62)),"Not in war")</f>
        <v/>
      </c>
      <c r="K34" s="8">
        <f>IFERROR(IF($E$3=15,IF(_xlfn.XLOOKUP(G34,A$33:A$47,B$33:B$47) = "Missed Hit",_xlfn.XLOOKUP(G34,A$33:A$47,B$33:B$47),_xlfn.XLOOKUP(G34,A$33:A$47,B$33:B$47) &amp; " Star " &amp; _xlfn.XLOOKUP(G34,A$33:A$47,C$33:C$47) &amp; "%"),_xlfn.XLOOKUP(G34,A$63:A$92,B$63:B$92)),"Not in war")</f>
        <v/>
      </c>
      <c r="L34" s="7">
        <f>IFERROR(IF($E$3=15,IF(_xlfn.XLOOKUP(G34,A$48:A$62,B$48:B$62) = "Missed Hit",_xlfn.XLOOKUP(G34,A$48:A$62,B$48:B$62),_xlfn.XLOOKUP(G34,A$48:A$62,B$48:B$62) &amp; " Star " &amp; _xlfn.XLOOKUP(G34,A$48:A$62,C$48:C$62) &amp; "%"),_xlfn.XLOOKUP(G34,A$93:A$122,B$93:B$122)),"Not in war")</f>
        <v/>
      </c>
      <c r="M34" s="7">
        <f>IFERROR(IF($E$3=15,IF(_xlfn.XLOOKUP(G34,A$63:A$77,B$63:B$77) = "Missed Hit",_xlfn.XLOOKUP(G34,A$63:A$77,B$63:B$77),_xlfn.XLOOKUP(G34,A$63:A$77,B$63:B$77) &amp; " Star " &amp; _xlfn.XLOOKUP(G34,A$63:A$77,C$63:C$77) &amp; "%"),_xlfn.XLOOKUP(G34,A$123:A$152,B$123:B$152)),"Not in war")</f>
        <v/>
      </c>
      <c r="N34" s="7">
        <f>IFERROR(IF($E$3=15,IF(_xlfn.XLOOKUP(G34,A$78:A$92,B$78:B$92) = "Missed Hit",_xlfn.XLOOKUP(G34,A$78:A$92,B$78:B$92),_xlfn.XLOOKUP(G34,A$78:A$92,B$78:B$92) &amp; " Star " &amp; _xlfn.XLOOKUP(G34,A$78:A$92,C$78:C$92) &amp; "%"),_xlfn.XLOOKUP(G34,A$153:A$182,B$153:B$182)),"Not in war")</f>
        <v/>
      </c>
      <c r="O34" s="6">
        <f>IFERROR(IF($E$3=15,IF(_xlfn.XLOOKUP(G34,A$93:A$107,B$93:B$107) = "Missed Hit",_xlfn.XLOOKUP(G34,A$93:A$107,B$93:B$107),_xlfn.XLOOKUP(G34,A$93:A$107,B$93:B$107) &amp; " Star " &amp; _xlfn.XLOOKUP(G34,A$93:A$107,C$93:C$107) &amp; "%"),_xlfn.XLOOKUP(G34,A$153:A$182,B$153:B$182)),"Not in war")</f>
        <v/>
      </c>
      <c r="Q34" s="16">
        <f>IFERROR($R34/(3*(7-$Y34)),0)</f>
        <v/>
      </c>
      <c r="R34" s="14">
        <f>3*S34+2*T34+U34</f>
        <v/>
      </c>
      <c r="S34" s="17">
        <f>COUNTIF($I34:$O34, 3 &amp; "*")</f>
        <v/>
      </c>
      <c r="T34" s="17">
        <f>COUNTIF($I34:$O34, 2 &amp; "*")</f>
        <v/>
      </c>
      <c r="U34" s="17">
        <f>COUNTIF($I34:$O34,1)</f>
        <v/>
      </c>
      <c r="V34" s="17">
        <f>COUNTIF($I34:$O34, 0 &amp; "*")</f>
        <v/>
      </c>
      <c r="W34" s="17">
        <f>COUNTIF($I34:$O34,"Missed hit")</f>
        <v/>
      </c>
      <c r="X34" s="17">
        <f>IF($E$3=15,SUM(_xlfn.XLOOKUP(G34,$A$3:$A$17,$C$3:$C$17,0),_xlfn.XLOOKUP(G34,$A$18:$A$32,$C$18:$C$32,0),_xlfn.XLOOKUP(G34,$A$33:$A$47,$C$33:$C$47,0), _xlfn.XLOOKUP(G34,$A$48:$A$62,$C$48:$C$62,0), _xlfn.XLOOKUP(G34,$A$63:$A$77,$C$63:$C$77,0), _xlfn.XLOOKUP(G34,$A$78:$A$92,$C$78:$C$92,0), _xlfn.XLOOKUP(G34,$A$93:$A$107,$C$93:$C$107,0)))</f>
        <v/>
      </c>
      <c r="Y34" s="17">
        <f>COUNTIF($I34:$O34,"Not in war")</f>
        <v/>
      </c>
      <c r="AB34" s="61" t="n">
        <v>0</v>
      </c>
      <c r="AC34" s="58" t="n">
        <v>0</v>
      </c>
      <c r="AD34" s="8" t="n">
        <v>0</v>
      </c>
      <c r="AE34" s="8" t="n">
        <v>0</v>
      </c>
      <c r="AF34" s="7" t="n">
        <v>0</v>
      </c>
      <c r="AG34" s="7" t="n">
        <v>0</v>
      </c>
      <c r="AH34" s="7" t="n">
        <v>0</v>
      </c>
      <c r="AI34" s="6" t="n">
        <v>0</v>
      </c>
      <c r="AJ34" s="55" t="n">
        <v>0</v>
      </c>
      <c r="AK34" s="16" t="n">
        <v>0</v>
      </c>
      <c r="AL34" s="14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b">
        <v>0</v>
      </c>
      <c r="AS34" s="17" t="n">
        <v>0</v>
      </c>
    </row>
    <row r="35" ht="18" customFormat="1" customHeight="1" s="3">
      <c r="A35" s="30" t="n"/>
      <c r="B35" s="40" t="n"/>
      <c r="C35" s="40" t="n"/>
      <c r="D35" s="30" t="n"/>
      <c r="E35" s="34" t="n"/>
      <c r="F35" s="30" t="n"/>
      <c r="G35" s="9" t="n"/>
      <c r="H35" s="20" t="n"/>
      <c r="I35" s="8">
        <f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/>
      </c>
      <c r="J35" s="8">
        <f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/>
      </c>
      <c r="K35" s="8">
        <f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/>
      </c>
      <c r="L35" s="7">
        <f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/>
      </c>
      <c r="M35" s="7">
        <f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/>
      </c>
      <c r="N35" s="7">
        <f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/>
      </c>
      <c r="O35" s="6">
        <f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/>
      </c>
      <c r="Q35" s="16">
        <f>IFERROR($R35/(3*(7-$Y35)),0)</f>
        <v/>
      </c>
      <c r="R35" s="14">
        <f>3*S35+2*T35+U35</f>
        <v/>
      </c>
      <c r="S35" s="17">
        <f>COUNTIF($I35:$O35, 3 &amp; "*")</f>
        <v/>
      </c>
      <c r="T35" s="17">
        <f>COUNTIF($I35:$O35, 2 &amp; "*")</f>
        <v/>
      </c>
      <c r="U35" s="17">
        <f>COUNTIF($I35:$O35,1)</f>
        <v/>
      </c>
      <c r="V35" s="17">
        <f>COUNTIF($I35:$O35, 0 &amp; "*")</f>
        <v/>
      </c>
      <c r="W35" s="17">
        <f>COUNTIF($I35:$O35,"Missed hit")</f>
        <v/>
      </c>
      <c r="X35" s="17">
        <f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/>
      </c>
      <c r="Y35" s="17">
        <f>COUNTIF($I35:$O35,"Not in war")</f>
        <v/>
      </c>
      <c r="AB35" s="61" t="n">
        <v>0</v>
      </c>
      <c r="AC35" s="58" t="n">
        <v>0</v>
      </c>
      <c r="AD35" s="8" t="n">
        <v>0</v>
      </c>
      <c r="AE35" s="8" t="n">
        <v>0</v>
      </c>
      <c r="AF35" s="7" t="n">
        <v>0</v>
      </c>
      <c r="AG35" s="7" t="n">
        <v>0</v>
      </c>
      <c r="AH35" s="7" t="n">
        <v>0</v>
      </c>
      <c r="AI35" s="6" t="n">
        <v>0</v>
      </c>
      <c r="AJ35" s="55" t="n">
        <v>0</v>
      </c>
      <c r="AK35" s="16" t="n">
        <v>0</v>
      </c>
      <c r="AL35" s="14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b">
        <v>0</v>
      </c>
      <c r="AS35" s="17" t="n">
        <v>0</v>
      </c>
    </row>
    <row r="36" ht="18" customFormat="1" customHeight="1" s="3">
      <c r="A36" s="30" t="n"/>
      <c r="B36" s="40" t="n"/>
      <c r="C36" s="40" t="n"/>
      <c r="D36" s="30" t="n"/>
      <c r="E36" s="34" t="n"/>
      <c r="F36" s="30" t="n"/>
      <c r="G36" s="9" t="n"/>
      <c r="H36" s="20" t="n"/>
      <c r="I36" s="8">
        <f>IFERROR(IF($E$3=15,IF(_xlfn.XLOOKUP(G36,A$3:A$17,B$3:B$17) = "Missed Hit",_xlfn.XLOOKUP(G36,A$3:A$17,B$3:B$17),_xlfn.XLOOKUP(G36,A$3:A$17,B$3:B$17) &amp; " Star " &amp; _xlfn.XLOOKUP(G36,A$3:A$17,C$3:C$17) &amp; "%"),_xlfn.XLOOKUP(G36,A$3:A$32,B$3:B$32)),"Not in war")</f>
        <v/>
      </c>
      <c r="J36" s="8">
        <f>IFERROR(IF($E$3=15,IF(_xlfn.XLOOKUP(G36,A$18:A$32,B$18:B$32) = "Missed Hit",_xlfn.XLOOKUP(G36,A$18:A$32,B$18:B$32),_xlfn.XLOOKUP(G36,A$18:A$32,B$18:B$32) &amp; " Star " &amp; _xlfn.XLOOKUP(G36,A$18:A$32,C$18:C$32) &amp; "%"),_xlfn.XLOOKUP(G36,A$33:A$62,B$33:B$62)),"Not in war")</f>
        <v/>
      </c>
      <c r="K36" s="8">
        <f>IFERROR(IF($E$3=15,IF(_xlfn.XLOOKUP(G36,A$33:A$47,B$33:B$47) = "Missed Hit",_xlfn.XLOOKUP(G36,A$33:A$47,B$33:B$47),_xlfn.XLOOKUP(G36,A$33:A$47,B$33:B$47) &amp; " Star " &amp; _xlfn.XLOOKUP(G36,A$33:A$47,C$33:C$47) &amp; "%"),_xlfn.XLOOKUP(G36,A$63:A$92,B$63:B$92)),"Not in war")</f>
        <v/>
      </c>
      <c r="L36" s="7">
        <f>IFERROR(IF($E$3=15,IF(_xlfn.XLOOKUP(G36,A$48:A$62,B$48:B$62) = "Missed Hit",_xlfn.XLOOKUP(G36,A$48:A$62,B$48:B$62),_xlfn.XLOOKUP(G36,A$48:A$62,B$48:B$62) &amp; " Star " &amp; _xlfn.XLOOKUP(G36,A$48:A$62,C$48:C$62) &amp; "%"),_xlfn.XLOOKUP(G36,A$93:A$122,B$93:B$122)),"Not in war")</f>
        <v/>
      </c>
      <c r="M36" s="7">
        <f>IFERROR(IF($E$3=15,IF(_xlfn.XLOOKUP(G36,A$63:A$77,B$63:B$77) = "Missed Hit",_xlfn.XLOOKUP(G36,A$63:A$77,B$63:B$77),_xlfn.XLOOKUP(G36,A$63:A$77,B$63:B$77) &amp; " Star " &amp; _xlfn.XLOOKUP(G36,A$63:A$77,C$63:C$77) &amp; "%"),_xlfn.XLOOKUP(G36,A$123:A$152,B$123:B$152)),"Not in war")</f>
        <v/>
      </c>
      <c r="N36" s="7">
        <f>IFERROR(IF($E$3=15,IF(_xlfn.XLOOKUP(G36,A$78:A$92,B$78:B$92) = "Missed Hit",_xlfn.XLOOKUP(G36,A$78:A$92,B$78:B$92),_xlfn.XLOOKUP(G36,A$78:A$92,B$78:B$92) &amp; " Star " &amp; _xlfn.XLOOKUP(G36,A$78:A$92,C$78:C$92) &amp; "%"),_xlfn.XLOOKUP(G36,A$153:A$182,B$153:B$182)),"Not in war")</f>
        <v/>
      </c>
      <c r="O36" s="6">
        <f>IFERROR(IF($E$3=15,IF(_xlfn.XLOOKUP(G36,A$93:A$107,B$93:B$107) = "Missed Hit",_xlfn.XLOOKUP(G36,A$93:A$107,B$93:B$107),_xlfn.XLOOKUP(G36,A$93:A$107,B$93:B$107) &amp; " Star " &amp; _xlfn.XLOOKUP(G36,A$93:A$107,C$93:C$107) &amp; "%"),_xlfn.XLOOKUP(G36,A$153:A$182,B$153:B$182)),"Not in war")</f>
        <v/>
      </c>
      <c r="Q36" s="16">
        <f>IFERROR($R36/(3*(7-$Y36)),0)</f>
        <v/>
      </c>
      <c r="R36" s="14">
        <f>3*S36+2*T36+U36</f>
        <v/>
      </c>
      <c r="S36" s="17">
        <f>COUNTIF($I36:$O36, 3 &amp; "*")</f>
        <v/>
      </c>
      <c r="T36" s="17">
        <f>COUNTIF($I36:$O36, 2 &amp; "*")</f>
        <v/>
      </c>
      <c r="U36" s="17">
        <f>COUNTIF($I36:$O36,1)</f>
        <v/>
      </c>
      <c r="V36" s="17">
        <f>COUNTIF($I36:$O36, 0 &amp; "*")</f>
        <v/>
      </c>
      <c r="W36" s="17">
        <f>COUNTIF($I36:$O36,"Missed hit")</f>
        <v/>
      </c>
      <c r="X36" s="17">
        <f>IF($E$3=15,SUM(_xlfn.XLOOKUP(G36,$A$3:$A$17,$C$3:$C$17,0),_xlfn.XLOOKUP(G36,$A$18:$A$32,$C$18:$C$32,0),_xlfn.XLOOKUP(G36,$A$33:$A$47,$C$33:$C$47,0), _xlfn.XLOOKUP(G36,$A$48:$A$62,$C$48:$C$62,0), _xlfn.XLOOKUP(G36,$A$63:$A$77,$C$63:$C$77,0), _xlfn.XLOOKUP(G36,$A$78:$A$92,$C$78:$C$92,0), _xlfn.XLOOKUP(G36,$A$93:$A$107,$C$93:$C$107,0)))</f>
        <v/>
      </c>
      <c r="Y36" s="17">
        <f>COUNTIF($I36:$O36,"Not in war")</f>
        <v/>
      </c>
      <c r="AB36" s="61" t="n">
        <v>0</v>
      </c>
      <c r="AC36" s="58" t="n">
        <v>0</v>
      </c>
      <c r="AD36" s="8" t="n">
        <v>0</v>
      </c>
      <c r="AE36" s="8" t="n">
        <v>0</v>
      </c>
      <c r="AF36" s="7" t="n">
        <v>0</v>
      </c>
      <c r="AG36" s="7" t="n">
        <v>0</v>
      </c>
      <c r="AH36" s="7" t="n">
        <v>0</v>
      </c>
      <c r="AI36" s="6" t="n">
        <v>0</v>
      </c>
      <c r="AJ36" s="55" t="n">
        <v>0</v>
      </c>
      <c r="AK36" s="16" t="n">
        <v>0</v>
      </c>
      <c r="AL36" s="14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b">
        <v>0</v>
      </c>
      <c r="AS36" s="17" t="n">
        <v>0</v>
      </c>
    </row>
    <row r="37" ht="18" customFormat="1" customHeight="1" s="3">
      <c r="A37" s="30" t="n"/>
      <c r="B37" s="40" t="n"/>
      <c r="C37" s="40" t="n"/>
      <c r="D37" s="30" t="n"/>
      <c r="E37" s="34" t="n"/>
      <c r="F37" s="30" t="n"/>
      <c r="G37" s="9" t="n"/>
      <c r="H37" s="20" t="n"/>
      <c r="I37" s="8">
        <f>IFERROR(IF($E$3=15,IF(_xlfn.XLOOKUP(G37,A$3:A$17,B$3:B$17) = "Missed Hit",_xlfn.XLOOKUP(G37,A$3:A$17,B$3:B$17),_xlfn.XLOOKUP(G37,A$3:A$17,B$3:B$17) &amp; " Star " &amp; _xlfn.XLOOKUP(G37,A$3:A$17,C$3:C$17) &amp; "%"),_xlfn.XLOOKUP(G37,A$3:A$32,B$3:B$32)),"Not in war")</f>
        <v/>
      </c>
      <c r="J37" s="8">
        <f>IFERROR(IF($E$3=15,IF(_xlfn.XLOOKUP(G37,A$18:A$32,B$18:B$32) = "Missed Hit",_xlfn.XLOOKUP(G37,A$18:A$32,B$18:B$32),_xlfn.XLOOKUP(G37,A$18:A$32,B$18:B$32) &amp; " Star " &amp; _xlfn.XLOOKUP(G37,A$18:A$32,C$18:C$32) &amp; "%"),_xlfn.XLOOKUP(G37,A$33:A$62,B$33:B$62)),"Not in war")</f>
        <v/>
      </c>
      <c r="K37" s="8">
        <f>IFERROR(IF($E$3=15,IF(_xlfn.XLOOKUP(G37,A$33:A$47,B$33:B$47) = "Missed Hit",_xlfn.XLOOKUP(G37,A$33:A$47,B$33:B$47),_xlfn.XLOOKUP(G37,A$33:A$47,B$33:B$47) &amp; " Star " &amp; _xlfn.XLOOKUP(G37,A$33:A$47,C$33:C$47) &amp; "%"),_xlfn.XLOOKUP(G37,A$63:A$92,B$63:B$92)),"Not in war")</f>
        <v/>
      </c>
      <c r="L37" s="7">
        <f>IFERROR(IF($E$3=15,IF(_xlfn.XLOOKUP(G37,A$48:A$62,B$48:B$62) = "Missed Hit",_xlfn.XLOOKUP(G37,A$48:A$62,B$48:B$62),_xlfn.XLOOKUP(G37,A$48:A$62,B$48:B$62) &amp; " Star " &amp; _xlfn.XLOOKUP(G37,A$48:A$62,C$48:C$62) &amp; "%"),_xlfn.XLOOKUP(G37,A$93:A$122,B$93:B$122)),"Not in war")</f>
        <v/>
      </c>
      <c r="M37" s="7">
        <f>IFERROR(IF($E$3=15,IF(_xlfn.XLOOKUP(G37,A$63:A$77,B$63:B$77) = "Missed Hit",_xlfn.XLOOKUP(G37,A$63:A$77,B$63:B$77),_xlfn.XLOOKUP(G37,A$63:A$77,B$63:B$77) &amp; " Star " &amp; _xlfn.XLOOKUP(G37,A$63:A$77,C$63:C$77) &amp; "%"),_xlfn.XLOOKUP(G37,A$123:A$152,B$123:B$152)),"Not in war")</f>
        <v/>
      </c>
      <c r="N37" s="7">
        <f>IFERROR(IF($E$3=15,IF(_xlfn.XLOOKUP(G37,A$78:A$92,B$78:B$92) = "Missed Hit",_xlfn.XLOOKUP(G37,A$78:A$92,B$78:B$92),_xlfn.XLOOKUP(G37,A$78:A$92,B$78:B$92) &amp; " Star " &amp; _xlfn.XLOOKUP(G37,A$78:A$92,C$78:C$92) &amp; "%"),_xlfn.XLOOKUP(G37,A$153:A$182,B$153:B$182)),"Not in war")</f>
        <v/>
      </c>
      <c r="O37" s="6">
        <f>IFERROR(IF($E$3=15,IF(_xlfn.XLOOKUP(G37,A$93:A$107,B$93:B$107) = "Missed Hit",_xlfn.XLOOKUP(G37,A$93:A$107,B$93:B$107),_xlfn.XLOOKUP(G37,A$93:A$107,B$93:B$107) &amp; " Star " &amp; _xlfn.XLOOKUP(G37,A$93:A$107,C$93:C$107) &amp; "%"),_xlfn.XLOOKUP(G37,A$153:A$182,B$153:B$182)),"Not in war")</f>
        <v/>
      </c>
      <c r="Q37" s="16">
        <f>IFERROR($R37/(3*(7-$Y37)),0)</f>
        <v/>
      </c>
      <c r="R37" s="14">
        <f>3*S37+2*T37+U37</f>
        <v/>
      </c>
      <c r="S37" s="17">
        <f>COUNTIF($I37:$O37, 3 &amp; "*")</f>
        <v/>
      </c>
      <c r="T37" s="17">
        <f>COUNTIF($I37:$O37, 2 &amp; "*")</f>
        <v/>
      </c>
      <c r="U37" s="17">
        <f>COUNTIF($I37:$O37,1)</f>
        <v/>
      </c>
      <c r="V37" s="17">
        <f>COUNTIF($I37:$O37, 0 &amp; "*")</f>
        <v/>
      </c>
      <c r="W37" s="17">
        <f>COUNTIF($I37:$O37,"Missed hit")</f>
        <v/>
      </c>
      <c r="X37" s="17">
        <f>IF($E$3=15,SUM(_xlfn.XLOOKUP(G37,$A$3:$A$17,$C$3:$C$17,0),_xlfn.XLOOKUP(G37,$A$18:$A$32,$C$18:$C$32,0),_xlfn.XLOOKUP(G37,$A$33:$A$47,$C$33:$C$47,0), _xlfn.XLOOKUP(G37,$A$48:$A$62,$C$48:$C$62,0), _xlfn.XLOOKUP(G37,$A$63:$A$77,$C$63:$C$77,0), _xlfn.XLOOKUP(G37,$A$78:$A$92,$C$78:$C$92,0), _xlfn.XLOOKUP(G37,$A$93:$A$107,$C$93:$C$107,0)))</f>
        <v/>
      </c>
      <c r="Y37" s="17">
        <f>COUNTIF($I37:$O37,"Not in war")</f>
        <v/>
      </c>
      <c r="AB37" s="61" t="n">
        <v>0</v>
      </c>
      <c r="AC37" s="58" t="n">
        <v>0</v>
      </c>
      <c r="AD37" s="8" t="n">
        <v>0</v>
      </c>
      <c r="AE37" s="8" t="n">
        <v>0</v>
      </c>
      <c r="AF37" s="7" t="n">
        <v>0</v>
      </c>
      <c r="AG37" s="7" t="n">
        <v>0</v>
      </c>
      <c r="AH37" s="7" t="n">
        <v>0</v>
      </c>
      <c r="AI37" s="6" t="n">
        <v>0</v>
      </c>
      <c r="AJ37" s="55" t="n">
        <v>0</v>
      </c>
      <c r="AK37" s="16" t="n">
        <v>0</v>
      </c>
      <c r="AL37" s="14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b">
        <v>0</v>
      </c>
      <c r="AS37" s="17" t="n">
        <v>0</v>
      </c>
    </row>
    <row r="38" ht="18" customFormat="1" customHeight="1" s="3">
      <c r="A38" s="30" t="n"/>
      <c r="B38" s="40" t="n"/>
      <c r="C38" s="40" t="n"/>
      <c r="D38" s="30" t="n"/>
      <c r="E38" s="34" t="n"/>
      <c r="F38" s="30" t="n"/>
      <c r="G38" s="9" t="n"/>
      <c r="H38" s="20" t="n"/>
      <c r="I38" s="8">
        <f>IFERROR(IF($E$3=15,IF(_xlfn.XLOOKUP(G38,A$3:A$17,B$3:B$17) = "Missed Hit",_xlfn.XLOOKUP(G38,A$3:A$17,B$3:B$17),_xlfn.XLOOKUP(G38,A$3:A$17,B$3:B$17) &amp; " Star " &amp; _xlfn.XLOOKUP(G38,A$3:A$17,C$3:C$17) &amp; "%"),_xlfn.XLOOKUP(G38,A$3:A$32,B$3:B$32)),"Not in war")</f>
        <v/>
      </c>
      <c r="J38" s="8">
        <f>IFERROR(IF($E$3=15,IF(_xlfn.XLOOKUP(G38,A$18:A$32,B$18:B$32) = "Missed Hit",_xlfn.XLOOKUP(G38,A$18:A$32,B$18:B$32),_xlfn.XLOOKUP(G38,A$18:A$32,B$18:B$32) &amp; " Star " &amp; _xlfn.XLOOKUP(G38,A$18:A$32,C$18:C$32) &amp; "%"),_xlfn.XLOOKUP(G38,A$33:A$62,B$33:B$62)),"Not in war")</f>
        <v/>
      </c>
      <c r="K38" s="8">
        <f>IFERROR(IF($E$3=15,IF(_xlfn.XLOOKUP(G38,A$33:A$47,B$33:B$47) = "Missed Hit",_xlfn.XLOOKUP(G38,A$33:A$47,B$33:B$47),_xlfn.XLOOKUP(G38,A$33:A$47,B$33:B$47) &amp; " Star " &amp; _xlfn.XLOOKUP(G38,A$33:A$47,C$33:C$47) &amp; "%"),_xlfn.XLOOKUP(G38,A$63:A$92,B$63:B$92)),"Not in war")</f>
        <v/>
      </c>
      <c r="L38" s="7">
        <f>IFERROR(IF($E$3=15,IF(_xlfn.XLOOKUP(G38,A$48:A$62,B$48:B$62) = "Missed Hit",_xlfn.XLOOKUP(G38,A$48:A$62,B$48:B$62),_xlfn.XLOOKUP(G38,A$48:A$62,B$48:B$62) &amp; " Star " &amp; _xlfn.XLOOKUP(G38,A$48:A$62,C$48:C$62) &amp; "%"),_xlfn.XLOOKUP(G38,A$93:A$122,B$93:B$122)),"Not in war")</f>
        <v/>
      </c>
      <c r="M38" s="7">
        <f>IFERROR(IF($E$3=15,IF(_xlfn.XLOOKUP(G38,A$63:A$77,B$63:B$77) = "Missed Hit",_xlfn.XLOOKUP(G38,A$63:A$77,B$63:B$77),_xlfn.XLOOKUP(G38,A$63:A$77,B$63:B$77) &amp; " Star " &amp; _xlfn.XLOOKUP(G38,A$63:A$77,C$63:C$77) &amp; "%"),_xlfn.XLOOKUP(G38,A$123:A$152,B$123:B$152)),"Not in war")</f>
        <v/>
      </c>
      <c r="N38" s="7">
        <f>IFERROR(IF($E$3=15,IF(_xlfn.XLOOKUP(G38,A$78:A$92,B$78:B$92) = "Missed Hit",_xlfn.XLOOKUP(G38,A$78:A$92,B$78:B$92),_xlfn.XLOOKUP(G38,A$78:A$92,B$78:B$92) &amp; " Star " &amp; _xlfn.XLOOKUP(G38,A$78:A$92,C$78:C$92) &amp; "%"),_xlfn.XLOOKUP(G38,A$153:A$182,B$153:B$182)),"Not in war")</f>
        <v/>
      </c>
      <c r="O38" s="6">
        <f>IFERROR(IF($E$3=15,IF(_xlfn.XLOOKUP(G38,A$93:A$107,B$93:B$107) = "Missed Hit",_xlfn.XLOOKUP(G38,A$93:A$107,B$93:B$107),_xlfn.XLOOKUP(G38,A$93:A$107,B$93:B$107) &amp; " Star " &amp; _xlfn.XLOOKUP(G38,A$93:A$107,C$93:C$107) &amp; "%"),_xlfn.XLOOKUP(G38,A$153:A$182,B$153:B$182)),"Not in war")</f>
        <v/>
      </c>
      <c r="Q38" s="16">
        <f>IFERROR($R38/(3*(7-$Y38)),0)</f>
        <v/>
      </c>
      <c r="R38" s="14">
        <f>3*S38+2*T38+U38</f>
        <v/>
      </c>
      <c r="S38" s="17">
        <f>COUNTIF($I38:$O38, 3 &amp; "*")</f>
        <v/>
      </c>
      <c r="T38" s="17">
        <f>COUNTIF($I38:$O38, 2 &amp; "*")</f>
        <v/>
      </c>
      <c r="U38" s="17">
        <f>COUNTIF($I38:$O38,1)</f>
        <v/>
      </c>
      <c r="V38" s="17">
        <f>COUNTIF($I38:$O38, 0 &amp; "*")</f>
        <v/>
      </c>
      <c r="W38" s="17">
        <f>COUNTIF($I38:$O38,"Missed hit")</f>
        <v/>
      </c>
      <c r="X38" s="17">
        <f>IF($E$3=15,SUM(_xlfn.XLOOKUP(G38,$A$3:$A$17,$C$3:$C$17,0),_xlfn.XLOOKUP(G38,$A$18:$A$32,$C$18:$C$32,0),_xlfn.XLOOKUP(G38,$A$33:$A$47,$C$33:$C$47,0), _xlfn.XLOOKUP(G38,$A$48:$A$62,$C$48:$C$62,0), _xlfn.XLOOKUP(G38,$A$63:$A$77,$C$63:$C$77,0), _xlfn.XLOOKUP(G38,$A$78:$A$92,$C$78:$C$92,0), _xlfn.XLOOKUP(G38,$A$93:$A$107,$C$93:$C$107,0)))</f>
        <v/>
      </c>
      <c r="Y38" s="17">
        <f>COUNTIF($I38:$O38,"Not in war")</f>
        <v/>
      </c>
      <c r="AB38" s="61" t="n">
        <v>0</v>
      </c>
      <c r="AC38" s="58" t="n">
        <v>0</v>
      </c>
      <c r="AD38" s="8" t="n">
        <v>0</v>
      </c>
      <c r="AE38" s="8" t="n">
        <v>0</v>
      </c>
      <c r="AF38" s="7" t="n">
        <v>0</v>
      </c>
      <c r="AG38" s="7" t="n">
        <v>0</v>
      </c>
      <c r="AH38" s="7" t="n">
        <v>0</v>
      </c>
      <c r="AI38" s="6" t="n">
        <v>0</v>
      </c>
      <c r="AJ38" s="55" t="n">
        <v>0</v>
      </c>
      <c r="AK38" s="16" t="n">
        <v>0</v>
      </c>
      <c r="AL38" s="14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b">
        <v>0</v>
      </c>
      <c r="AS38" s="17" t="n">
        <v>0</v>
      </c>
    </row>
    <row r="39" ht="18" customFormat="1" customHeight="1" s="3">
      <c r="A39" s="30" t="n"/>
      <c r="B39" s="40" t="n"/>
      <c r="C39" s="40" t="n"/>
      <c r="D39" s="30" t="n"/>
      <c r="E39" s="34" t="n"/>
      <c r="F39" s="30" t="n"/>
      <c r="G39" s="9" t="n"/>
      <c r="H39" s="20" t="n"/>
      <c r="I39" s="8">
        <f>IFERROR(IF($E$3=15,IF(_xlfn.XLOOKUP(G39,A$3:A$17,B$3:B$17) = "Missed Hit",_xlfn.XLOOKUP(G39,A$3:A$17,B$3:B$17),_xlfn.XLOOKUP(G39,A$3:A$17,B$3:B$17) &amp; " Star " &amp; _xlfn.XLOOKUP(G39,A$3:A$17,C$3:C$17) &amp; "%"),_xlfn.XLOOKUP(G39,A$3:A$32,B$3:B$32)),"Not in war")</f>
        <v/>
      </c>
      <c r="J39" s="8">
        <f>IFERROR(IF($E$3=15,IF(_xlfn.XLOOKUP(G39,A$18:A$32,B$18:B$32) = "Missed Hit",_xlfn.XLOOKUP(G39,A$18:A$32,B$18:B$32),_xlfn.XLOOKUP(G39,A$18:A$32,B$18:B$32) &amp; " Star " &amp; _xlfn.XLOOKUP(G39,A$18:A$32,C$18:C$32) &amp; "%"),_xlfn.XLOOKUP(G39,A$33:A$62,B$33:B$62)),"Not in war")</f>
        <v/>
      </c>
      <c r="K39" s="8">
        <f>IFERROR(IF($E$3=15,IF(_xlfn.XLOOKUP(G39,A$33:A$47,B$33:B$47) = "Missed Hit",_xlfn.XLOOKUP(G39,A$33:A$47,B$33:B$47),_xlfn.XLOOKUP(G39,A$33:A$47,B$33:B$47) &amp; " Star " &amp; _xlfn.XLOOKUP(G39,A$33:A$47,C$33:C$47) &amp; "%"),_xlfn.XLOOKUP(G39,A$63:A$92,B$63:B$92)),"Not in war")</f>
        <v/>
      </c>
      <c r="L39" s="7">
        <f>IFERROR(IF($E$3=15,IF(_xlfn.XLOOKUP(G39,A$48:A$62,B$48:B$62) = "Missed Hit",_xlfn.XLOOKUP(G39,A$48:A$62,B$48:B$62),_xlfn.XLOOKUP(G39,A$48:A$62,B$48:B$62) &amp; " Star " &amp; _xlfn.XLOOKUP(G39,A$48:A$62,C$48:C$62) &amp; "%"),_xlfn.XLOOKUP(G39,A$93:A$122,B$93:B$122)),"Not in war")</f>
        <v/>
      </c>
      <c r="M39" s="7">
        <f>IFERROR(IF($E$3=15,IF(_xlfn.XLOOKUP(G39,A$63:A$77,B$63:B$77) = "Missed Hit",_xlfn.XLOOKUP(G39,A$63:A$77,B$63:B$77),_xlfn.XLOOKUP(G39,A$63:A$77,B$63:B$77) &amp; " Star " &amp; _xlfn.XLOOKUP(G39,A$63:A$77,C$63:C$77) &amp; "%"),_xlfn.XLOOKUP(G39,A$123:A$152,B$123:B$152)),"Not in war")</f>
        <v/>
      </c>
      <c r="N39" s="7">
        <f>IFERROR(IF($E$3=15,IF(_xlfn.XLOOKUP(G39,A$78:A$92,B$78:B$92) = "Missed Hit",_xlfn.XLOOKUP(G39,A$78:A$92,B$78:B$92),_xlfn.XLOOKUP(G39,A$78:A$92,B$78:B$92) &amp; " Star " &amp; _xlfn.XLOOKUP(G39,A$78:A$92,C$78:C$92) &amp; "%"),_xlfn.XLOOKUP(G39,A$153:A$182,B$153:B$182)),"Not in war")</f>
        <v/>
      </c>
      <c r="O39" s="6">
        <f>IFERROR(IF($E$3=15,IF(_xlfn.XLOOKUP(G39,A$93:A$107,B$93:B$107) = "Missed Hit",_xlfn.XLOOKUP(G39,A$93:A$107,B$93:B$107),_xlfn.XLOOKUP(G39,A$93:A$107,B$93:B$107) &amp; " Star " &amp; _xlfn.XLOOKUP(G39,A$93:A$107,C$93:C$107) &amp; "%"),_xlfn.XLOOKUP(G39,A$153:A$182,B$153:B$182)),"Not in war")</f>
        <v/>
      </c>
      <c r="Q39" s="16">
        <f>IFERROR($R39/(3*(7-$Y39)),0)</f>
        <v/>
      </c>
      <c r="R39" s="14">
        <f>3*S39+2*T39+U39</f>
        <v/>
      </c>
      <c r="S39" s="17">
        <f>COUNTIF($I39:$O39, 3 &amp; "*")</f>
        <v/>
      </c>
      <c r="T39" s="17">
        <f>COUNTIF($I39:$O39, 2 &amp; "*")</f>
        <v/>
      </c>
      <c r="U39" s="17">
        <f>COUNTIF($I39:$O39,1)</f>
        <v/>
      </c>
      <c r="V39" s="17">
        <f>COUNTIF($I39:$O39, 0 &amp; "*")</f>
        <v/>
      </c>
      <c r="W39" s="17">
        <f>COUNTIF($I39:$O39,"Missed hit")</f>
        <v/>
      </c>
      <c r="X39" s="17">
        <f>IF($E$3=15,SUM(_xlfn.XLOOKUP(G39,$A$3:$A$17,$C$3:$C$17,0),_xlfn.XLOOKUP(G39,$A$18:$A$32,$C$18:$C$32,0),_xlfn.XLOOKUP(G39,$A$33:$A$47,$C$33:$C$47,0), _xlfn.XLOOKUP(G39,$A$48:$A$62,$C$48:$C$62,0), _xlfn.XLOOKUP(G39,$A$63:$A$77,$C$63:$C$77,0), _xlfn.XLOOKUP(G39,$A$78:$A$92,$C$78:$C$92,0), _xlfn.XLOOKUP(G39,$A$93:$A$107,$C$93:$C$107,0)))</f>
        <v/>
      </c>
      <c r="Y39" s="17">
        <f>COUNTIF($I39:$O39,"Not in war")</f>
        <v/>
      </c>
      <c r="AB39" s="61" t="n">
        <v>0</v>
      </c>
      <c r="AC39" s="58" t="n">
        <v>0</v>
      </c>
      <c r="AD39" s="8" t="n">
        <v>0</v>
      </c>
      <c r="AE39" s="8" t="n">
        <v>0</v>
      </c>
      <c r="AF39" s="7" t="n">
        <v>0</v>
      </c>
      <c r="AG39" s="7" t="n">
        <v>0</v>
      </c>
      <c r="AH39" s="7" t="n">
        <v>0</v>
      </c>
      <c r="AI39" s="6" t="n">
        <v>0</v>
      </c>
      <c r="AJ39" s="55" t="n">
        <v>0</v>
      </c>
      <c r="AK39" s="16" t="n">
        <v>0</v>
      </c>
      <c r="AL39" s="14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b">
        <v>0</v>
      </c>
      <c r="AS39" s="17" t="n">
        <v>0</v>
      </c>
    </row>
    <row r="40" ht="18" customFormat="1" customHeight="1" s="3">
      <c r="A40" s="30" t="n"/>
      <c r="B40" s="40" t="n"/>
      <c r="C40" s="40" t="n"/>
      <c r="D40" s="30" t="n"/>
      <c r="E40" s="34" t="n"/>
      <c r="F40" s="30" t="n"/>
      <c r="G40" s="9" t="n"/>
      <c r="H40" s="20" t="n"/>
      <c r="I40" s="8">
        <f>IFERROR(IF($E$3=15,IF(_xlfn.XLOOKUP(G40,A$3:A$17,B$3:B$17) = "Missed Hit",_xlfn.XLOOKUP(G40,A$3:A$17,B$3:B$17),_xlfn.XLOOKUP(G40,A$3:A$17,B$3:B$17) &amp; " Star " &amp; _xlfn.XLOOKUP(G40,A$3:A$17,C$3:C$17) &amp; "%"),_xlfn.XLOOKUP(G40,A$3:A$32,B$3:B$32)),"Not in war")</f>
        <v/>
      </c>
      <c r="J40" s="8">
        <f>IFERROR(IF($E$3=15,IF(_xlfn.XLOOKUP(G40,A$18:A$32,B$18:B$32) = "Missed Hit",_xlfn.XLOOKUP(G40,A$18:A$32,B$18:B$32),_xlfn.XLOOKUP(G40,A$18:A$32,B$18:B$32) &amp; " Star " &amp; _xlfn.XLOOKUP(G40,A$18:A$32,C$18:C$32) &amp; "%"),_xlfn.XLOOKUP(G40,A$33:A$62,B$33:B$62)),"Not in war")</f>
        <v/>
      </c>
      <c r="K40" s="8">
        <f>IFERROR(IF($E$3=15,IF(_xlfn.XLOOKUP(G40,A$33:A$47,B$33:B$47) = "Missed Hit",_xlfn.XLOOKUP(G40,A$33:A$47,B$33:B$47),_xlfn.XLOOKUP(G40,A$33:A$47,B$33:B$47) &amp; " Star " &amp; _xlfn.XLOOKUP(G40,A$33:A$47,C$33:C$47) &amp; "%"),_xlfn.XLOOKUP(G40,A$63:A$92,B$63:B$92)),"Not in war")</f>
        <v/>
      </c>
      <c r="L40" s="7">
        <f>IFERROR(IF($E$3=15,IF(_xlfn.XLOOKUP(G40,A$48:A$62,B$48:B$62) = "Missed Hit",_xlfn.XLOOKUP(G40,A$48:A$62,B$48:B$62),_xlfn.XLOOKUP(G40,A$48:A$62,B$48:B$62) &amp; " Star " &amp; _xlfn.XLOOKUP(G40,A$48:A$62,C$48:C$62) &amp; "%"),_xlfn.XLOOKUP(G40,A$93:A$122,B$93:B$122)),"Not in war")</f>
        <v/>
      </c>
      <c r="M40" s="7">
        <f>IFERROR(IF($E$3=15,IF(_xlfn.XLOOKUP(G40,A$63:A$77,B$63:B$77) = "Missed Hit",_xlfn.XLOOKUP(G40,A$63:A$77,B$63:B$77),_xlfn.XLOOKUP(G40,A$63:A$77,B$63:B$77) &amp; " Star " &amp; _xlfn.XLOOKUP(G40,A$63:A$77,C$63:C$77) &amp; "%"),_xlfn.XLOOKUP(G40,A$123:A$152,B$123:B$152)),"Not in war")</f>
        <v/>
      </c>
      <c r="N40" s="7">
        <f>IFERROR(IF($E$3=15,IF(_xlfn.XLOOKUP(G40,A$78:A$92,B$78:B$92) = "Missed Hit",_xlfn.XLOOKUP(G40,A$78:A$92,B$78:B$92),_xlfn.XLOOKUP(G40,A$78:A$92,B$78:B$92) &amp; " Star " &amp; _xlfn.XLOOKUP(G40,A$78:A$92,C$78:C$92) &amp; "%"),_xlfn.XLOOKUP(G40,A$153:A$182,B$153:B$182)),"Not in war")</f>
        <v/>
      </c>
      <c r="O40" s="6">
        <f>IFERROR(IF($E$3=15,IF(_xlfn.XLOOKUP(G40,A$93:A$107,B$93:B$107) = "Missed Hit",_xlfn.XLOOKUP(G40,A$93:A$107,B$93:B$107),_xlfn.XLOOKUP(G40,A$93:A$107,B$93:B$107) &amp; " Star " &amp; _xlfn.XLOOKUP(G40,A$93:A$107,C$93:C$107) &amp; "%"),_xlfn.XLOOKUP(G40,A$153:A$182,B$153:B$182)),"Not in war")</f>
        <v/>
      </c>
      <c r="Q40" s="16">
        <f>IFERROR($R40/(3*(7-$Y40)),0)</f>
        <v/>
      </c>
      <c r="R40" s="14">
        <f>3*S40+2*T40+U40</f>
        <v/>
      </c>
      <c r="S40" s="17">
        <f>COUNTIF($I40:$O40, 3 &amp; "*")</f>
        <v/>
      </c>
      <c r="T40" s="17">
        <f>COUNTIF($I40:$O40, 2 &amp; "*")</f>
        <v/>
      </c>
      <c r="U40" s="17">
        <f>COUNTIF($I40:$O40,1)</f>
        <v/>
      </c>
      <c r="V40" s="17">
        <f>COUNTIF($I40:$O40, 0 &amp; "*")</f>
        <v/>
      </c>
      <c r="W40" s="17">
        <f>COUNTIF($I40:$O40,"Missed hit")</f>
        <v/>
      </c>
      <c r="X40" s="17">
        <f>IF($E$3=15,SUM(_xlfn.XLOOKUP(G40,$A$3:$A$17,$C$3:$C$17,0),_xlfn.XLOOKUP(G40,$A$18:$A$32,$C$18:$C$32,0),_xlfn.XLOOKUP(G40,$A$33:$A$47,$C$33:$C$47,0), _xlfn.XLOOKUP(G40,$A$48:$A$62,$C$48:$C$62,0), _xlfn.XLOOKUP(G40,$A$63:$A$77,$C$63:$C$77,0), _xlfn.XLOOKUP(G40,$A$78:$A$92,$C$78:$C$92,0), _xlfn.XLOOKUP(G40,$A$93:$A$107,$C$93:$C$107,0)))</f>
        <v/>
      </c>
      <c r="Y40" s="17">
        <f>COUNTIF($I40:$O40,"Not in war")</f>
        <v/>
      </c>
      <c r="AB40" s="61" t="n">
        <v>0</v>
      </c>
      <c r="AC40" s="58" t="n">
        <v>0</v>
      </c>
      <c r="AD40" s="8" t="n">
        <v>0</v>
      </c>
      <c r="AE40" s="8" t="n">
        <v>0</v>
      </c>
      <c r="AF40" s="7" t="n">
        <v>0</v>
      </c>
      <c r="AG40" s="7" t="n">
        <v>0</v>
      </c>
      <c r="AH40" s="7" t="n">
        <v>0</v>
      </c>
      <c r="AI40" s="6" t="n">
        <v>0</v>
      </c>
      <c r="AJ40" s="55" t="n">
        <v>0</v>
      </c>
      <c r="AK40" s="16" t="n">
        <v>0</v>
      </c>
      <c r="AL40" s="14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b">
        <v>0</v>
      </c>
      <c r="AS40" s="17" t="n">
        <v>0</v>
      </c>
    </row>
    <row r="41" ht="18" customFormat="1" customHeight="1" s="3">
      <c r="A41" s="30" t="n"/>
      <c r="B41" s="40" t="n"/>
      <c r="C41" s="40" t="n"/>
      <c r="D41" s="30" t="n"/>
      <c r="E41" s="34" t="n"/>
      <c r="F41" s="30" t="n"/>
      <c r="G41" s="9" t="n"/>
      <c r="H41" s="20" t="n"/>
      <c r="I41" s="8">
        <f>IFERROR(IF($E$3=15,IF(_xlfn.XLOOKUP(G41,A$3:A$17,B$3:B$17) = "Missed Hit",_xlfn.XLOOKUP(G41,A$3:A$17,B$3:B$17),_xlfn.XLOOKUP(G41,A$3:A$17,B$3:B$17) &amp; " Star " &amp; _xlfn.XLOOKUP(G41,A$3:A$17,C$3:C$17) &amp; "%"),_xlfn.XLOOKUP(G41,A$3:A$32,B$3:B$32)),"Not in war")</f>
        <v/>
      </c>
      <c r="J41" s="8">
        <f>IFERROR(IF($E$3=15,IF(_xlfn.XLOOKUP(G41,A$18:A$32,B$18:B$32) = "Missed Hit",_xlfn.XLOOKUP(G41,A$18:A$32,B$18:B$32),_xlfn.XLOOKUP(G41,A$18:A$32,B$18:B$32) &amp; " Star " &amp; _xlfn.XLOOKUP(G41,A$18:A$32,C$18:C$32) &amp; "%"),_xlfn.XLOOKUP(G41,A$33:A$62,B$33:B$62)),"Not in war")</f>
        <v/>
      </c>
      <c r="K41" s="8">
        <f>IFERROR(IF($E$3=15,IF(_xlfn.XLOOKUP(G41,A$33:A$47,B$33:B$47) = "Missed Hit",_xlfn.XLOOKUP(G41,A$33:A$47,B$33:B$47),_xlfn.XLOOKUP(G41,A$33:A$47,B$33:B$47) &amp; " Star " &amp; _xlfn.XLOOKUP(G41,A$33:A$47,C$33:C$47) &amp; "%"),_xlfn.XLOOKUP(G41,A$63:A$92,B$63:B$92)),"Not in war")</f>
        <v/>
      </c>
      <c r="L41" s="7">
        <f>IFERROR(IF($E$3=15,IF(_xlfn.XLOOKUP(G41,A$48:A$62,B$48:B$62) = "Missed Hit",_xlfn.XLOOKUP(G41,A$48:A$62,B$48:B$62),_xlfn.XLOOKUP(G41,A$48:A$62,B$48:B$62) &amp; " Star " &amp; _xlfn.XLOOKUP(G41,A$48:A$62,C$48:C$62) &amp; "%"),_xlfn.XLOOKUP(G41,A$93:A$122,B$93:B$122)),"Not in war")</f>
        <v/>
      </c>
      <c r="M41" s="7">
        <f>IFERROR(IF($E$3=15,IF(_xlfn.XLOOKUP(G41,A$63:A$77,B$63:B$77) = "Missed Hit",_xlfn.XLOOKUP(G41,A$63:A$77,B$63:B$77),_xlfn.XLOOKUP(G41,A$63:A$77,B$63:B$77) &amp; " Star " &amp; _xlfn.XLOOKUP(G41,A$63:A$77,C$63:C$77) &amp; "%"),_xlfn.XLOOKUP(G41,A$123:A$152,B$123:B$152)),"Not in war")</f>
        <v/>
      </c>
      <c r="N41" s="7">
        <f>IFERROR(IF($E$3=15,IF(_xlfn.XLOOKUP(G41,A$78:A$92,B$78:B$92) = "Missed Hit",_xlfn.XLOOKUP(G41,A$78:A$92,B$78:B$92),_xlfn.XLOOKUP(G41,A$78:A$92,B$78:B$92) &amp; " Star " &amp; _xlfn.XLOOKUP(G41,A$78:A$92,C$78:C$92) &amp; "%"),_xlfn.XLOOKUP(G41,A$153:A$182,B$153:B$182)),"Not in war")</f>
        <v/>
      </c>
      <c r="O41" s="6">
        <f>IFERROR(IF($E$3=15,IF(_xlfn.XLOOKUP(G41,A$93:A$107,B$93:B$107) = "Missed Hit",_xlfn.XLOOKUP(G41,A$93:A$107,B$93:B$107),_xlfn.XLOOKUP(G41,A$93:A$107,B$93:B$107) &amp; " Star " &amp; _xlfn.XLOOKUP(G41,A$93:A$107,C$93:C$107) &amp; "%"),_xlfn.XLOOKUP(G41,A$153:A$182,B$153:B$182)),"Not in war")</f>
        <v/>
      </c>
      <c r="Q41" s="16">
        <f>IFERROR($R41/(3*(7-$Y41)),0)</f>
        <v/>
      </c>
      <c r="R41" s="14">
        <f>3*S41+2*T41+U41</f>
        <v/>
      </c>
      <c r="S41" s="17">
        <f>COUNTIF($I41:$O41, 3 &amp; "*")</f>
        <v/>
      </c>
      <c r="T41" s="17">
        <f>COUNTIF($I41:$O41, 2 &amp; "*")</f>
        <v/>
      </c>
      <c r="U41" s="17">
        <f>COUNTIF($I41:$O41,1)</f>
        <v/>
      </c>
      <c r="V41" s="17">
        <f>COUNTIF($I41:$O41, 0 &amp; "*")</f>
        <v/>
      </c>
      <c r="W41" s="17">
        <f>COUNTIF($I41:$O41,"Missed hit")</f>
        <v/>
      </c>
      <c r="X41" s="17">
        <f>IF($E$3=15,SUM(_xlfn.XLOOKUP(G41,$A$3:$A$17,$C$3:$C$17,0),_xlfn.XLOOKUP(G41,$A$18:$A$32,$C$18:$C$32,0),_xlfn.XLOOKUP(G41,$A$33:$A$47,$C$33:$C$47,0), _xlfn.XLOOKUP(G41,$A$48:$A$62,$C$48:$C$62,0), _xlfn.XLOOKUP(G41,$A$63:$A$77,$C$63:$C$77,0), _xlfn.XLOOKUP(G41,$A$78:$A$92,$C$78:$C$92,0), _xlfn.XLOOKUP(G41,$A$93:$A$107,$C$93:$C$107,0)))</f>
        <v/>
      </c>
      <c r="Y41" s="17">
        <f>COUNTIF($I41:$O41,"Not in war")</f>
        <v/>
      </c>
      <c r="AB41" s="61" t="n">
        <v>0</v>
      </c>
      <c r="AC41" s="58" t="n">
        <v>0</v>
      </c>
      <c r="AD41" s="8" t="n">
        <v>0</v>
      </c>
      <c r="AE41" s="8" t="n">
        <v>0</v>
      </c>
      <c r="AF41" s="7" t="n">
        <v>0</v>
      </c>
      <c r="AG41" s="7" t="n">
        <v>0</v>
      </c>
      <c r="AH41" s="7" t="n">
        <v>0</v>
      </c>
      <c r="AI41" s="6" t="n">
        <v>0</v>
      </c>
      <c r="AJ41" s="55" t="n">
        <v>0</v>
      </c>
      <c r="AK41" s="16" t="n">
        <v>0</v>
      </c>
      <c r="AL41" s="14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b">
        <v>0</v>
      </c>
      <c r="AS41" s="17" t="n">
        <v>0</v>
      </c>
    </row>
    <row r="42" ht="18" customFormat="1" customHeight="1" s="3">
      <c r="A42" s="30" t="n"/>
      <c r="B42" s="40" t="n"/>
      <c r="C42" s="40" t="n"/>
      <c r="D42" s="30" t="n"/>
      <c r="E42" s="34" t="n"/>
      <c r="F42" s="30" t="n"/>
      <c r="G42" s="9" t="n"/>
      <c r="H42" s="20" t="n"/>
      <c r="I42" s="8">
        <f>IFERROR(IF($E$3=15,IF(_xlfn.XLOOKUP(G42,A$3:A$17,B$3:B$17) = "Missed Hit",_xlfn.XLOOKUP(G42,A$3:A$17,B$3:B$17),_xlfn.XLOOKUP(G42,A$3:A$17,B$3:B$17) &amp; " Star " &amp; _xlfn.XLOOKUP(G42,A$3:A$17,C$3:C$17) &amp; "%"),_xlfn.XLOOKUP(G42,A$3:A$32,B$3:B$32)),"Not in war")</f>
        <v/>
      </c>
      <c r="J42" s="8">
        <f>IFERROR(IF($E$3=15,IF(_xlfn.XLOOKUP(G42,A$18:A$32,B$18:B$32) = "Missed Hit",_xlfn.XLOOKUP(G42,A$18:A$32,B$18:B$32),_xlfn.XLOOKUP(G42,A$18:A$32,B$18:B$32) &amp; " Star " &amp; _xlfn.XLOOKUP(G42,A$18:A$32,C$18:C$32) &amp; "%"),_xlfn.XLOOKUP(G42,A$33:A$62,B$33:B$62)),"Not in war")</f>
        <v/>
      </c>
      <c r="K42" s="8">
        <f>IFERROR(IF($E$3=15,IF(_xlfn.XLOOKUP(G42,A$33:A$47,B$33:B$47) = "Missed Hit",_xlfn.XLOOKUP(G42,A$33:A$47,B$33:B$47),_xlfn.XLOOKUP(G42,A$33:A$47,B$33:B$47) &amp; " Star " &amp; _xlfn.XLOOKUP(G42,A$33:A$47,C$33:C$47) &amp; "%"),_xlfn.XLOOKUP(G42,A$63:A$92,B$63:B$92)),"Not in war")</f>
        <v/>
      </c>
      <c r="L42" s="7">
        <f>IFERROR(IF($E$3=15,IF(_xlfn.XLOOKUP(G42,A$48:A$62,B$48:B$62) = "Missed Hit",_xlfn.XLOOKUP(G42,A$48:A$62,B$48:B$62),_xlfn.XLOOKUP(G42,A$48:A$62,B$48:B$62) &amp; " Star " &amp; _xlfn.XLOOKUP(G42,A$48:A$62,C$48:C$62) &amp; "%"),_xlfn.XLOOKUP(G42,A$93:A$122,B$93:B$122)),"Not in war")</f>
        <v/>
      </c>
      <c r="M42" s="7">
        <f>IFERROR(IF($E$3=15,IF(_xlfn.XLOOKUP(G42,A$63:A$77,B$63:B$77) = "Missed Hit",_xlfn.XLOOKUP(G42,A$63:A$77,B$63:B$77),_xlfn.XLOOKUP(G42,A$63:A$77,B$63:B$77) &amp; " Star " &amp; _xlfn.XLOOKUP(G42,A$63:A$77,C$63:C$77) &amp; "%"),_xlfn.XLOOKUP(G42,A$123:A$152,B$123:B$152)),"Not in war")</f>
        <v/>
      </c>
      <c r="N42" s="7">
        <f>IFERROR(IF($E$3=15,IF(_xlfn.XLOOKUP(G42,A$78:A$92,B$78:B$92) = "Missed Hit",_xlfn.XLOOKUP(G42,A$78:A$92,B$78:B$92),_xlfn.XLOOKUP(G42,A$78:A$92,B$78:B$92) &amp; " Star " &amp; _xlfn.XLOOKUP(G42,A$78:A$92,C$78:C$92) &amp; "%"),_xlfn.XLOOKUP(G42,A$153:A$182,B$153:B$182)),"Not in war")</f>
        <v/>
      </c>
      <c r="O42" s="6">
        <f>IFERROR(IF($E$3=15,IF(_xlfn.XLOOKUP(G42,A$93:A$107,B$93:B$107) = "Missed Hit",_xlfn.XLOOKUP(G42,A$93:A$107,B$93:B$107),_xlfn.XLOOKUP(G42,A$93:A$107,B$93:B$107) &amp; " Star " &amp; _xlfn.XLOOKUP(G42,A$93:A$107,C$93:C$107) &amp; "%"),_xlfn.XLOOKUP(G42,A$153:A$182,B$153:B$182)),"Not in war")</f>
        <v/>
      </c>
      <c r="Q42" s="16">
        <f>IFERROR($R42/(3*(7-$Y42)),0)</f>
        <v/>
      </c>
      <c r="R42" s="14">
        <f>3*S42+2*T42+U42</f>
        <v/>
      </c>
      <c r="S42" s="17">
        <f>COUNTIF($I42:$O42, 3 &amp; "*")</f>
        <v/>
      </c>
      <c r="T42" s="17">
        <f>COUNTIF($I42:$O42, 2 &amp; "*")</f>
        <v/>
      </c>
      <c r="U42" s="17">
        <f>COUNTIF($I42:$O42,1)</f>
        <v/>
      </c>
      <c r="V42" s="17">
        <f>COUNTIF($I42:$O42, 0 &amp; "*")</f>
        <v/>
      </c>
      <c r="W42" s="17">
        <f>COUNTIF($I42:$O42,"Missed hit")</f>
        <v/>
      </c>
      <c r="X42" s="17">
        <f>IF($E$3=15,SUM(_xlfn.XLOOKUP(G42,$A$3:$A$17,$C$3:$C$17,0),_xlfn.XLOOKUP(G42,$A$18:$A$32,$C$18:$C$32,0),_xlfn.XLOOKUP(G42,$A$33:$A$47,$C$33:$C$47,0), _xlfn.XLOOKUP(G42,$A$48:$A$62,$C$48:$C$62,0), _xlfn.XLOOKUP(G42,$A$63:$A$77,$C$63:$C$77,0), _xlfn.XLOOKUP(G42,$A$78:$A$92,$C$78:$C$92,0), _xlfn.XLOOKUP(G42,$A$93:$A$107,$C$93:$C$107,0)))</f>
        <v/>
      </c>
      <c r="Y42" s="17">
        <f>COUNTIF($I42:$O42,"Not in war")</f>
        <v/>
      </c>
      <c r="AB42" s="61" t="n">
        <v>0</v>
      </c>
      <c r="AC42" s="58" t="n">
        <v>0</v>
      </c>
      <c r="AD42" s="8" t="n">
        <v>0</v>
      </c>
      <c r="AE42" s="8" t="n">
        <v>0</v>
      </c>
      <c r="AF42" s="7" t="n">
        <v>0</v>
      </c>
      <c r="AG42" s="7" t="n">
        <v>0</v>
      </c>
      <c r="AH42" s="7" t="n">
        <v>0</v>
      </c>
      <c r="AI42" s="6" t="n">
        <v>0</v>
      </c>
      <c r="AJ42" s="55" t="n">
        <v>0</v>
      </c>
      <c r="AK42" s="16" t="n">
        <v>0</v>
      </c>
      <c r="AL42" s="14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b">
        <v>0</v>
      </c>
      <c r="AS42" s="17" t="n">
        <v>0</v>
      </c>
    </row>
    <row r="43" ht="18" customFormat="1" customHeight="1" s="3">
      <c r="A43" s="30" t="n"/>
      <c r="B43" s="40" t="n"/>
      <c r="C43" s="40" t="n"/>
      <c r="D43" s="30" t="n"/>
      <c r="E43" s="34" t="n"/>
      <c r="F43" s="30" t="n"/>
      <c r="G43" s="9" t="n"/>
      <c r="H43" s="20" t="n"/>
      <c r="I43" s="8">
        <f>IFERROR(IF($E$3=15,IF(_xlfn.XLOOKUP(G43,A$3:A$17,B$3:B$17) = "Missed Hit",_xlfn.XLOOKUP(G43,A$3:A$17,B$3:B$17),_xlfn.XLOOKUP(G43,A$3:A$17,B$3:B$17) &amp; " Star " &amp; _xlfn.XLOOKUP(G43,A$3:A$17,C$3:C$17) &amp; "%"),_xlfn.XLOOKUP(G43,A$3:A$32,B$3:B$32)),"Not in war")</f>
        <v/>
      </c>
      <c r="J43" s="8">
        <f>IFERROR(IF($E$3=15,IF(_xlfn.XLOOKUP(G43,A$18:A$32,B$18:B$32) = "Missed Hit",_xlfn.XLOOKUP(G43,A$18:A$32,B$18:B$32),_xlfn.XLOOKUP(G43,A$18:A$32,B$18:B$32) &amp; " Star " &amp; _xlfn.XLOOKUP(G43,A$18:A$32,C$18:C$32) &amp; "%"),_xlfn.XLOOKUP(G43,A$33:A$62,B$33:B$62)),"Not in war")</f>
        <v/>
      </c>
      <c r="K43" s="8">
        <f>IFERROR(IF($E$3=15,IF(_xlfn.XLOOKUP(G43,A$33:A$47,B$33:B$47) = "Missed Hit",_xlfn.XLOOKUP(G43,A$33:A$47,B$33:B$47),_xlfn.XLOOKUP(G43,A$33:A$47,B$33:B$47) &amp; " Star " &amp; _xlfn.XLOOKUP(G43,A$33:A$47,C$33:C$47) &amp; "%"),_xlfn.XLOOKUP(G43,A$63:A$92,B$63:B$92)),"Not in war")</f>
        <v/>
      </c>
      <c r="L43" s="7">
        <f>IFERROR(IF($E$3=15,IF(_xlfn.XLOOKUP(G43,A$48:A$62,B$48:B$62) = "Missed Hit",_xlfn.XLOOKUP(G43,A$48:A$62,B$48:B$62),_xlfn.XLOOKUP(G43,A$48:A$62,B$48:B$62) &amp; " Star " &amp; _xlfn.XLOOKUP(G43,A$48:A$62,C$48:C$62) &amp; "%"),_xlfn.XLOOKUP(G43,A$93:A$122,B$93:B$122)),"Not in war")</f>
        <v/>
      </c>
      <c r="M43" s="7">
        <f>IFERROR(IF($E$3=15,IF(_xlfn.XLOOKUP(G43,A$63:A$77,B$63:B$77) = "Missed Hit",_xlfn.XLOOKUP(G43,A$63:A$77,B$63:B$77),_xlfn.XLOOKUP(G43,A$63:A$77,B$63:B$77) &amp; " Star " &amp; _xlfn.XLOOKUP(G43,A$63:A$77,C$63:C$77) &amp; "%"),_xlfn.XLOOKUP(G43,A$123:A$152,B$123:B$152)),"Not in war")</f>
        <v/>
      </c>
      <c r="N43" s="7">
        <f>IFERROR(IF($E$3=15,IF(_xlfn.XLOOKUP(G43,A$78:A$92,B$78:B$92) = "Missed Hit",_xlfn.XLOOKUP(G43,A$78:A$92,B$78:B$92),_xlfn.XLOOKUP(G43,A$78:A$92,B$78:B$92) &amp; " Star " &amp; _xlfn.XLOOKUP(G43,A$78:A$92,C$78:C$92) &amp; "%"),_xlfn.XLOOKUP(G43,A$153:A$182,B$153:B$182)),"Not in war")</f>
        <v/>
      </c>
      <c r="O43" s="6">
        <f>IFERROR(IF($E$3=15,IF(_xlfn.XLOOKUP(G43,A$93:A$107,B$93:B$107) = "Missed Hit",_xlfn.XLOOKUP(G43,A$93:A$107,B$93:B$107),_xlfn.XLOOKUP(G43,A$93:A$107,B$93:B$107) &amp; " Star " &amp; _xlfn.XLOOKUP(G43,A$93:A$107,C$93:C$107) &amp; "%"),_xlfn.XLOOKUP(G43,A$153:A$182,B$153:B$182)),"Not in war")</f>
        <v/>
      </c>
      <c r="Q43" s="16">
        <f>IFERROR($R43/(3*(7-$Y43)),0)</f>
        <v/>
      </c>
      <c r="R43" s="14">
        <f>3*S43+2*T43+U43</f>
        <v/>
      </c>
      <c r="S43" s="17">
        <f>COUNTIF($I43:$O43, 3 &amp; "*")</f>
        <v/>
      </c>
      <c r="T43" s="17">
        <f>COUNTIF($I43:$O43, 2 &amp; "*")</f>
        <v/>
      </c>
      <c r="U43" s="17">
        <f>COUNTIF($I43:$O43,1)</f>
        <v/>
      </c>
      <c r="V43" s="17">
        <f>COUNTIF($I43:$O43, 0 &amp; "*")</f>
        <v/>
      </c>
      <c r="W43" s="17">
        <f>COUNTIF($I43:$O43,"Missed hit")</f>
        <v/>
      </c>
      <c r="X43" s="17">
        <f>IF($E$3=15,SUM(_xlfn.XLOOKUP(G43,$A$3:$A$17,$C$3:$C$17,0),_xlfn.XLOOKUP(G43,$A$18:$A$32,$C$18:$C$32,0),_xlfn.XLOOKUP(G43,$A$33:$A$47,$C$33:$C$47,0), _xlfn.XLOOKUP(G43,$A$48:$A$62,$C$48:$C$62,0), _xlfn.XLOOKUP(G43,$A$63:$A$77,$C$63:$C$77,0), _xlfn.XLOOKUP(G43,$A$78:$A$92,$C$78:$C$92,0), _xlfn.XLOOKUP(G43,$A$93:$A$107,$C$93:$C$107,0)))</f>
        <v/>
      </c>
      <c r="Y43" s="17">
        <f>COUNTIF($I43:$O43,"Not in war")</f>
        <v/>
      </c>
      <c r="AB43" s="61" t="n">
        <v>0</v>
      </c>
      <c r="AC43" s="58" t="n">
        <v>0</v>
      </c>
      <c r="AD43" s="8" t="n">
        <v>0</v>
      </c>
      <c r="AE43" s="8" t="n">
        <v>0</v>
      </c>
      <c r="AF43" s="7" t="n">
        <v>0</v>
      </c>
      <c r="AG43" s="7" t="n">
        <v>0</v>
      </c>
      <c r="AH43" s="7" t="n">
        <v>0</v>
      </c>
      <c r="AI43" s="6" t="n">
        <v>0</v>
      </c>
      <c r="AJ43" s="55" t="n">
        <v>0</v>
      </c>
      <c r="AK43" s="16" t="n">
        <v>0</v>
      </c>
      <c r="AL43" s="14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b">
        <v>0</v>
      </c>
      <c r="AS43" s="17" t="n">
        <v>0</v>
      </c>
    </row>
    <row r="44" ht="18" customFormat="1" customHeight="1" s="3">
      <c r="A44" s="30" t="n"/>
      <c r="B44" s="40" t="n"/>
      <c r="C44" s="40" t="n"/>
      <c r="D44" s="30" t="n"/>
      <c r="E44" s="34" t="n"/>
      <c r="F44" s="30" t="n"/>
      <c r="G44" s="9" t="n"/>
      <c r="H44" s="20" t="n"/>
      <c r="I44" s="8">
        <f>IFERROR(IF($E$3=15,IF(_xlfn.XLOOKUP(G44,A$3:A$17,B$3:B$17) = "Missed Hit",_xlfn.XLOOKUP(G44,A$3:A$17,B$3:B$17),_xlfn.XLOOKUP(G44,A$3:A$17,B$3:B$17) &amp; " Star " &amp; _xlfn.XLOOKUP(G44,A$3:A$17,C$3:C$17) &amp; "%"),_xlfn.XLOOKUP(G44,A$3:A$32,B$3:B$32)),"Not in war")</f>
        <v/>
      </c>
      <c r="J44" s="8">
        <f>IFERROR(IF($E$3=15,IF(_xlfn.XLOOKUP(G44,A$18:A$32,B$18:B$32) = "Missed Hit",_xlfn.XLOOKUP(G44,A$18:A$32,B$18:B$32),_xlfn.XLOOKUP(G44,A$18:A$32,B$18:B$32) &amp; " Star " &amp; _xlfn.XLOOKUP(G44,A$18:A$32,C$18:C$32) &amp; "%"),_xlfn.XLOOKUP(G44,A$33:A$62,B$33:B$62)),"Not in war")</f>
        <v/>
      </c>
      <c r="K44" s="8">
        <f>IFERROR(IF($E$3=15,IF(_xlfn.XLOOKUP(G44,A$33:A$47,B$33:B$47) = "Missed Hit",_xlfn.XLOOKUP(G44,A$33:A$47,B$33:B$47),_xlfn.XLOOKUP(G44,A$33:A$47,B$33:B$47) &amp; " Star " &amp; _xlfn.XLOOKUP(G44,A$33:A$47,C$33:C$47) &amp; "%"),_xlfn.XLOOKUP(G44,A$63:A$92,B$63:B$92)),"Not in war")</f>
        <v/>
      </c>
      <c r="L44" s="7">
        <f>IFERROR(IF($E$3=15,IF(_xlfn.XLOOKUP(G44,A$48:A$62,B$48:B$62) = "Missed Hit",_xlfn.XLOOKUP(G44,A$48:A$62,B$48:B$62),_xlfn.XLOOKUP(G44,A$48:A$62,B$48:B$62) &amp; " Star " &amp; _xlfn.XLOOKUP(G44,A$48:A$62,C$48:C$62) &amp; "%"),_xlfn.XLOOKUP(G44,A$93:A$122,B$93:B$122)),"Not in war")</f>
        <v/>
      </c>
      <c r="M44" s="7">
        <f>IFERROR(IF($E$3=15,IF(_xlfn.XLOOKUP(G44,A$63:A$77,B$63:B$77) = "Missed Hit",_xlfn.XLOOKUP(G44,A$63:A$77,B$63:B$77),_xlfn.XLOOKUP(G44,A$63:A$77,B$63:B$77) &amp; " Star " &amp; _xlfn.XLOOKUP(G44,A$63:A$77,C$63:C$77) &amp; "%"),_xlfn.XLOOKUP(G44,A$123:A$152,B$123:B$152)),"Not in war")</f>
        <v/>
      </c>
      <c r="N44" s="7">
        <f>IFERROR(IF($E$3=15,IF(_xlfn.XLOOKUP(G44,A$78:A$92,B$78:B$92) = "Missed Hit",_xlfn.XLOOKUP(G44,A$78:A$92,B$78:B$92),_xlfn.XLOOKUP(G44,A$78:A$92,B$78:B$92) &amp; " Star " &amp; _xlfn.XLOOKUP(G44,A$78:A$92,C$78:C$92) &amp; "%"),_xlfn.XLOOKUP(G44,A$153:A$182,B$153:B$182)),"Not in war")</f>
        <v/>
      </c>
      <c r="O44" s="6">
        <f>IFERROR(IF($E$3=15,IF(_xlfn.XLOOKUP(G44,A$93:A$107,B$93:B$107) = "Missed Hit",_xlfn.XLOOKUP(G44,A$93:A$107,B$93:B$107),_xlfn.XLOOKUP(G44,A$93:A$107,B$93:B$107) &amp; " Star " &amp; _xlfn.XLOOKUP(G44,A$93:A$107,C$93:C$107) &amp; "%"),_xlfn.XLOOKUP(G44,A$153:A$182,B$153:B$182)),"Not in war")</f>
        <v/>
      </c>
      <c r="Q44" s="16">
        <f>IFERROR($R44/(3*(7-$Y44)),0)</f>
        <v/>
      </c>
      <c r="R44" s="14">
        <f>3*S44+2*T44+U44</f>
        <v/>
      </c>
      <c r="S44" s="17">
        <f>COUNTIF($I44:$O44, 3 &amp; "*")</f>
        <v/>
      </c>
      <c r="T44" s="17">
        <f>COUNTIF($I44:$O44, 2 &amp; "*")</f>
        <v/>
      </c>
      <c r="U44" s="17">
        <f>COUNTIF($I44:$O44,1)</f>
        <v/>
      </c>
      <c r="V44" s="17">
        <f>COUNTIF($I44:$O44, 0 &amp; "*")</f>
        <v/>
      </c>
      <c r="W44" s="17">
        <f>COUNTIF($I44:$O44,"Missed hit")</f>
        <v/>
      </c>
      <c r="X44" s="17">
        <f>IF($E$3=15,SUM(_xlfn.XLOOKUP(G44,$A$3:$A$17,$C$3:$C$17,0),_xlfn.XLOOKUP(G44,$A$18:$A$32,$C$18:$C$32,0),_xlfn.XLOOKUP(G44,$A$33:$A$47,$C$33:$C$47,0), _xlfn.XLOOKUP(G44,$A$48:$A$62,$C$48:$C$62,0), _xlfn.XLOOKUP(G44,$A$63:$A$77,$C$63:$C$77,0), _xlfn.XLOOKUP(G44,$A$78:$A$92,$C$78:$C$92,0), _xlfn.XLOOKUP(G44,$A$93:$A$107,$C$93:$C$107,0)))</f>
        <v/>
      </c>
      <c r="Y44" s="17">
        <f>COUNTIF($I44:$O44,"Not in war")</f>
        <v/>
      </c>
      <c r="AB44" s="61" t="n">
        <v>0</v>
      </c>
      <c r="AC44" s="58" t="n">
        <v>0</v>
      </c>
      <c r="AD44" s="8" t="n">
        <v>0</v>
      </c>
      <c r="AE44" s="8" t="n">
        <v>0</v>
      </c>
      <c r="AF44" s="7" t="n">
        <v>0</v>
      </c>
      <c r="AG44" s="7" t="n">
        <v>0</v>
      </c>
      <c r="AH44" s="7" t="n">
        <v>0</v>
      </c>
      <c r="AI44" s="6" t="n">
        <v>0</v>
      </c>
      <c r="AJ44" s="55" t="n">
        <v>0</v>
      </c>
      <c r="AK44" s="16" t="n">
        <v>0</v>
      </c>
      <c r="AL44" s="14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b">
        <v>0</v>
      </c>
      <c r="AS44" s="17" t="n">
        <v>0</v>
      </c>
    </row>
    <row r="45" ht="18" customFormat="1" customHeight="1" s="3">
      <c r="A45" s="30" t="n"/>
      <c r="B45" s="40" t="n"/>
      <c r="C45" s="40" t="n"/>
      <c r="D45" s="30" t="n"/>
      <c r="E45" s="34" t="n"/>
      <c r="F45" s="30" t="n"/>
      <c r="G45" s="9" t="n"/>
      <c r="H45" s="20" t="n"/>
      <c r="I45" s="8">
        <f>IFERROR(IF($E$3=15,IF(_xlfn.XLOOKUP(G45,A$3:A$17,B$3:B$17) = "Missed Hit",_xlfn.XLOOKUP(G45,A$3:A$17,B$3:B$17),_xlfn.XLOOKUP(G45,A$3:A$17,B$3:B$17) &amp; " Star " &amp; _xlfn.XLOOKUP(G45,A$3:A$17,C$3:C$17) &amp; "%"),_xlfn.XLOOKUP(G45,A$3:A$32,B$3:B$32)),"Not in war")</f>
        <v/>
      </c>
      <c r="J45" s="8">
        <f>IFERROR(IF($E$3=15,IF(_xlfn.XLOOKUP(G45,A$18:A$32,B$18:B$32) = "Missed Hit",_xlfn.XLOOKUP(G45,A$18:A$32,B$18:B$32),_xlfn.XLOOKUP(G45,A$18:A$32,B$18:B$32) &amp; " Star " &amp; _xlfn.XLOOKUP(G45,A$18:A$32,C$18:C$32) &amp; "%"),_xlfn.XLOOKUP(G45,A$33:A$62,B$33:B$62)),"Not in war")</f>
        <v/>
      </c>
      <c r="K45" s="8">
        <f>IFERROR(IF($E$3=15,IF(_xlfn.XLOOKUP(G45,A$33:A$47,B$33:B$47) = "Missed Hit",_xlfn.XLOOKUP(G45,A$33:A$47,B$33:B$47),_xlfn.XLOOKUP(G45,A$33:A$47,B$33:B$47) &amp; " Star " &amp; _xlfn.XLOOKUP(G45,A$33:A$47,C$33:C$47) &amp; "%"),_xlfn.XLOOKUP(G45,A$63:A$92,B$63:B$92)),"Not in war")</f>
        <v/>
      </c>
      <c r="L45" s="7">
        <f>IFERROR(IF($E$3=15,IF(_xlfn.XLOOKUP(G45,A$48:A$62,B$48:B$62) = "Missed Hit",_xlfn.XLOOKUP(G45,A$48:A$62,B$48:B$62),_xlfn.XLOOKUP(G45,A$48:A$62,B$48:B$62) &amp; " Star " &amp; _xlfn.XLOOKUP(G45,A$48:A$62,C$48:C$62) &amp; "%"),_xlfn.XLOOKUP(G45,A$93:A$122,B$93:B$122)),"Not in war")</f>
        <v/>
      </c>
      <c r="M45" s="7">
        <f>IFERROR(IF($E$3=15,IF(_xlfn.XLOOKUP(G45,A$63:A$77,B$63:B$77) = "Missed Hit",_xlfn.XLOOKUP(G45,A$63:A$77,B$63:B$77),_xlfn.XLOOKUP(G45,A$63:A$77,B$63:B$77) &amp; " Star " &amp; _xlfn.XLOOKUP(G45,A$63:A$77,C$63:C$77) &amp; "%"),_xlfn.XLOOKUP(G45,A$123:A$152,B$123:B$152)),"Not in war")</f>
        <v/>
      </c>
      <c r="N45" s="7">
        <f>IFERROR(IF($E$3=15,IF(_xlfn.XLOOKUP(G45,A$78:A$92,B$78:B$92) = "Missed Hit",_xlfn.XLOOKUP(G45,A$78:A$92,B$78:B$92),_xlfn.XLOOKUP(G45,A$78:A$92,B$78:B$92) &amp; " Star " &amp; _xlfn.XLOOKUP(G45,A$78:A$92,C$78:C$92) &amp; "%"),_xlfn.XLOOKUP(G45,A$153:A$182,B$153:B$182)),"Not in war")</f>
        <v/>
      </c>
      <c r="O45" s="6">
        <f>IFERROR(IF($E$3=15,IF(_xlfn.XLOOKUP(G45,A$93:A$107,B$93:B$107) = "Missed Hit",_xlfn.XLOOKUP(G45,A$93:A$107,B$93:B$107),_xlfn.XLOOKUP(G45,A$93:A$107,B$93:B$107) &amp; " Star " &amp; _xlfn.XLOOKUP(G45,A$93:A$107,C$93:C$107) &amp; "%"),_xlfn.XLOOKUP(G45,A$153:A$182,B$153:B$182)),"Not in war")</f>
        <v/>
      </c>
      <c r="Q45" s="16">
        <f>IFERROR($R45/(3*(7-$Y45)),0)</f>
        <v/>
      </c>
      <c r="R45" s="14">
        <f>3*S45+2*T45+U45</f>
        <v/>
      </c>
      <c r="S45" s="17">
        <f>COUNTIF($I45:$O45, 3 &amp; "*")</f>
        <v/>
      </c>
      <c r="T45" s="17">
        <f>COUNTIF($I45:$O45, 2 &amp; "*")</f>
        <v/>
      </c>
      <c r="U45" s="17">
        <f>COUNTIF($I45:$O45,1)</f>
        <v/>
      </c>
      <c r="V45" s="17">
        <f>COUNTIF($I45:$O45, 0 &amp; "*")</f>
        <v/>
      </c>
      <c r="W45" s="17">
        <f>COUNTIF($I45:$O45,"Missed hit")</f>
        <v/>
      </c>
      <c r="X45" s="17">
        <f>IF($E$3=15,SUM(_xlfn.XLOOKUP(G45,$A$3:$A$17,$C$3:$C$17,0),_xlfn.XLOOKUP(G45,$A$18:$A$32,$C$18:$C$32,0),_xlfn.XLOOKUP(G45,$A$33:$A$47,$C$33:$C$47,0), _xlfn.XLOOKUP(G45,$A$48:$A$62,$C$48:$C$62,0), _xlfn.XLOOKUP(G45,$A$63:$A$77,$C$63:$C$77,0), _xlfn.XLOOKUP(G45,$A$78:$A$92,$C$78:$C$92,0), _xlfn.XLOOKUP(G45,$A$93:$A$107,$C$93:$C$107,0)))</f>
        <v/>
      </c>
      <c r="Y45" s="17">
        <f>COUNTIF($I45:$O45,"Not in war")</f>
        <v/>
      </c>
      <c r="AB45" s="61" t="n">
        <v>0</v>
      </c>
      <c r="AC45" s="58" t="n">
        <v>0</v>
      </c>
      <c r="AD45" s="8" t="n">
        <v>0</v>
      </c>
      <c r="AE45" s="8" t="n">
        <v>0</v>
      </c>
      <c r="AF45" s="7" t="n">
        <v>0</v>
      </c>
      <c r="AG45" s="7" t="n">
        <v>0</v>
      </c>
      <c r="AH45" s="7" t="n">
        <v>0</v>
      </c>
      <c r="AI45" s="6" t="n">
        <v>0</v>
      </c>
      <c r="AJ45" s="55" t="n">
        <v>0</v>
      </c>
      <c r="AK45" s="16" t="n">
        <v>0</v>
      </c>
      <c r="AL45" s="14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b">
        <v>0</v>
      </c>
      <c r="AS45" s="17" t="n">
        <v>0</v>
      </c>
    </row>
    <row r="46" ht="18" customFormat="1" customHeight="1" s="3">
      <c r="A46" s="30" t="n"/>
      <c r="B46" s="40" t="n"/>
      <c r="C46" s="40" t="n"/>
      <c r="D46" s="30" t="n"/>
      <c r="E46" s="34" t="n"/>
      <c r="F46" s="30" t="n"/>
      <c r="G46" s="9" t="n"/>
      <c r="H46" s="20" t="n"/>
      <c r="I46" s="8">
        <f>IFERROR(IF($E$3=15,IF(_xlfn.XLOOKUP(G46,A$3:A$17,B$3:B$17) = "Missed Hit",_xlfn.XLOOKUP(G46,A$3:A$17,B$3:B$17),_xlfn.XLOOKUP(G46,A$3:A$17,B$3:B$17) &amp; " Star " &amp; _xlfn.XLOOKUP(G46,A$3:A$17,C$3:C$17) &amp; "%"),_xlfn.XLOOKUP(G46,A$3:A$32,B$3:B$32)),"Not in war")</f>
        <v/>
      </c>
      <c r="J46" s="8">
        <f>IFERROR(IF($E$3=15,IF(_xlfn.XLOOKUP(G46,A$18:A$32,B$18:B$32) = "Missed Hit",_xlfn.XLOOKUP(G46,A$18:A$32,B$18:B$32),_xlfn.XLOOKUP(G46,A$18:A$32,B$18:B$32) &amp; " Star " &amp; _xlfn.XLOOKUP(G46,A$18:A$32,C$18:C$32) &amp; "%"),_xlfn.XLOOKUP(G46,A$33:A$62,B$33:B$62)),"Not in war")</f>
        <v/>
      </c>
      <c r="K46" s="8">
        <f>IFERROR(IF($E$3=15,IF(_xlfn.XLOOKUP(G46,A$33:A$47,B$33:B$47) = "Missed Hit",_xlfn.XLOOKUP(G46,A$33:A$47,B$33:B$47),_xlfn.XLOOKUP(G46,A$33:A$47,B$33:B$47) &amp; " Star " &amp; _xlfn.XLOOKUP(G46,A$33:A$47,C$33:C$47) &amp; "%"),_xlfn.XLOOKUP(G46,A$63:A$92,B$63:B$92)),"Not in war")</f>
        <v/>
      </c>
      <c r="L46" s="7">
        <f>IFERROR(IF($E$3=15,IF(_xlfn.XLOOKUP(G46,A$48:A$62,B$48:B$62) = "Missed Hit",_xlfn.XLOOKUP(G46,A$48:A$62,B$48:B$62),_xlfn.XLOOKUP(G46,A$48:A$62,B$48:B$62) &amp; " Star " &amp; _xlfn.XLOOKUP(G46,A$48:A$62,C$48:C$62) &amp; "%"),_xlfn.XLOOKUP(G46,A$93:A$122,B$93:B$122)),"Not in war")</f>
        <v/>
      </c>
      <c r="M46" s="7">
        <f>IFERROR(IF($E$3=15,IF(_xlfn.XLOOKUP(G46,A$63:A$77,B$63:B$77) = "Missed Hit",_xlfn.XLOOKUP(G46,A$63:A$77,B$63:B$77),_xlfn.XLOOKUP(G46,A$63:A$77,B$63:B$77) &amp; " Star " &amp; _xlfn.XLOOKUP(G46,A$63:A$77,C$63:C$77) &amp; "%"),_xlfn.XLOOKUP(G46,A$123:A$152,B$123:B$152)),"Not in war")</f>
        <v/>
      </c>
      <c r="N46" s="7">
        <f>IFERROR(IF($E$3=15,IF(_xlfn.XLOOKUP(G46,A$78:A$92,B$78:B$92) = "Missed Hit",_xlfn.XLOOKUP(G46,A$78:A$92,B$78:B$92),_xlfn.XLOOKUP(G46,A$78:A$92,B$78:B$92) &amp; " Star " &amp; _xlfn.XLOOKUP(G46,A$78:A$92,C$78:C$92) &amp; "%"),_xlfn.XLOOKUP(G46,A$153:A$182,B$153:B$182)),"Not in war")</f>
        <v/>
      </c>
      <c r="O46" s="6">
        <f>IFERROR(IF($E$3=15,IF(_xlfn.XLOOKUP(G46,A$93:A$107,B$93:B$107) = "Missed Hit",_xlfn.XLOOKUP(G46,A$93:A$107,B$93:B$107),_xlfn.XLOOKUP(G46,A$93:A$107,B$93:B$107) &amp; " Star " &amp; _xlfn.XLOOKUP(G46,A$93:A$107,C$93:C$107) &amp; "%"),_xlfn.XLOOKUP(G46,A$153:A$182,B$153:B$182)),"Not in war")</f>
        <v/>
      </c>
      <c r="Q46" s="16">
        <f>IFERROR($R46/(3*(7-$Y46)),0)</f>
        <v/>
      </c>
      <c r="R46" s="14">
        <f>3*S46+2*T46+U46</f>
        <v/>
      </c>
      <c r="S46" s="17">
        <f>COUNTIF($I46:$O46, 3 &amp; "*")</f>
        <v/>
      </c>
      <c r="T46" s="17">
        <f>COUNTIF($I46:$O46, 2 &amp; "*")</f>
        <v/>
      </c>
      <c r="U46" s="17">
        <f>COUNTIF($I46:$O46,1)</f>
        <v/>
      </c>
      <c r="V46" s="17">
        <f>COUNTIF($I46:$O46, 0 &amp; "*")</f>
        <v/>
      </c>
      <c r="W46" s="17">
        <f>COUNTIF($I46:$O46,"Missed hit")</f>
        <v/>
      </c>
      <c r="X46" s="17">
        <f>IF($E$3=15,SUM(_xlfn.XLOOKUP(G46,$A$3:$A$17,$C$3:$C$17,0),_xlfn.XLOOKUP(G46,$A$18:$A$32,$C$18:$C$32,0),_xlfn.XLOOKUP(G46,$A$33:$A$47,$C$33:$C$47,0), _xlfn.XLOOKUP(G46,$A$48:$A$62,$C$48:$C$62,0), _xlfn.XLOOKUP(G46,$A$63:$A$77,$C$63:$C$77,0), _xlfn.XLOOKUP(G46,$A$78:$A$92,$C$78:$C$92,0), _xlfn.XLOOKUP(G46,$A$93:$A$107,$C$93:$C$107,0)))</f>
        <v/>
      </c>
      <c r="Y46" s="17">
        <f>COUNTIF($I46:$O46,"Not in war")</f>
        <v/>
      </c>
      <c r="AB46" s="61" t="n">
        <v>0</v>
      </c>
      <c r="AC46" s="58" t="n">
        <v>0</v>
      </c>
      <c r="AD46" s="8" t="n">
        <v>0</v>
      </c>
      <c r="AE46" s="8" t="n">
        <v>0</v>
      </c>
      <c r="AF46" s="7" t="n">
        <v>0</v>
      </c>
      <c r="AG46" s="7" t="n">
        <v>0</v>
      </c>
      <c r="AH46" s="7" t="n">
        <v>0</v>
      </c>
      <c r="AI46" s="6" t="n">
        <v>0</v>
      </c>
      <c r="AJ46" s="55" t="n">
        <v>0</v>
      </c>
      <c r="AK46" s="16" t="n">
        <v>0</v>
      </c>
      <c r="AL46" s="14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b">
        <v>0</v>
      </c>
      <c r="AS46" s="17" t="n">
        <v>0</v>
      </c>
    </row>
    <row r="47" ht="18" customFormat="1" customHeight="1" s="3">
      <c r="A47" s="30" t="n"/>
      <c r="B47" s="40" t="n"/>
      <c r="C47" s="40" t="n"/>
      <c r="D47" s="30" t="n"/>
      <c r="E47" s="34" t="n"/>
      <c r="F47" s="30" t="n"/>
      <c r="G47" s="9" t="n"/>
      <c r="H47" s="20" t="n"/>
      <c r="I47" s="8">
        <f>IFERROR(IF($E$3=15,IF(_xlfn.XLOOKUP(G47,A$3:A$17,B$3:B$17) = "Missed Hit",_xlfn.XLOOKUP(G47,A$3:A$17,B$3:B$17),_xlfn.XLOOKUP(G47,A$3:A$17,B$3:B$17) &amp; " Star " &amp; _xlfn.XLOOKUP(G47,A$3:A$17,C$3:C$17) &amp; "%"),_xlfn.XLOOKUP(G47,A$3:A$32,B$3:B$32)),"Not in war")</f>
        <v/>
      </c>
      <c r="J47" s="8">
        <f>IFERROR(IF($E$3=15,IF(_xlfn.XLOOKUP(G47,A$18:A$32,B$18:B$32) = "Missed Hit",_xlfn.XLOOKUP(G47,A$18:A$32,B$18:B$32),_xlfn.XLOOKUP(G47,A$18:A$32,B$18:B$32) &amp; " Star " &amp; _xlfn.XLOOKUP(G47,A$18:A$32,C$18:C$32) &amp; "%"),_xlfn.XLOOKUP(G47,A$33:A$62,B$33:B$62)),"Not in war")</f>
        <v/>
      </c>
      <c r="K47" s="8">
        <f>IFERROR(IF($E$3=15,IF(_xlfn.XLOOKUP(G47,A$33:A$47,B$33:B$47) = "Missed Hit",_xlfn.XLOOKUP(G47,A$33:A$47,B$33:B$47),_xlfn.XLOOKUP(G47,A$33:A$47,B$33:B$47) &amp; " Star " &amp; _xlfn.XLOOKUP(G47,A$33:A$47,C$33:C$47) &amp; "%"),_xlfn.XLOOKUP(G47,A$63:A$92,B$63:B$92)),"Not in war")</f>
        <v/>
      </c>
      <c r="L47" s="7">
        <f>IFERROR(IF($E$3=15,IF(_xlfn.XLOOKUP(G47,A$48:A$62,B$48:B$62) = "Missed Hit",_xlfn.XLOOKUP(G47,A$48:A$62,B$48:B$62),_xlfn.XLOOKUP(G47,A$48:A$62,B$48:B$62) &amp; " Star " &amp; _xlfn.XLOOKUP(G47,A$48:A$62,C$48:C$62) &amp; "%"),_xlfn.XLOOKUP(G47,A$93:A$122,B$93:B$122)),"Not in war")</f>
        <v/>
      </c>
      <c r="M47" s="7">
        <f>IFERROR(IF($E$3=15,IF(_xlfn.XLOOKUP(G47,A$63:A$77,B$63:B$77) = "Missed Hit",_xlfn.XLOOKUP(G47,A$63:A$77,B$63:B$77),_xlfn.XLOOKUP(G47,A$63:A$77,B$63:B$77) &amp; " Star " &amp; _xlfn.XLOOKUP(G47,A$63:A$77,C$63:C$77) &amp; "%"),_xlfn.XLOOKUP(G47,A$123:A$152,B$123:B$152)),"Not in war")</f>
        <v/>
      </c>
      <c r="N47" s="7">
        <f>IFERROR(IF($E$3=15,IF(_xlfn.XLOOKUP(G47,A$78:A$92,B$78:B$92) = "Missed Hit",_xlfn.XLOOKUP(G47,A$78:A$92,B$78:B$92),_xlfn.XLOOKUP(G47,A$78:A$92,B$78:B$92) &amp; " Star " &amp; _xlfn.XLOOKUP(G47,A$78:A$92,C$78:C$92) &amp; "%"),_xlfn.XLOOKUP(G47,A$153:A$182,B$153:B$182)),"Not in war")</f>
        <v/>
      </c>
      <c r="O47" s="6">
        <f>IFERROR(IF($E$3=15,IF(_xlfn.XLOOKUP(G47,A$93:A$107,B$93:B$107) = "Missed Hit",_xlfn.XLOOKUP(G47,A$93:A$107,B$93:B$107),_xlfn.XLOOKUP(G47,A$93:A$107,B$93:B$107) &amp; " Star " &amp; _xlfn.XLOOKUP(G47,A$93:A$107,C$93:C$107) &amp; "%"),_xlfn.XLOOKUP(G47,A$153:A$182,B$153:B$182)),"Not in war")</f>
        <v/>
      </c>
      <c r="Q47" s="16">
        <f>IFERROR($R47/(3*(7-$Y47)),0)</f>
        <v/>
      </c>
      <c r="R47" s="14">
        <f>3*S47+2*T47+U47</f>
        <v/>
      </c>
      <c r="S47" s="17">
        <f>COUNTIF($I47:$O47, 3 &amp; "*")</f>
        <v/>
      </c>
      <c r="T47" s="17">
        <f>COUNTIF($I47:$O47, 2 &amp; "*")</f>
        <v/>
      </c>
      <c r="U47" s="17">
        <f>COUNTIF($I47:$O47,1)</f>
        <v/>
      </c>
      <c r="V47" s="17">
        <f>COUNTIF($I47:$O47, 0 &amp; "*")</f>
        <v/>
      </c>
      <c r="W47" s="17">
        <f>COUNTIF($I47:$O47,"Missed hit")</f>
        <v/>
      </c>
      <c r="X47" s="17">
        <f>IF($E$3=15,SUM(_xlfn.XLOOKUP(G47,$A$3:$A$17,$C$3:$C$17,0),_xlfn.XLOOKUP(G47,$A$18:$A$32,$C$18:$C$32,0),_xlfn.XLOOKUP(G47,$A$33:$A$47,$C$33:$C$47,0), _xlfn.XLOOKUP(G47,$A$48:$A$62,$C$48:$C$62,0), _xlfn.XLOOKUP(G47,$A$63:$A$77,$C$63:$C$77,0), _xlfn.XLOOKUP(G47,$A$78:$A$92,$C$78:$C$92,0), _xlfn.XLOOKUP(G47,$A$93:$A$107,$C$93:$C$107,0)))</f>
        <v/>
      </c>
      <c r="Y47" s="17">
        <f>COUNTIF($I47:$O47,"Not in war")</f>
        <v/>
      </c>
      <c r="AB47" s="61" t="n">
        <v>0</v>
      </c>
      <c r="AC47" s="58" t="n">
        <v>0</v>
      </c>
      <c r="AD47" s="8" t="n">
        <v>0</v>
      </c>
      <c r="AE47" s="8" t="n">
        <v>0</v>
      </c>
      <c r="AF47" s="7" t="n">
        <v>0</v>
      </c>
      <c r="AG47" s="7" t="n">
        <v>0</v>
      </c>
      <c r="AH47" s="7" t="n">
        <v>0</v>
      </c>
      <c r="AI47" s="6" t="n">
        <v>0</v>
      </c>
      <c r="AJ47" s="55" t="n">
        <v>0</v>
      </c>
      <c r="AK47" s="16" t="n">
        <v>0</v>
      </c>
      <c r="AL47" s="14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b">
        <v>0</v>
      </c>
      <c r="AS47" s="17" t="n">
        <v>0</v>
      </c>
    </row>
    <row r="48" ht="18" customFormat="1" customHeight="1" s="3">
      <c r="A48" s="30" t="n"/>
      <c r="B48" s="40" t="n"/>
      <c r="C48" s="40" t="n"/>
      <c r="D48" s="30" t="n"/>
      <c r="E48" s="34" t="n"/>
      <c r="F48" s="30" t="n"/>
      <c r="G48" s="9" t="n"/>
      <c r="H48" s="20" t="n"/>
      <c r="I48" s="8">
        <f>IFERROR(IF($E$3=15,IF(_xlfn.XLOOKUP(G48,A$3:A$17,B$3:B$17) = "Missed Hit",_xlfn.XLOOKUP(G48,A$3:A$17,B$3:B$17),_xlfn.XLOOKUP(G48,A$3:A$17,B$3:B$17) &amp; " Star " &amp; _xlfn.XLOOKUP(G48,A$3:A$17,C$3:C$17) &amp; "%"),_xlfn.XLOOKUP(G48,A$3:A$32,B$3:B$32)),"Not in war")</f>
        <v/>
      </c>
      <c r="J48" s="8">
        <f>IFERROR(IF($E$3=15,IF(_xlfn.XLOOKUP(G48,A$18:A$32,B$18:B$32) = "Missed Hit",_xlfn.XLOOKUP(G48,A$18:A$32,B$18:B$32),_xlfn.XLOOKUP(G48,A$18:A$32,B$18:B$32) &amp; " Star " &amp; _xlfn.XLOOKUP(G48,A$18:A$32,C$18:C$32) &amp; "%"),_xlfn.XLOOKUP(G48,A$33:A$62,B$33:B$62)),"Not in war")</f>
        <v/>
      </c>
      <c r="K48" s="8">
        <f>IFERROR(IF($E$3=15,IF(_xlfn.XLOOKUP(G48,A$33:A$47,B$33:B$47) = "Missed Hit",_xlfn.XLOOKUP(G48,A$33:A$47,B$33:B$47),_xlfn.XLOOKUP(G48,A$33:A$47,B$33:B$47) &amp; " Star " &amp; _xlfn.XLOOKUP(G48,A$33:A$47,C$33:C$47) &amp; "%"),_xlfn.XLOOKUP(G48,A$63:A$92,B$63:B$92)),"Not in war")</f>
        <v/>
      </c>
      <c r="L48" s="7">
        <f>IFERROR(IF($E$3=15,IF(_xlfn.XLOOKUP(G48,A$48:A$62,B$48:B$62) = "Missed Hit",_xlfn.XLOOKUP(G48,A$48:A$62,B$48:B$62),_xlfn.XLOOKUP(G48,A$48:A$62,B$48:B$62) &amp; " Star " &amp; _xlfn.XLOOKUP(G48,A$48:A$62,C$48:C$62) &amp; "%"),_xlfn.XLOOKUP(G48,A$93:A$122,B$93:B$122)),"Not in war")</f>
        <v/>
      </c>
      <c r="M48" s="7">
        <f>IFERROR(IF($E$3=15,IF(_xlfn.XLOOKUP(G48,A$63:A$77,B$63:B$77) = "Missed Hit",_xlfn.XLOOKUP(G48,A$63:A$77,B$63:B$77),_xlfn.XLOOKUP(G48,A$63:A$77,B$63:B$77) &amp; " Star " &amp; _xlfn.XLOOKUP(G48,A$63:A$77,C$63:C$77) &amp; "%"),_xlfn.XLOOKUP(G48,A$123:A$152,B$123:B$152)),"Not in war")</f>
        <v/>
      </c>
      <c r="N48" s="7">
        <f>IFERROR(IF($E$3=15,IF(_xlfn.XLOOKUP(G48,A$78:A$92,B$78:B$92) = "Missed Hit",_xlfn.XLOOKUP(G48,A$78:A$92,B$78:B$92),_xlfn.XLOOKUP(G48,A$78:A$92,B$78:B$92) &amp; " Star " &amp; _xlfn.XLOOKUP(G48,A$78:A$92,C$78:C$92) &amp; "%"),_xlfn.XLOOKUP(G48,A$153:A$182,B$153:B$182)),"Not in war")</f>
        <v/>
      </c>
      <c r="O48" s="6">
        <f>IFERROR(IF($E$3=15,IF(_xlfn.XLOOKUP(G48,A$93:A$107,B$93:B$107) = "Missed Hit",_xlfn.XLOOKUP(G48,A$93:A$107,B$93:B$107),_xlfn.XLOOKUP(G48,A$93:A$107,B$93:B$107) &amp; " Star " &amp; _xlfn.XLOOKUP(G48,A$93:A$107,C$93:C$107) &amp; "%"),_xlfn.XLOOKUP(G48,A$153:A$182,B$153:B$182)),"Not in war")</f>
        <v/>
      </c>
      <c r="Q48" s="16">
        <f>IFERROR($R48/(3*(7-$Y48)),0)</f>
        <v/>
      </c>
      <c r="R48" s="14">
        <f>3*S48+2*T48+U48</f>
        <v/>
      </c>
      <c r="S48" s="17">
        <f>COUNTIF($I48:$O48, 3 &amp; "*")</f>
        <v/>
      </c>
      <c r="T48" s="17">
        <f>COUNTIF($I48:$O48, 2 &amp; "*")</f>
        <v/>
      </c>
      <c r="U48" s="17">
        <f>COUNTIF($I48:$O48,1)</f>
        <v/>
      </c>
      <c r="V48" s="17">
        <f>COUNTIF($I48:$O48, 0 &amp; "*")</f>
        <v/>
      </c>
      <c r="W48" s="17">
        <f>COUNTIF($I48:$O48,"Missed hit")</f>
        <v/>
      </c>
      <c r="X48" s="17">
        <f>IF($E$3=15,SUM(_xlfn.XLOOKUP(G48,$A$3:$A$17,$C$3:$C$17,0),_xlfn.XLOOKUP(G48,$A$18:$A$32,$C$18:$C$32,0),_xlfn.XLOOKUP(G48,$A$33:$A$47,$C$33:$C$47,0), _xlfn.XLOOKUP(G48,$A$48:$A$62,$C$48:$C$62,0), _xlfn.XLOOKUP(G48,$A$63:$A$77,$C$63:$C$77,0), _xlfn.XLOOKUP(G48,$A$78:$A$92,$C$78:$C$92,0), _xlfn.XLOOKUP(G48,$A$93:$A$107,$C$93:$C$107,0)))</f>
        <v/>
      </c>
      <c r="Y48" s="17">
        <f>COUNTIF($I48:$O48,"Not in war")</f>
        <v/>
      </c>
      <c r="AB48" s="61" t="n">
        <v>0</v>
      </c>
      <c r="AC48" s="58" t="n">
        <v>0</v>
      </c>
      <c r="AD48" s="8" t="n">
        <v>0</v>
      </c>
      <c r="AE48" s="8" t="n">
        <v>0</v>
      </c>
      <c r="AF48" s="7" t="n">
        <v>0</v>
      </c>
      <c r="AG48" s="7" t="n">
        <v>0</v>
      </c>
      <c r="AH48" s="7" t="n">
        <v>0</v>
      </c>
      <c r="AI48" s="6" t="n">
        <v>0</v>
      </c>
      <c r="AJ48" s="55" t="n">
        <v>0</v>
      </c>
      <c r="AK48" s="16" t="n">
        <v>0</v>
      </c>
      <c r="AL48" s="14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b">
        <v>0</v>
      </c>
      <c r="AS48" s="17" t="n">
        <v>0</v>
      </c>
    </row>
    <row r="49" ht="18" customFormat="1" customHeight="1" s="3">
      <c r="A49" s="30" t="n"/>
      <c r="B49" s="40" t="n"/>
      <c r="C49" s="40" t="n"/>
      <c r="D49" s="30" t="n"/>
      <c r="E49" s="34" t="n"/>
      <c r="F49" s="30" t="n"/>
      <c r="G49" s="9" t="n"/>
      <c r="H49" s="20" t="n"/>
      <c r="I49" s="8">
        <f>IFERROR(IF($E$3=15,IF(_xlfn.XLOOKUP(G49,A$3:A$17,B$3:B$17) = "Missed Hit",_xlfn.XLOOKUP(G49,A$3:A$17,B$3:B$17),_xlfn.XLOOKUP(G49,A$3:A$17,B$3:B$17) &amp; " Star " &amp; _xlfn.XLOOKUP(G49,A$3:A$17,C$3:C$17) &amp; "%"),_xlfn.XLOOKUP(G49,A$3:A$32,B$3:B$32)),"Not in war")</f>
        <v/>
      </c>
      <c r="J49" s="8">
        <f>IFERROR(IF($E$3=15,IF(_xlfn.XLOOKUP(G49,A$18:A$32,B$18:B$32) = "Missed Hit",_xlfn.XLOOKUP(G49,A$18:A$32,B$18:B$32),_xlfn.XLOOKUP(G49,A$18:A$32,B$18:B$32) &amp; " Star " &amp; _xlfn.XLOOKUP(G49,A$18:A$32,C$18:C$32) &amp; "%"),_xlfn.XLOOKUP(G49,A$33:A$62,B$33:B$62)),"Not in war")</f>
        <v/>
      </c>
      <c r="K49" s="8">
        <f>IFERROR(IF($E$3=15,IF(_xlfn.XLOOKUP(G49,A$33:A$47,B$33:B$47) = "Missed Hit",_xlfn.XLOOKUP(G49,A$33:A$47,B$33:B$47),_xlfn.XLOOKUP(G49,A$33:A$47,B$33:B$47) &amp; " Star " &amp; _xlfn.XLOOKUP(G49,A$33:A$47,C$33:C$47) &amp; "%"),_xlfn.XLOOKUP(G49,A$63:A$92,B$63:B$92)),"Not in war")</f>
        <v/>
      </c>
      <c r="L49" s="7">
        <f>IFERROR(IF($E$3=15,IF(_xlfn.XLOOKUP(G49,A$48:A$62,B$48:B$62) = "Missed Hit",_xlfn.XLOOKUP(G49,A$48:A$62,B$48:B$62),_xlfn.XLOOKUP(G49,A$48:A$62,B$48:B$62) &amp; " Star " &amp; _xlfn.XLOOKUP(G49,A$48:A$62,C$48:C$62) &amp; "%"),_xlfn.XLOOKUP(G49,A$93:A$122,B$93:B$122)),"Not in war")</f>
        <v/>
      </c>
      <c r="M49" s="7">
        <f>IFERROR(IF($E$3=15,IF(_xlfn.XLOOKUP(G49,A$63:A$77,B$63:B$77) = "Missed Hit",_xlfn.XLOOKUP(G49,A$63:A$77,B$63:B$77),_xlfn.XLOOKUP(G49,A$63:A$77,B$63:B$77) &amp; " Star " &amp; _xlfn.XLOOKUP(G49,A$63:A$77,C$63:C$77) &amp; "%"),_xlfn.XLOOKUP(G49,A$123:A$152,B$123:B$152)),"Not in war")</f>
        <v/>
      </c>
      <c r="N49" s="7">
        <f>IFERROR(IF($E$3=15,IF(_xlfn.XLOOKUP(G49,A$78:A$92,B$78:B$92) = "Missed Hit",_xlfn.XLOOKUP(G49,A$78:A$92,B$78:B$92),_xlfn.XLOOKUP(G49,A$78:A$92,B$78:B$92) &amp; " Star " &amp; _xlfn.XLOOKUP(G49,A$78:A$92,C$78:C$92) &amp; "%"),_xlfn.XLOOKUP(G49,A$153:A$182,B$153:B$182)),"Not in war")</f>
        <v/>
      </c>
      <c r="O49" s="6">
        <f>IFERROR(IF($E$3=15,IF(_xlfn.XLOOKUP(G49,A$93:A$107,B$93:B$107) = "Missed Hit",_xlfn.XLOOKUP(G49,A$93:A$107,B$93:B$107),_xlfn.XLOOKUP(G49,A$93:A$107,B$93:B$107) &amp; " Star " &amp; _xlfn.XLOOKUP(G49,A$93:A$107,C$93:C$107) &amp; "%"),_xlfn.XLOOKUP(G49,A$153:A$182,B$153:B$182)),"Not in war")</f>
        <v/>
      </c>
      <c r="Q49" s="16">
        <f>IFERROR($R49/(3*(7-$Y49)),0)</f>
        <v/>
      </c>
      <c r="R49" s="14">
        <f>3*S49+2*T49+U49</f>
        <v/>
      </c>
      <c r="S49" s="17">
        <f>COUNTIF($I49:$O49, 3 &amp; "*")</f>
        <v/>
      </c>
      <c r="T49" s="17">
        <f>COUNTIF($I49:$O49, 2 &amp; "*")</f>
        <v/>
      </c>
      <c r="U49" s="17">
        <f>COUNTIF($I49:$O49,1)</f>
        <v/>
      </c>
      <c r="V49" s="17">
        <f>COUNTIF($I49:$O49, 0 &amp; "*")</f>
        <v/>
      </c>
      <c r="W49" s="17">
        <f>COUNTIF($I49:$O49,"Missed hit")</f>
        <v/>
      </c>
      <c r="X49" s="17">
        <f>IF($E$3=15,SUM(_xlfn.XLOOKUP(G49,$A$3:$A$17,$C$3:$C$17,0),_xlfn.XLOOKUP(G49,$A$18:$A$32,$C$18:$C$32,0),_xlfn.XLOOKUP(G49,$A$33:$A$47,$C$33:$C$47,0), _xlfn.XLOOKUP(G49,$A$48:$A$62,$C$48:$C$62,0), _xlfn.XLOOKUP(G49,$A$63:$A$77,$C$63:$C$77,0), _xlfn.XLOOKUP(G49,$A$78:$A$92,$C$78:$C$92,0), _xlfn.XLOOKUP(G49,$A$93:$A$107,$C$93:$C$107,0)))</f>
        <v/>
      </c>
      <c r="Y49" s="17">
        <f>COUNTIF($I49:$O49,"Not in war")</f>
        <v/>
      </c>
      <c r="AB49" s="61" t="n">
        <v>0</v>
      </c>
      <c r="AC49" s="58" t="n">
        <v>0</v>
      </c>
      <c r="AD49" s="8" t="n">
        <v>0</v>
      </c>
      <c r="AE49" s="8" t="n">
        <v>0</v>
      </c>
      <c r="AF49" s="7" t="n">
        <v>0</v>
      </c>
      <c r="AG49" s="7" t="n">
        <v>0</v>
      </c>
      <c r="AH49" s="7" t="n">
        <v>0</v>
      </c>
      <c r="AI49" s="6" t="n">
        <v>0</v>
      </c>
      <c r="AJ49" s="55" t="n">
        <v>0</v>
      </c>
      <c r="AK49" s="16" t="n">
        <v>0</v>
      </c>
      <c r="AL49" s="14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b">
        <v>0</v>
      </c>
      <c r="AS49" s="17" t="n">
        <v>0</v>
      </c>
    </row>
    <row r="50" ht="18" customFormat="1" customHeight="1" s="3">
      <c r="A50" s="30" t="n"/>
      <c r="B50" s="40" t="n"/>
      <c r="C50" s="40" t="n"/>
      <c r="D50" s="30" t="n"/>
      <c r="E50" s="34" t="n"/>
      <c r="F50" s="30" t="n"/>
      <c r="G50" s="9" t="n"/>
      <c r="H50" s="20" t="n"/>
      <c r="I50" s="8">
        <f>IFERROR(IF($E$3=15,IF(_xlfn.XLOOKUP(G50,A$3:A$17,B$3:B$17) = "Missed Hit",_xlfn.XLOOKUP(G50,A$3:A$17,B$3:B$17),_xlfn.XLOOKUP(G50,A$3:A$17,B$3:B$17) &amp; " Star " &amp; _xlfn.XLOOKUP(G50,A$3:A$17,C$3:C$17) &amp; "%"),_xlfn.XLOOKUP(G50,A$3:A$32,B$3:B$32)),"Not in war")</f>
        <v/>
      </c>
      <c r="J50" s="8">
        <f>IFERROR(IF($E$3=15,IF(_xlfn.XLOOKUP(G50,A$18:A$32,B$18:B$32) = "Missed Hit",_xlfn.XLOOKUP(G50,A$18:A$32,B$18:B$32),_xlfn.XLOOKUP(G50,A$18:A$32,B$18:B$32) &amp; " Star " &amp; _xlfn.XLOOKUP(G50,A$18:A$32,C$18:C$32) &amp; "%"),_xlfn.XLOOKUP(G50,A$33:A$62,B$33:B$62)),"Not in war")</f>
        <v/>
      </c>
      <c r="K50" s="8">
        <f>IFERROR(IF($E$3=15,IF(_xlfn.XLOOKUP(G50,A$33:A$47,B$33:B$47) = "Missed Hit",_xlfn.XLOOKUP(G50,A$33:A$47,B$33:B$47),_xlfn.XLOOKUP(G50,A$33:A$47,B$33:B$47) &amp; " Star " &amp; _xlfn.XLOOKUP(G50,A$33:A$47,C$33:C$47) &amp; "%"),_xlfn.XLOOKUP(G50,A$63:A$92,B$63:B$92)),"Not in war")</f>
        <v/>
      </c>
      <c r="L50" s="7">
        <f>IFERROR(IF($E$3=15,IF(_xlfn.XLOOKUP(G50,A$48:A$62,B$48:B$62) = "Missed Hit",_xlfn.XLOOKUP(G50,A$48:A$62,B$48:B$62),_xlfn.XLOOKUP(G50,A$48:A$62,B$48:B$62) &amp; " Star " &amp; _xlfn.XLOOKUP(G50,A$48:A$62,C$48:C$62) &amp; "%"),_xlfn.XLOOKUP(G50,A$93:A$122,B$93:B$122)),"Not in war")</f>
        <v/>
      </c>
      <c r="M50" s="7">
        <f>IFERROR(IF($E$3=15,IF(_xlfn.XLOOKUP(G50,A$63:A$77,B$63:B$77) = "Missed Hit",_xlfn.XLOOKUP(G50,A$63:A$77,B$63:B$77),_xlfn.XLOOKUP(G50,A$63:A$77,B$63:B$77) &amp; " Star " &amp; _xlfn.XLOOKUP(G50,A$63:A$77,C$63:C$77) &amp; "%"),_xlfn.XLOOKUP(G50,A$123:A$152,B$123:B$152)),"Not in war")</f>
        <v/>
      </c>
      <c r="N50" s="7">
        <f>IFERROR(IF($E$3=15,IF(_xlfn.XLOOKUP(G50,A$78:A$92,B$78:B$92) = "Missed Hit",_xlfn.XLOOKUP(G50,A$78:A$92,B$78:B$92),_xlfn.XLOOKUP(G50,A$78:A$92,B$78:B$92) &amp; " Star " &amp; _xlfn.XLOOKUP(G50,A$78:A$92,C$78:C$92) &amp; "%"),_xlfn.XLOOKUP(G50,A$153:A$182,B$153:B$182)),"Not in war")</f>
        <v/>
      </c>
      <c r="O50" s="6">
        <f>IFERROR(IF($E$3=15,IF(_xlfn.XLOOKUP(G50,A$93:A$107,B$93:B$107) = "Missed Hit",_xlfn.XLOOKUP(G50,A$93:A$107,B$93:B$107),_xlfn.XLOOKUP(G50,A$93:A$107,B$93:B$107) &amp; " Star " &amp; _xlfn.XLOOKUP(G50,A$93:A$107,C$93:C$107) &amp; "%"),_xlfn.XLOOKUP(G50,A$153:A$182,B$153:B$182)),"Not in war")</f>
        <v/>
      </c>
      <c r="Q50" s="16">
        <f>IFERROR($R50/(3*(7-$Y50)),0)</f>
        <v/>
      </c>
      <c r="R50" s="14">
        <f>3*S50+2*T50+U50</f>
        <v/>
      </c>
      <c r="S50" s="17">
        <f>COUNTIF($I50:$O50, 3 &amp; "*")</f>
        <v/>
      </c>
      <c r="T50" s="17">
        <f>COUNTIF($I50:$O50, 2 &amp; "*")</f>
        <v/>
      </c>
      <c r="U50" s="17">
        <f>COUNTIF($I50:$O50,1)</f>
        <v/>
      </c>
      <c r="V50" s="17">
        <f>COUNTIF($I50:$O50, 0 &amp; "*")</f>
        <v/>
      </c>
      <c r="W50" s="17">
        <f>COUNTIF($I50:$O50,"Missed hit")</f>
        <v/>
      </c>
      <c r="X50" s="17">
        <f>IF($E$3=15,SUM(_xlfn.XLOOKUP(G50,$A$3:$A$17,$C$3:$C$17,0),_xlfn.XLOOKUP(G50,$A$18:$A$32,$C$18:$C$32,0),_xlfn.XLOOKUP(G50,$A$33:$A$47,$C$33:$C$47,0), _xlfn.XLOOKUP(G50,$A$48:$A$62,$C$48:$C$62,0), _xlfn.XLOOKUP(G50,$A$63:$A$77,$C$63:$C$77,0), _xlfn.XLOOKUP(G50,$A$78:$A$92,$C$78:$C$92,0), _xlfn.XLOOKUP(G50,$A$93:$A$107,$C$93:$C$107,0)))</f>
        <v/>
      </c>
      <c r="Y50" s="17">
        <f>COUNTIF($I50:$O50,"Not in war")</f>
        <v/>
      </c>
      <c r="AB50" s="61" t="n">
        <v>0</v>
      </c>
      <c r="AC50" s="58" t="n">
        <v>0</v>
      </c>
      <c r="AD50" s="8" t="n">
        <v>0</v>
      </c>
      <c r="AE50" s="8" t="n">
        <v>0</v>
      </c>
      <c r="AF50" s="7" t="n">
        <v>0</v>
      </c>
      <c r="AG50" s="7" t="n">
        <v>0</v>
      </c>
      <c r="AH50" s="7" t="n">
        <v>0</v>
      </c>
      <c r="AI50" s="6" t="n">
        <v>0</v>
      </c>
      <c r="AJ50" s="55" t="n">
        <v>0</v>
      </c>
      <c r="AK50" s="16" t="n">
        <v>0</v>
      </c>
      <c r="AL50" s="14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b">
        <v>0</v>
      </c>
      <c r="AS50" s="17" t="n">
        <v>0</v>
      </c>
    </row>
    <row r="51" ht="18" customFormat="1" customHeight="1" s="3">
      <c r="A51" s="30" t="n"/>
      <c r="B51" s="40" t="n"/>
      <c r="C51" s="40" t="n"/>
      <c r="D51" s="30" t="n"/>
      <c r="E51" s="34" t="n"/>
      <c r="F51" s="30" t="n"/>
      <c r="G51" s="9" t="n"/>
      <c r="H51" s="20" t="n"/>
      <c r="I51" s="8">
        <f>IFERROR(IF($E$3=15,IF(_xlfn.XLOOKUP(G51,A$3:A$17,B$3:B$17) = "Missed Hit",_xlfn.XLOOKUP(G51,A$3:A$17,B$3:B$17),_xlfn.XLOOKUP(G51,A$3:A$17,B$3:B$17) &amp; " Star " &amp; _xlfn.XLOOKUP(G51,A$3:A$17,C$3:C$17) &amp; "%"),_xlfn.XLOOKUP(G51,A$3:A$32,B$3:B$32)),"Not in war")</f>
        <v/>
      </c>
      <c r="J51" s="8">
        <f>IFERROR(IF($E$3=15,IF(_xlfn.XLOOKUP(G51,A$18:A$32,B$18:B$32) = "Missed Hit",_xlfn.XLOOKUP(G51,A$18:A$32,B$18:B$32),_xlfn.XLOOKUP(G51,A$18:A$32,B$18:B$32) &amp; " Star " &amp; _xlfn.XLOOKUP(G51,A$18:A$32,C$18:C$32) &amp; "%"),_xlfn.XLOOKUP(G51,A$33:A$62,B$33:B$62)),"Not in war")</f>
        <v/>
      </c>
      <c r="K51" s="8">
        <f>IFERROR(IF($E$3=15,IF(_xlfn.XLOOKUP(G51,A$33:A$47,B$33:B$47) = "Missed Hit",_xlfn.XLOOKUP(G51,A$33:A$47,B$33:B$47),_xlfn.XLOOKUP(G51,A$33:A$47,B$33:B$47) &amp; " Star " &amp; _xlfn.XLOOKUP(G51,A$33:A$47,C$33:C$47) &amp; "%"),_xlfn.XLOOKUP(G51,A$63:A$92,B$63:B$92)),"Not in war")</f>
        <v/>
      </c>
      <c r="L51" s="7">
        <f>IFERROR(IF($E$3=15,IF(_xlfn.XLOOKUP(G51,A$48:A$62,B$48:B$62) = "Missed Hit",_xlfn.XLOOKUP(G51,A$48:A$62,B$48:B$62),_xlfn.XLOOKUP(G51,A$48:A$62,B$48:B$62) &amp; " Star " &amp; _xlfn.XLOOKUP(G51,A$48:A$62,C$48:C$62) &amp; "%"),_xlfn.XLOOKUP(G51,A$93:A$122,B$93:B$122)),"Not in war")</f>
        <v/>
      </c>
      <c r="M51" s="7">
        <f>IFERROR(IF($E$3=15,IF(_xlfn.XLOOKUP(G51,A$63:A$77,B$63:B$77) = "Missed Hit",_xlfn.XLOOKUP(G51,A$63:A$77,B$63:B$77),_xlfn.XLOOKUP(G51,A$63:A$77,B$63:B$77) &amp; " Star " &amp; _xlfn.XLOOKUP(G51,A$63:A$77,C$63:C$77) &amp; "%"),_xlfn.XLOOKUP(G51,A$123:A$152,B$123:B$152)),"Not in war")</f>
        <v/>
      </c>
      <c r="N51" s="7">
        <f>IFERROR(IF($E$3=15,IF(_xlfn.XLOOKUP(G51,A$78:A$92,B$78:B$92) = "Missed Hit",_xlfn.XLOOKUP(G51,A$78:A$92,B$78:B$92),_xlfn.XLOOKUP(G51,A$78:A$92,B$78:B$92) &amp; " Star " &amp; _xlfn.XLOOKUP(G51,A$78:A$92,C$78:C$92) &amp; "%"),_xlfn.XLOOKUP(G51,A$153:A$182,B$153:B$182)),"Not in war")</f>
        <v/>
      </c>
      <c r="O51" s="6">
        <f>IFERROR(IF($E$3=15,IF(_xlfn.XLOOKUP(G51,A$93:A$107,B$93:B$107) = "Missed Hit",_xlfn.XLOOKUP(G51,A$93:A$107,B$93:B$107),_xlfn.XLOOKUP(G51,A$93:A$107,B$93:B$107) &amp; " Star " &amp; _xlfn.XLOOKUP(G51,A$93:A$107,C$93:C$107) &amp; "%"),_xlfn.XLOOKUP(G51,A$153:A$182,B$153:B$182)),"Not in war")</f>
        <v/>
      </c>
      <c r="Q51" s="16">
        <f>IFERROR($R51/(3*(7-$Y51)),0)</f>
        <v/>
      </c>
      <c r="R51" s="14">
        <f>3*S51+2*T51+U51</f>
        <v/>
      </c>
      <c r="S51" s="17">
        <f>COUNTIF($I51:$O51, 3 &amp; "*")</f>
        <v/>
      </c>
      <c r="T51" s="17">
        <f>COUNTIF($I51:$O51, 2 &amp; "*")</f>
        <v/>
      </c>
      <c r="U51" s="17">
        <f>COUNTIF($I51:$O51,1)</f>
        <v/>
      </c>
      <c r="V51" s="17">
        <f>COUNTIF($I51:$O51, 0 &amp; "*")</f>
        <v/>
      </c>
      <c r="W51" s="17">
        <f>COUNTIF($I51:$O51,"Missed hit")</f>
        <v/>
      </c>
      <c r="X51" s="17">
        <f>IF($E$3=15,SUM(_xlfn.XLOOKUP(G51,$A$3:$A$17,$C$3:$C$17,0),_xlfn.XLOOKUP(G51,$A$18:$A$32,$C$18:$C$32,0),_xlfn.XLOOKUP(G51,$A$33:$A$47,$C$33:$C$47,0), _xlfn.XLOOKUP(G51,$A$48:$A$62,$C$48:$C$62,0), _xlfn.XLOOKUP(G51,$A$63:$A$77,$C$63:$C$77,0), _xlfn.XLOOKUP(G51,$A$78:$A$92,$C$78:$C$92,0), _xlfn.XLOOKUP(G51,$A$93:$A$107,$C$93:$C$107,0)))</f>
        <v/>
      </c>
      <c r="Y51" s="17">
        <f>COUNTIF($I51:$O51,"Not in war")</f>
        <v/>
      </c>
      <c r="AB51" s="61" t="n">
        <v>0</v>
      </c>
      <c r="AC51" s="58" t="n">
        <v>0</v>
      </c>
      <c r="AD51" s="8" t="n">
        <v>0</v>
      </c>
      <c r="AE51" s="8" t="n">
        <v>0</v>
      </c>
      <c r="AF51" s="7" t="n">
        <v>0</v>
      </c>
      <c r="AG51" s="7" t="n">
        <v>0</v>
      </c>
      <c r="AH51" s="7" t="n">
        <v>0</v>
      </c>
      <c r="AI51" s="6" t="n">
        <v>0</v>
      </c>
      <c r="AJ51" s="55" t="n">
        <v>0</v>
      </c>
      <c r="AK51" s="16" t="n">
        <v>0</v>
      </c>
      <c r="AL51" s="14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b">
        <v>0</v>
      </c>
      <c r="AS51" s="17" t="n">
        <v>0</v>
      </c>
    </row>
    <row r="52" ht="18" customFormat="1" customHeight="1" s="3">
      <c r="A52" s="30" t="n"/>
      <c r="B52" s="40" t="n"/>
      <c r="C52" s="40" t="n"/>
      <c r="D52" s="30" t="n"/>
      <c r="E52" s="34" t="n"/>
      <c r="F52" s="30" t="n"/>
      <c r="G52" s="9" t="n"/>
      <c r="H52" s="20" t="n"/>
      <c r="I52" s="8">
        <f>IFERROR(IF($E$3=15,IF(_xlfn.XLOOKUP(G52,A$3:A$17,B$3:B$17) = "Missed Hit",_xlfn.XLOOKUP(G52,A$3:A$17,B$3:B$17),_xlfn.XLOOKUP(G52,A$3:A$17,B$3:B$17) &amp; " Star " &amp; _xlfn.XLOOKUP(G52,A$3:A$17,C$3:C$17) &amp; "%"),_xlfn.XLOOKUP(G52,A$3:A$32,B$3:B$32)),"Not in war")</f>
        <v/>
      </c>
      <c r="J52" s="8">
        <f>IFERROR(IF($E$3=15,IF(_xlfn.XLOOKUP(G52,A$18:A$32,B$18:B$32) = "Missed Hit",_xlfn.XLOOKUP(G52,A$18:A$32,B$18:B$32),_xlfn.XLOOKUP(G52,A$18:A$32,B$18:B$32) &amp; " Star " &amp; _xlfn.XLOOKUP(G52,A$18:A$32,C$18:C$32) &amp; "%"),_xlfn.XLOOKUP(G52,A$33:A$62,B$33:B$62)),"Not in war")</f>
        <v/>
      </c>
      <c r="K52" s="8">
        <f>IFERROR(IF($E$3=15,IF(_xlfn.XLOOKUP(G52,A$33:A$47,B$33:B$47) = "Missed Hit",_xlfn.XLOOKUP(G52,A$33:A$47,B$33:B$47),_xlfn.XLOOKUP(G52,A$33:A$47,B$33:B$47) &amp; " Star " &amp; _xlfn.XLOOKUP(G52,A$33:A$47,C$33:C$47) &amp; "%"),_xlfn.XLOOKUP(G52,A$63:A$92,B$63:B$92)),"Not in war")</f>
        <v/>
      </c>
      <c r="L52" s="7">
        <f>IFERROR(IF($E$3=15,IF(_xlfn.XLOOKUP(G52,A$48:A$62,B$48:B$62) = "Missed Hit",_xlfn.XLOOKUP(G52,A$48:A$62,B$48:B$62),_xlfn.XLOOKUP(G52,A$48:A$62,B$48:B$62) &amp; " Star " &amp; _xlfn.XLOOKUP(G52,A$48:A$62,C$48:C$62) &amp; "%"),_xlfn.XLOOKUP(G52,A$93:A$122,B$93:B$122)),"Not in war")</f>
        <v/>
      </c>
      <c r="M52" s="7">
        <f>IFERROR(IF($E$3=15,IF(_xlfn.XLOOKUP(G52,A$63:A$77,B$63:B$77) = "Missed Hit",_xlfn.XLOOKUP(G52,A$63:A$77,B$63:B$77),_xlfn.XLOOKUP(G52,A$63:A$77,B$63:B$77) &amp; " Star " &amp; _xlfn.XLOOKUP(G52,A$63:A$77,C$63:C$77) &amp; "%"),_xlfn.XLOOKUP(G52,A$123:A$152,B$123:B$152)),"Not in war")</f>
        <v/>
      </c>
      <c r="N52" s="7">
        <f>IFERROR(IF($E$3=15,IF(_xlfn.XLOOKUP(G52,A$78:A$92,B$78:B$92) = "Missed Hit",_xlfn.XLOOKUP(G52,A$78:A$92,B$78:B$92),_xlfn.XLOOKUP(G52,A$78:A$92,B$78:B$92) &amp; " Star " &amp; _xlfn.XLOOKUP(G52,A$78:A$92,C$78:C$92) &amp; "%"),_xlfn.XLOOKUP(G52,A$153:A$182,B$153:B$182)),"Not in war")</f>
        <v/>
      </c>
      <c r="O52" s="6">
        <f>IFERROR(IF($E$3=15,IF(_xlfn.XLOOKUP(G52,A$93:A$107,B$93:B$107) = "Missed Hit",_xlfn.XLOOKUP(G52,A$93:A$107,B$93:B$107),_xlfn.XLOOKUP(G52,A$93:A$107,B$93:B$107) &amp; " Star " &amp; _xlfn.XLOOKUP(G52,A$93:A$107,C$93:C$107) &amp; "%"),_xlfn.XLOOKUP(G52,A$153:A$182,B$153:B$182)),"Not in war")</f>
        <v/>
      </c>
      <c r="Q52" s="16">
        <f>IFERROR($R52/(3*(7-$Y52)),0)</f>
        <v/>
      </c>
      <c r="R52" s="14">
        <f>3*S52+2*T52+U52</f>
        <v/>
      </c>
      <c r="S52" s="17">
        <f>COUNTIF($I52:$O52, 3 &amp; "*")</f>
        <v/>
      </c>
      <c r="T52" s="17">
        <f>COUNTIF($I52:$O52, 2 &amp; "*")</f>
        <v/>
      </c>
      <c r="U52" s="17">
        <f>COUNTIF($I52:$O52,1)</f>
        <v/>
      </c>
      <c r="V52" s="17">
        <f>COUNTIF($I52:$O52, 0 &amp; "*")</f>
        <v/>
      </c>
      <c r="W52" s="17">
        <f>COUNTIF($I52:$O52,"Missed hit")</f>
        <v/>
      </c>
      <c r="X52" s="17">
        <f>IF($E$3=15,SUM(_xlfn.XLOOKUP(G52,$A$3:$A$17,$C$3:$C$17,0),_xlfn.XLOOKUP(G52,$A$18:$A$32,$C$18:$C$32,0),_xlfn.XLOOKUP(G52,$A$33:$A$47,$C$33:$C$47,0), _xlfn.XLOOKUP(G52,$A$48:$A$62,$C$48:$C$62,0), _xlfn.XLOOKUP(G52,$A$63:$A$77,$C$63:$C$77,0), _xlfn.XLOOKUP(G52,$A$78:$A$92,$C$78:$C$92,0), _xlfn.XLOOKUP(G52,$A$93:$A$107,$C$93:$C$107,0)))</f>
        <v/>
      </c>
      <c r="Y52" s="17">
        <f>COUNTIF($I52:$O52,"Not in war")</f>
        <v/>
      </c>
      <c r="AB52" s="61" t="n">
        <v>0</v>
      </c>
      <c r="AC52" s="58" t="n">
        <v>0</v>
      </c>
      <c r="AD52" s="8" t="n">
        <v>0</v>
      </c>
      <c r="AE52" s="8" t="n">
        <v>0</v>
      </c>
      <c r="AF52" s="7" t="n">
        <v>0</v>
      </c>
      <c r="AG52" s="7" t="n">
        <v>0</v>
      </c>
      <c r="AH52" s="7" t="n">
        <v>0</v>
      </c>
      <c r="AI52" s="6" t="n">
        <v>0</v>
      </c>
      <c r="AJ52" s="55" t="n">
        <v>0</v>
      </c>
      <c r="AK52" s="16" t="n">
        <v>0</v>
      </c>
      <c r="AL52" s="14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b">
        <v>0</v>
      </c>
      <c r="AS52" s="17" t="n">
        <v>0</v>
      </c>
    </row>
    <row r="53" ht="18" customFormat="1" customHeight="1" s="3">
      <c r="A53" s="30" t="n"/>
      <c r="B53" s="40" t="n"/>
      <c r="C53" s="40" t="n"/>
      <c r="D53" s="30" t="n"/>
      <c r="E53" s="34" t="n"/>
      <c r="F53" s="30" t="n"/>
      <c r="G53" s="9" t="n"/>
      <c r="H53" s="20" t="n"/>
      <c r="I53" s="8">
        <f>IFERROR(IF($E$3=15,IF(_xlfn.XLOOKUP(G53,A$3:A$17,B$3:B$17) = "Missed Hit",_xlfn.XLOOKUP(G53,A$3:A$17,B$3:B$17),_xlfn.XLOOKUP(G53,A$3:A$17,B$3:B$17) &amp; " Star " &amp; _xlfn.XLOOKUP(G53,A$3:A$17,C$3:C$17) &amp; "%"),_xlfn.XLOOKUP(G53,A$3:A$32,B$3:B$32)),"Not in war")</f>
        <v/>
      </c>
      <c r="J53" s="8">
        <f>IFERROR(IF($E$3=15,IF(_xlfn.XLOOKUP(G53,A$18:A$32,B$18:B$32) = "Missed Hit",_xlfn.XLOOKUP(G53,A$18:A$32,B$18:B$32),_xlfn.XLOOKUP(G53,A$18:A$32,B$18:B$32) &amp; " Star " &amp; _xlfn.XLOOKUP(G53,A$18:A$32,C$18:C$32) &amp; "%"),_xlfn.XLOOKUP(G53,A$33:A$62,B$33:B$62)),"Not in war")</f>
        <v/>
      </c>
      <c r="K53" s="8">
        <f>IFERROR(IF($E$3=15,IF(_xlfn.XLOOKUP(G53,A$33:A$47,B$33:B$47) = "Missed Hit",_xlfn.XLOOKUP(G53,A$33:A$47,B$33:B$47),_xlfn.XLOOKUP(G53,A$33:A$47,B$33:B$47) &amp; " Star " &amp; _xlfn.XLOOKUP(G53,A$33:A$47,C$33:C$47) &amp; "%"),_xlfn.XLOOKUP(G53,A$63:A$92,B$63:B$92)),"Not in war")</f>
        <v/>
      </c>
      <c r="L53" s="7">
        <f>IFERROR(IF($E$3=15,IF(_xlfn.XLOOKUP(G53,A$48:A$62,B$48:B$62) = "Missed Hit",_xlfn.XLOOKUP(G53,A$48:A$62,B$48:B$62),_xlfn.XLOOKUP(G53,A$48:A$62,B$48:B$62) &amp; " Star " &amp; _xlfn.XLOOKUP(G53,A$48:A$62,C$48:C$62) &amp; "%"),_xlfn.XLOOKUP(G53,A$93:A$122,B$93:B$122)),"Not in war")</f>
        <v/>
      </c>
      <c r="M53" s="7">
        <f>IFERROR(IF($E$3=15,IF(_xlfn.XLOOKUP(G53,A$63:A$77,B$63:B$77) = "Missed Hit",_xlfn.XLOOKUP(G53,A$63:A$77,B$63:B$77),_xlfn.XLOOKUP(G53,A$63:A$77,B$63:B$77) &amp; " Star " &amp; _xlfn.XLOOKUP(G53,A$63:A$77,C$63:C$77) &amp; "%"),_xlfn.XLOOKUP(G53,A$123:A$152,B$123:B$152)),"Not in war")</f>
        <v/>
      </c>
      <c r="N53" s="7">
        <f>IFERROR(IF($E$3=15,IF(_xlfn.XLOOKUP(G53,A$78:A$92,B$78:B$92) = "Missed Hit",_xlfn.XLOOKUP(G53,A$78:A$92,B$78:B$92),_xlfn.XLOOKUP(G53,A$78:A$92,B$78:B$92) &amp; " Star " &amp; _xlfn.XLOOKUP(G53,A$78:A$92,C$78:C$92) &amp; "%"),_xlfn.XLOOKUP(G53,A$153:A$182,B$153:B$182)),"Not in war")</f>
        <v/>
      </c>
      <c r="O53" s="6">
        <f>IFERROR(IF($E$3=15,IF(_xlfn.XLOOKUP(G53,A$93:A$107,B$93:B$107) = "Missed Hit",_xlfn.XLOOKUP(G53,A$93:A$107,B$93:B$107),_xlfn.XLOOKUP(G53,A$93:A$107,B$93:B$107) &amp; " Star " &amp; _xlfn.XLOOKUP(G53,A$93:A$107,C$93:C$107) &amp; "%"),_xlfn.XLOOKUP(G53,A$153:A$182,B$153:B$182)),"Not in war")</f>
        <v/>
      </c>
      <c r="Q53" s="16">
        <f>IFERROR($R53/(3*(7-$Y53)),0)</f>
        <v/>
      </c>
      <c r="R53" s="14">
        <f>3*S53+2*T53+U53</f>
        <v/>
      </c>
      <c r="S53" s="17">
        <f>COUNTIF($I53:$O53, 3 &amp; "*")</f>
        <v/>
      </c>
      <c r="T53" s="17">
        <f>COUNTIF($I53:$O53, 2 &amp; "*")</f>
        <v/>
      </c>
      <c r="U53" s="17">
        <f>COUNTIF($I53:$O53,1)</f>
        <v/>
      </c>
      <c r="V53" s="17">
        <f>COUNTIF($I53:$O53, 0 &amp; "*")</f>
        <v/>
      </c>
      <c r="W53" s="17">
        <f>COUNTIF($I53:$O53,"Missed hit")</f>
        <v/>
      </c>
      <c r="X53" s="17">
        <f>IF($E$3=15,SUM(_xlfn.XLOOKUP(G53,$A$3:$A$17,$C$3:$C$17,0),_xlfn.XLOOKUP(G53,$A$18:$A$32,$C$18:$C$32,0),_xlfn.XLOOKUP(G53,$A$33:$A$47,$C$33:$C$47,0), _xlfn.XLOOKUP(G53,$A$48:$A$62,$C$48:$C$62,0), _xlfn.XLOOKUP(G53,$A$63:$A$77,$C$63:$C$77,0), _xlfn.XLOOKUP(G53,$A$78:$A$92,$C$78:$C$92,0), _xlfn.XLOOKUP(G53,$A$93:$A$107,$C$93:$C$107,0)))</f>
        <v/>
      </c>
      <c r="Y53" s="17">
        <f>COUNTIF($I53:$O53,"Not in war")</f>
        <v/>
      </c>
      <c r="AB53" s="61" t="n">
        <v>0</v>
      </c>
      <c r="AC53" s="58" t="n">
        <v>0</v>
      </c>
      <c r="AD53" s="8" t="n">
        <v>0</v>
      </c>
      <c r="AE53" s="8" t="n">
        <v>0</v>
      </c>
      <c r="AF53" s="7" t="n">
        <v>0</v>
      </c>
      <c r="AG53" s="7" t="n">
        <v>0</v>
      </c>
      <c r="AH53" s="7" t="n">
        <v>0</v>
      </c>
      <c r="AI53" s="6" t="n">
        <v>0</v>
      </c>
      <c r="AJ53" s="55" t="n">
        <v>0</v>
      </c>
      <c r="AK53" s="16" t="n">
        <v>0</v>
      </c>
      <c r="AL53" s="14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b">
        <v>0</v>
      </c>
      <c r="AS53" s="17" t="n">
        <v>0</v>
      </c>
    </row>
    <row r="54" ht="18" customFormat="1" customHeight="1" s="3">
      <c r="A54" s="30" t="n"/>
      <c r="B54" s="40" t="n"/>
      <c r="C54" s="40" t="n"/>
      <c r="D54" s="30" t="n"/>
      <c r="E54" s="34" t="n"/>
      <c r="F54" s="30" t="n"/>
      <c r="G54" s="9" t="n"/>
      <c r="H54" s="20" t="n"/>
      <c r="I54" s="8">
        <f>IFERROR(IF($E$3=15,IF(_xlfn.XLOOKUP(G54,A$3:A$17,B$3:B$17) = "Missed Hit",_xlfn.XLOOKUP(G54,A$3:A$17,B$3:B$17),_xlfn.XLOOKUP(G54,A$3:A$17,B$3:B$17) &amp; " Star " &amp; _xlfn.XLOOKUP(G54,A$3:A$17,C$3:C$17) &amp; "%"),_xlfn.XLOOKUP(G54,A$3:A$32,B$3:B$32)),"Not in war")</f>
        <v/>
      </c>
      <c r="J54" s="8">
        <f>IFERROR(IF($E$3=15,IF(_xlfn.XLOOKUP(G54,A$18:A$32,B$18:B$32) = "Missed Hit",_xlfn.XLOOKUP(G54,A$18:A$32,B$18:B$32),_xlfn.XLOOKUP(G54,A$18:A$32,B$18:B$32) &amp; " Star " &amp; _xlfn.XLOOKUP(G54,A$18:A$32,C$18:C$32) &amp; "%"),_xlfn.XLOOKUP(G54,A$33:A$62,B$33:B$62)),"Not in war")</f>
        <v/>
      </c>
      <c r="K54" s="8">
        <f>IFERROR(IF($E$3=15,IF(_xlfn.XLOOKUP(G54,A$33:A$47,B$33:B$47) = "Missed Hit",_xlfn.XLOOKUP(G54,A$33:A$47,B$33:B$47),_xlfn.XLOOKUP(G54,A$33:A$47,B$33:B$47) &amp; " Star " &amp; _xlfn.XLOOKUP(G54,A$33:A$47,C$33:C$47) &amp; "%"),_xlfn.XLOOKUP(G54,A$63:A$92,B$63:B$92)),"Not in war")</f>
        <v/>
      </c>
      <c r="L54" s="7">
        <f>IFERROR(IF($E$3=15,IF(_xlfn.XLOOKUP(G54,A$48:A$62,B$48:B$62) = "Missed Hit",_xlfn.XLOOKUP(G54,A$48:A$62,B$48:B$62),_xlfn.XLOOKUP(G54,A$48:A$62,B$48:B$62) &amp; " Star " &amp; _xlfn.XLOOKUP(G54,A$48:A$62,C$48:C$62) &amp; "%"),_xlfn.XLOOKUP(G54,A$93:A$122,B$93:B$122)),"Not in war")</f>
        <v/>
      </c>
      <c r="M54" s="7">
        <f>IFERROR(IF($E$3=15,IF(_xlfn.XLOOKUP(G54,A$63:A$77,B$63:B$77) = "Missed Hit",_xlfn.XLOOKUP(G54,A$63:A$77,B$63:B$77),_xlfn.XLOOKUP(G54,A$63:A$77,B$63:B$77) &amp; " Star " &amp; _xlfn.XLOOKUP(G54,A$63:A$77,C$63:C$77) &amp; "%"),_xlfn.XLOOKUP(G54,A$123:A$152,B$123:B$152)),"Not in war")</f>
        <v/>
      </c>
      <c r="N54" s="7">
        <f>IFERROR(IF($E$3=15,IF(_xlfn.XLOOKUP(G54,A$78:A$92,B$78:B$92) = "Missed Hit",_xlfn.XLOOKUP(G54,A$78:A$92,B$78:B$92),_xlfn.XLOOKUP(G54,A$78:A$92,B$78:B$92) &amp; " Star " &amp; _xlfn.XLOOKUP(G54,A$78:A$92,C$78:C$92) &amp; "%"),_xlfn.XLOOKUP(G54,A$153:A$182,B$153:B$182)),"Not in war")</f>
        <v/>
      </c>
      <c r="O54" s="6">
        <f>IFERROR(IF($E$3=15,IF(_xlfn.XLOOKUP(G54,A$93:A$107,B$93:B$107) = "Missed Hit",_xlfn.XLOOKUP(G54,A$93:A$107,B$93:B$107),_xlfn.XLOOKUP(G54,A$93:A$107,B$93:B$107) &amp; " Star " &amp; _xlfn.XLOOKUP(G54,A$93:A$107,C$93:C$107) &amp; "%"),_xlfn.XLOOKUP(G54,A$153:A$182,B$153:B$182)),"Not in war")</f>
        <v/>
      </c>
      <c r="Q54" s="16">
        <f>IFERROR($R54/(3*(7-$Y54)),0)</f>
        <v/>
      </c>
      <c r="R54" s="14">
        <f>3*S54+2*T54+U54</f>
        <v/>
      </c>
      <c r="S54" s="17">
        <f>COUNTIF($I54:$O54, 3 &amp; "*")</f>
        <v/>
      </c>
      <c r="T54" s="17">
        <f>COUNTIF($I54:$O54, 2 &amp; "*")</f>
        <v/>
      </c>
      <c r="U54" s="17">
        <f>COUNTIF($I54:$O54,1)</f>
        <v/>
      </c>
      <c r="V54" s="17">
        <f>COUNTIF($I54:$O54, 0 &amp; "*")</f>
        <v/>
      </c>
      <c r="W54" s="17">
        <f>COUNTIF($I54:$O54,"Missed hit")</f>
        <v/>
      </c>
      <c r="X54" s="17">
        <f>IF($E$3=15,SUM(_xlfn.XLOOKUP(G54,$A$3:$A$17,$C$3:$C$17,0),_xlfn.XLOOKUP(G54,$A$18:$A$32,$C$18:$C$32,0),_xlfn.XLOOKUP(G54,$A$33:$A$47,$C$33:$C$47,0), _xlfn.XLOOKUP(G54,$A$48:$A$62,$C$48:$C$62,0), _xlfn.XLOOKUP(G54,$A$63:$A$77,$C$63:$C$77,0), _xlfn.XLOOKUP(G54,$A$78:$A$92,$C$78:$C$92,0), _xlfn.XLOOKUP(G54,$A$93:$A$107,$C$93:$C$107,0)))</f>
        <v/>
      </c>
      <c r="Y54" s="17">
        <f>COUNTIF($I54:$O54,"Not in war")</f>
        <v/>
      </c>
      <c r="AB54" s="61" t="n">
        <v>0</v>
      </c>
      <c r="AC54" s="58" t="n">
        <v>0</v>
      </c>
      <c r="AD54" s="8" t="n">
        <v>0</v>
      </c>
      <c r="AE54" s="8" t="n">
        <v>0</v>
      </c>
      <c r="AF54" s="7" t="n">
        <v>0</v>
      </c>
      <c r="AG54" s="7" t="n">
        <v>0</v>
      </c>
      <c r="AH54" s="7" t="n">
        <v>0</v>
      </c>
      <c r="AI54" s="6" t="n">
        <v>0</v>
      </c>
      <c r="AJ54" s="55" t="n">
        <v>0</v>
      </c>
      <c r="AK54" s="16" t="n">
        <v>0</v>
      </c>
      <c r="AL54" s="14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b">
        <v>0</v>
      </c>
      <c r="AS54" s="17" t="n">
        <v>0</v>
      </c>
    </row>
    <row r="55" ht="18" customFormat="1" customHeight="1" s="3">
      <c r="A55" s="30" t="n"/>
      <c r="B55" s="40" t="n"/>
      <c r="C55" s="40" t="n"/>
      <c r="D55" s="30" t="n"/>
      <c r="E55" s="34" t="n"/>
      <c r="F55" s="30" t="n"/>
      <c r="G55" s="9" t="n"/>
      <c r="H55" s="20" t="n"/>
      <c r="I55" s="8">
        <f>IFERROR(IF($E$3=15,IF(_xlfn.XLOOKUP(G55,A$3:A$17,B$3:B$17) = "Missed Hit",_xlfn.XLOOKUP(G55,A$3:A$17,B$3:B$17),_xlfn.XLOOKUP(G55,A$3:A$17,B$3:B$17) &amp; " Star " &amp; _xlfn.XLOOKUP(G55,A$3:A$17,C$3:C$17) &amp; "%"),_xlfn.XLOOKUP(G55,A$3:A$32,B$3:B$32)),"Not in war")</f>
        <v/>
      </c>
      <c r="J55" s="8">
        <f>IFERROR(IF($E$3=15,IF(_xlfn.XLOOKUP(G55,A$18:A$32,B$18:B$32) = "Missed Hit",_xlfn.XLOOKUP(G55,A$18:A$32,B$18:B$32),_xlfn.XLOOKUP(G55,A$18:A$32,B$18:B$32) &amp; " Star " &amp; _xlfn.XLOOKUP(G55,A$18:A$32,C$18:C$32) &amp; "%"),_xlfn.XLOOKUP(G55,A$33:A$62,B$33:B$62)),"Not in war")</f>
        <v/>
      </c>
      <c r="K55" s="8">
        <f>IFERROR(IF($E$3=15,IF(_xlfn.XLOOKUP(G55,A$33:A$47,B$33:B$47) = "Missed Hit",_xlfn.XLOOKUP(G55,A$33:A$47,B$33:B$47),_xlfn.XLOOKUP(G55,A$33:A$47,B$33:B$47) &amp; " Star " &amp; _xlfn.XLOOKUP(G55,A$33:A$47,C$33:C$47) &amp; "%"),_xlfn.XLOOKUP(G55,A$63:A$92,B$63:B$92)),"Not in war")</f>
        <v/>
      </c>
      <c r="L55" s="7">
        <f>IFERROR(IF($E$3=15,IF(_xlfn.XLOOKUP(G55,A$48:A$62,B$48:B$62) = "Missed Hit",_xlfn.XLOOKUP(G55,A$48:A$62,B$48:B$62),_xlfn.XLOOKUP(G55,A$48:A$62,B$48:B$62) &amp; " Star " &amp; _xlfn.XLOOKUP(G55,A$48:A$62,C$48:C$62) &amp; "%"),_xlfn.XLOOKUP(G55,A$93:A$122,B$93:B$122)),"Not in war")</f>
        <v/>
      </c>
      <c r="M55" s="7">
        <f>IFERROR(IF($E$3=15,IF(_xlfn.XLOOKUP(G55,A$63:A$77,B$63:B$77) = "Missed Hit",_xlfn.XLOOKUP(G55,A$63:A$77,B$63:B$77),_xlfn.XLOOKUP(G55,A$63:A$77,B$63:B$77) &amp; " Star " &amp; _xlfn.XLOOKUP(G55,A$63:A$77,C$63:C$77) &amp; "%"),_xlfn.XLOOKUP(G55,A$123:A$152,B$123:B$152)),"Not in war")</f>
        <v/>
      </c>
      <c r="N55" s="7">
        <f>IFERROR(IF($E$3=15,IF(_xlfn.XLOOKUP(G55,A$78:A$92,B$78:B$92) = "Missed Hit",_xlfn.XLOOKUP(G55,A$78:A$92,B$78:B$92),_xlfn.XLOOKUP(G55,A$78:A$92,B$78:B$92) &amp; " Star " &amp; _xlfn.XLOOKUP(G55,A$78:A$92,C$78:C$92) &amp; "%"),_xlfn.XLOOKUP(G55,A$153:A$182,B$153:B$182)),"Not in war")</f>
        <v/>
      </c>
      <c r="O55" s="6">
        <f>IFERROR(IF($E$3=15,IF(_xlfn.XLOOKUP(G55,A$93:A$107,B$93:B$107) = "Missed Hit",_xlfn.XLOOKUP(G55,A$93:A$107,B$93:B$107),_xlfn.XLOOKUP(G55,A$93:A$107,B$93:B$107) &amp; " Star " &amp; _xlfn.XLOOKUP(G55,A$93:A$107,C$93:C$107) &amp; "%"),_xlfn.XLOOKUP(G55,A$153:A$182,B$153:B$182)),"Not in war")</f>
        <v/>
      </c>
      <c r="Q55" s="16">
        <f>IFERROR($R55/(3*(7-$Y55)),0)</f>
        <v/>
      </c>
      <c r="R55" s="14">
        <f>3*S55+2*T55+U55</f>
        <v/>
      </c>
      <c r="S55" s="17">
        <f>COUNTIF($I55:$O55, 3 &amp; "*")</f>
        <v/>
      </c>
      <c r="T55" s="17">
        <f>COUNTIF($I55:$O55, 2 &amp; "*")</f>
        <v/>
      </c>
      <c r="U55" s="17">
        <f>COUNTIF($I55:$O55,1)</f>
        <v/>
      </c>
      <c r="V55" s="17">
        <f>COUNTIF($I55:$O55, 0 &amp; "*")</f>
        <v/>
      </c>
      <c r="W55" s="17">
        <f>COUNTIF($I55:$O55,"Missed hit")</f>
        <v/>
      </c>
      <c r="X55" s="17">
        <f>IF($E$3=15,SUM(_xlfn.XLOOKUP(G55,$A$3:$A$17,$C$3:$C$17,0),_xlfn.XLOOKUP(G55,$A$18:$A$32,$C$18:$C$32,0),_xlfn.XLOOKUP(G55,$A$33:$A$47,$C$33:$C$47,0), _xlfn.XLOOKUP(G55,$A$48:$A$62,$C$48:$C$62,0), _xlfn.XLOOKUP(G55,$A$63:$A$77,$C$63:$C$77,0), _xlfn.XLOOKUP(G55,$A$78:$A$92,$C$78:$C$92,0), _xlfn.XLOOKUP(G55,$A$93:$A$107,$C$93:$C$107,0)))</f>
        <v/>
      </c>
      <c r="Y55" s="17">
        <f>COUNTIF($I55:$O55,"Not in war")</f>
        <v/>
      </c>
      <c r="AB55" s="61" t="n">
        <v>0</v>
      </c>
      <c r="AC55" s="58" t="n">
        <v>0</v>
      </c>
      <c r="AD55" s="8" t="n">
        <v>0</v>
      </c>
      <c r="AE55" s="8" t="n">
        <v>0</v>
      </c>
      <c r="AF55" s="7" t="n">
        <v>0</v>
      </c>
      <c r="AG55" s="7" t="n">
        <v>0</v>
      </c>
      <c r="AH55" s="7" t="n">
        <v>0</v>
      </c>
      <c r="AI55" s="6" t="n">
        <v>0</v>
      </c>
      <c r="AJ55" s="55" t="n">
        <v>0</v>
      </c>
      <c r="AK55" s="16" t="n">
        <v>0</v>
      </c>
      <c r="AL55" s="14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b">
        <v>0</v>
      </c>
      <c r="AS55" s="17" t="n">
        <v>0</v>
      </c>
    </row>
    <row r="56" ht="18" customFormat="1" customHeight="1" s="3">
      <c r="A56" s="30" t="n"/>
      <c r="B56" s="40" t="n"/>
      <c r="C56" s="40" t="n"/>
      <c r="D56" s="30" t="n"/>
      <c r="E56" s="34" t="n"/>
      <c r="F56" s="30" t="n"/>
      <c r="G56" s="9" t="n"/>
      <c r="H56" s="20" t="n"/>
      <c r="I56" s="8">
        <f>IFERROR(IF($E$3=15,IF(_xlfn.XLOOKUP(G56,A$3:A$17,B$3:B$17) = "Missed Hit",_xlfn.XLOOKUP(G56,A$3:A$17,B$3:B$17),_xlfn.XLOOKUP(G56,A$3:A$17,B$3:B$17) &amp; " Star " &amp; _xlfn.XLOOKUP(G56,A$3:A$17,C$3:C$17) &amp; "%"),_xlfn.XLOOKUP(G56,A$3:A$32,B$3:B$32)),"Not in war")</f>
        <v/>
      </c>
      <c r="J56" s="8">
        <f>IFERROR(IF($E$3=15,IF(_xlfn.XLOOKUP(G56,A$18:A$32,B$18:B$32) = "Missed Hit",_xlfn.XLOOKUP(G56,A$18:A$32,B$18:B$32),_xlfn.XLOOKUP(G56,A$18:A$32,B$18:B$32) &amp; " Star " &amp; _xlfn.XLOOKUP(G56,A$18:A$32,C$18:C$32) &amp; "%"),_xlfn.XLOOKUP(G56,A$33:A$62,B$33:B$62)),"Not in war")</f>
        <v/>
      </c>
      <c r="K56" s="8">
        <f>IFERROR(IF($E$3=15,IF(_xlfn.XLOOKUP(G56,A$33:A$47,B$33:B$47) = "Missed Hit",_xlfn.XLOOKUP(G56,A$33:A$47,B$33:B$47),_xlfn.XLOOKUP(G56,A$33:A$47,B$33:B$47) &amp; " Star " &amp; _xlfn.XLOOKUP(G56,A$33:A$47,C$33:C$47) &amp; "%"),_xlfn.XLOOKUP(G56,A$63:A$92,B$63:B$92)),"Not in war")</f>
        <v/>
      </c>
      <c r="L56" s="7">
        <f>IFERROR(IF($E$3=15,IF(_xlfn.XLOOKUP(G56,A$48:A$62,B$48:B$62) = "Missed Hit",_xlfn.XLOOKUP(G56,A$48:A$62,B$48:B$62),_xlfn.XLOOKUP(G56,A$48:A$62,B$48:B$62) &amp; " Star " &amp; _xlfn.XLOOKUP(G56,A$48:A$62,C$48:C$62) &amp; "%"),_xlfn.XLOOKUP(G56,A$93:A$122,B$93:B$122)),"Not in war")</f>
        <v/>
      </c>
      <c r="M56" s="7">
        <f>IFERROR(IF($E$3=15,IF(_xlfn.XLOOKUP(G56,A$63:A$77,B$63:B$77) = "Missed Hit",_xlfn.XLOOKUP(G56,A$63:A$77,B$63:B$77),_xlfn.XLOOKUP(G56,A$63:A$77,B$63:B$77) &amp; " Star " &amp; _xlfn.XLOOKUP(G56,A$63:A$77,C$63:C$77) &amp; "%"),_xlfn.XLOOKUP(G56,A$123:A$152,B$123:B$152)),"Not in war")</f>
        <v/>
      </c>
      <c r="N56" s="7">
        <f>IFERROR(IF($E$3=15,IF(_xlfn.XLOOKUP(G56,A$78:A$92,B$78:B$92) = "Missed Hit",_xlfn.XLOOKUP(G56,A$78:A$92,B$78:B$92),_xlfn.XLOOKUP(G56,A$78:A$92,B$78:B$92) &amp; " Star " &amp; _xlfn.XLOOKUP(G56,A$78:A$92,C$78:C$92) &amp; "%"),_xlfn.XLOOKUP(G56,A$153:A$182,B$153:B$182)),"Not in war")</f>
        <v/>
      </c>
      <c r="O56" s="6">
        <f>IFERROR(IF($E$3=15,IF(_xlfn.XLOOKUP(G56,A$93:A$107,B$93:B$107) = "Missed Hit",_xlfn.XLOOKUP(G56,A$93:A$107,B$93:B$107),_xlfn.XLOOKUP(G56,A$93:A$107,B$93:B$107) &amp; " Star " &amp; _xlfn.XLOOKUP(G56,A$93:A$107,C$93:C$107) &amp; "%"),_xlfn.XLOOKUP(G56,A$153:A$182,B$153:B$182)),"Not in war")</f>
        <v/>
      </c>
      <c r="Q56" s="16">
        <f>IFERROR($R56/(3*(7-$Y56)),0)</f>
        <v/>
      </c>
      <c r="R56" s="14">
        <f>3*S56+2*T56+U56</f>
        <v/>
      </c>
      <c r="S56" s="17">
        <f>COUNTIF($I56:$O56, 3 &amp; "*")</f>
        <v/>
      </c>
      <c r="T56" s="17">
        <f>COUNTIF($I56:$O56, 2 &amp; "*")</f>
        <v/>
      </c>
      <c r="U56" s="17">
        <f>COUNTIF($I56:$O56,1)</f>
        <v/>
      </c>
      <c r="V56" s="17">
        <f>COUNTIF($I56:$O56, 0 &amp; "*")</f>
        <v/>
      </c>
      <c r="W56" s="17">
        <f>COUNTIF($I56:$O56,"Missed hit")</f>
        <v/>
      </c>
      <c r="X56" s="17">
        <f>IF($E$3=15,SUM(_xlfn.XLOOKUP(G56,$A$3:$A$17,$C$3:$C$17,0),_xlfn.XLOOKUP(G56,$A$18:$A$32,$C$18:$C$32,0),_xlfn.XLOOKUP(G56,$A$33:$A$47,$C$33:$C$47,0), _xlfn.XLOOKUP(G56,$A$48:$A$62,$C$48:$C$62,0), _xlfn.XLOOKUP(G56,$A$63:$A$77,$C$63:$C$77,0), _xlfn.XLOOKUP(G56,$A$78:$A$92,$C$78:$C$92,0), _xlfn.XLOOKUP(G56,$A$93:$A$107,$C$93:$C$107,0)))</f>
        <v/>
      </c>
      <c r="Y56" s="17">
        <f>COUNTIF($I56:$O56,"Not in war")</f>
        <v/>
      </c>
      <c r="AB56" s="61" t="n">
        <v>0</v>
      </c>
      <c r="AC56" s="58" t="n">
        <v>0</v>
      </c>
      <c r="AD56" s="8" t="n">
        <v>0</v>
      </c>
      <c r="AE56" s="8" t="n">
        <v>0</v>
      </c>
      <c r="AF56" s="7" t="n">
        <v>0</v>
      </c>
      <c r="AG56" s="7" t="n">
        <v>0</v>
      </c>
      <c r="AH56" s="7" t="n">
        <v>0</v>
      </c>
      <c r="AI56" s="6" t="n">
        <v>0</v>
      </c>
      <c r="AJ56" s="55" t="n">
        <v>0</v>
      </c>
      <c r="AK56" s="16" t="n">
        <v>0</v>
      </c>
      <c r="AL56" s="14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b">
        <v>0</v>
      </c>
      <c r="AS56" s="17" t="n">
        <v>0</v>
      </c>
    </row>
    <row r="57" ht="18" customFormat="1" customHeight="1" s="3">
      <c r="A57" s="30" t="n"/>
      <c r="B57" s="40" t="n"/>
      <c r="C57" s="40" t="n"/>
      <c r="D57" s="30" t="n"/>
      <c r="E57" s="34" t="n"/>
      <c r="F57" s="30" t="n"/>
      <c r="G57" s="9" t="n"/>
      <c r="H57" s="20" t="n"/>
      <c r="I57" s="8">
        <f>IFERROR(IF($E$3=15,IF(_xlfn.XLOOKUP(G57,A$3:A$17,B$3:B$17) = "Missed Hit",_xlfn.XLOOKUP(G57,A$3:A$17,B$3:B$17),_xlfn.XLOOKUP(G57,A$3:A$17,B$3:B$17) &amp; " Star " &amp; _xlfn.XLOOKUP(G57,A$3:A$17,C$3:C$17) &amp; "%"),_xlfn.XLOOKUP(G57,A$3:A$32,B$3:B$32)),"Not in war")</f>
        <v/>
      </c>
      <c r="J57" s="8">
        <f>IFERROR(IF($E$3=15,IF(_xlfn.XLOOKUP(G57,A$18:A$32,B$18:B$32) = "Missed Hit",_xlfn.XLOOKUP(G57,A$18:A$32,B$18:B$32),_xlfn.XLOOKUP(G57,A$18:A$32,B$18:B$32) &amp; " Star " &amp; _xlfn.XLOOKUP(G57,A$18:A$32,C$18:C$32) &amp; "%"),_xlfn.XLOOKUP(G57,A$33:A$62,B$33:B$62)),"Not in war")</f>
        <v/>
      </c>
      <c r="K57" s="8">
        <f>IFERROR(IF($E$3=15,IF(_xlfn.XLOOKUP(G57,A$33:A$47,B$33:B$47) = "Missed Hit",_xlfn.XLOOKUP(G57,A$33:A$47,B$33:B$47),_xlfn.XLOOKUP(G57,A$33:A$47,B$33:B$47) &amp; " Star " &amp; _xlfn.XLOOKUP(G57,A$33:A$47,C$33:C$47) &amp; "%"),_xlfn.XLOOKUP(G57,A$63:A$92,B$63:B$92)),"Not in war")</f>
        <v/>
      </c>
      <c r="L57" s="7">
        <f>IFERROR(IF($E$3=15,IF(_xlfn.XLOOKUP(G57,A$48:A$62,B$48:B$62) = "Missed Hit",_xlfn.XLOOKUP(G57,A$48:A$62,B$48:B$62),_xlfn.XLOOKUP(G57,A$48:A$62,B$48:B$62) &amp; " Star " &amp; _xlfn.XLOOKUP(G57,A$48:A$62,C$48:C$62) &amp; "%"),_xlfn.XLOOKUP(G57,A$93:A$122,B$93:B$122)),"Not in war")</f>
        <v/>
      </c>
      <c r="M57" s="7">
        <f>IFERROR(IF($E$3=15,IF(_xlfn.XLOOKUP(G57,A$63:A$77,B$63:B$77) = "Missed Hit",_xlfn.XLOOKUP(G57,A$63:A$77,B$63:B$77),_xlfn.XLOOKUP(G57,A$63:A$77,B$63:B$77) &amp; " Star " &amp; _xlfn.XLOOKUP(G57,A$63:A$77,C$63:C$77) &amp; "%"),_xlfn.XLOOKUP(G57,A$123:A$152,B$123:B$152)),"Not in war")</f>
        <v/>
      </c>
      <c r="N57" s="7">
        <f>IFERROR(IF($E$3=15,IF(_xlfn.XLOOKUP(G57,A$78:A$92,B$78:B$92) = "Missed Hit",_xlfn.XLOOKUP(G57,A$78:A$92,B$78:B$92),_xlfn.XLOOKUP(G57,A$78:A$92,B$78:B$92) &amp; " Star " &amp; _xlfn.XLOOKUP(G57,A$78:A$92,C$78:C$92) &amp; "%"),_xlfn.XLOOKUP(G57,A$153:A$182,B$153:B$182)),"Not in war")</f>
        <v/>
      </c>
      <c r="O57" s="6">
        <f>IFERROR(IF($E$3=15,IF(_xlfn.XLOOKUP(G57,A$93:A$107,B$93:B$107) = "Missed Hit",_xlfn.XLOOKUP(G57,A$93:A$107,B$93:B$107),_xlfn.XLOOKUP(G57,A$93:A$107,B$93:B$107) &amp; " Star " &amp; _xlfn.XLOOKUP(G57,A$93:A$107,C$93:C$107) &amp; "%"),_xlfn.XLOOKUP(G57,A$153:A$182,B$153:B$182)),"Not in war")</f>
        <v/>
      </c>
      <c r="Q57" s="16">
        <f>IFERROR($R57/(3*(7-$Y57)),0)</f>
        <v/>
      </c>
      <c r="R57" s="14">
        <f>3*S57+2*T57+U57</f>
        <v/>
      </c>
      <c r="S57" s="17">
        <f>COUNTIF($I57:$O57, 3 &amp; "*")</f>
        <v/>
      </c>
      <c r="T57" s="17">
        <f>COUNTIF($I57:$O57, 2 &amp; "*")</f>
        <v/>
      </c>
      <c r="U57" s="17">
        <f>COUNTIF($I57:$O57,1)</f>
        <v/>
      </c>
      <c r="V57" s="17">
        <f>COUNTIF($I57:$O57, 0 &amp; "*")</f>
        <v/>
      </c>
      <c r="W57" s="17">
        <f>COUNTIF($I57:$O57,"Missed hit")</f>
        <v/>
      </c>
      <c r="X57" s="17">
        <f>IF($E$3=15,SUM(_xlfn.XLOOKUP(G57,$A$3:$A$17,$C$3:$C$17,0),_xlfn.XLOOKUP(G57,$A$18:$A$32,$C$18:$C$32,0),_xlfn.XLOOKUP(G57,$A$33:$A$47,$C$33:$C$47,0), _xlfn.XLOOKUP(G57,$A$48:$A$62,$C$48:$C$62,0), _xlfn.XLOOKUP(G57,$A$63:$A$77,$C$63:$C$77,0), _xlfn.XLOOKUP(G57,$A$78:$A$92,$C$78:$C$92,0), _xlfn.XLOOKUP(G57,$A$93:$A$107,$C$93:$C$107,0)))</f>
        <v/>
      </c>
      <c r="Y57" s="17">
        <f>COUNTIF($I57:$O57,"Not in war")</f>
        <v/>
      </c>
      <c r="AB57" s="61" t="n">
        <v>0</v>
      </c>
      <c r="AC57" s="58" t="n">
        <v>0</v>
      </c>
      <c r="AD57" s="8" t="n">
        <v>0</v>
      </c>
      <c r="AE57" s="8" t="n">
        <v>0</v>
      </c>
      <c r="AF57" s="7" t="n">
        <v>0</v>
      </c>
      <c r="AG57" s="7" t="n">
        <v>0</v>
      </c>
      <c r="AH57" s="7" t="n">
        <v>0</v>
      </c>
      <c r="AI57" s="6" t="n">
        <v>0</v>
      </c>
      <c r="AJ57" s="55" t="n">
        <v>0</v>
      </c>
      <c r="AK57" s="16" t="n">
        <v>0</v>
      </c>
      <c r="AL57" s="14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b">
        <v>0</v>
      </c>
      <c r="AS57" s="17" t="n">
        <v>0</v>
      </c>
    </row>
    <row r="58" ht="18" customFormat="1" customHeight="1" s="3">
      <c r="A58" s="30" t="n"/>
      <c r="B58" s="40" t="n"/>
      <c r="C58" s="40" t="n"/>
      <c r="D58" s="30" t="n"/>
      <c r="E58" s="34" t="n"/>
      <c r="F58" s="30" t="n"/>
      <c r="G58" s="9" t="n"/>
      <c r="H58" s="20" t="n"/>
      <c r="I58" s="8">
        <f>IFERROR(IF($E$3=15,IF(_xlfn.XLOOKUP(G58,A$3:A$17,B$3:B$17) = "Missed Hit",_xlfn.XLOOKUP(G58,A$3:A$17,B$3:B$17),_xlfn.XLOOKUP(G58,A$3:A$17,B$3:B$17) &amp; " Star " &amp; _xlfn.XLOOKUP(G58,A$3:A$17,C$3:C$17) &amp; "%"),_xlfn.XLOOKUP(G58,A$3:A$32,B$3:B$32)),"Not in war")</f>
        <v/>
      </c>
      <c r="J58" s="8">
        <f>IFERROR(IF($E$3=15,IF(_xlfn.XLOOKUP(G58,A$18:A$32,B$18:B$32) = "Missed Hit",_xlfn.XLOOKUP(G58,A$18:A$32,B$18:B$32),_xlfn.XLOOKUP(G58,A$18:A$32,B$18:B$32) &amp; " Star " &amp; _xlfn.XLOOKUP(G58,A$18:A$32,C$18:C$32) &amp; "%"),_xlfn.XLOOKUP(G58,A$33:A$62,B$33:B$62)),"Not in war")</f>
        <v/>
      </c>
      <c r="K58" s="8">
        <f>IFERROR(IF($E$3=15,IF(_xlfn.XLOOKUP(G58,A$33:A$47,B$33:B$47) = "Missed Hit",_xlfn.XLOOKUP(G58,A$33:A$47,B$33:B$47),_xlfn.XLOOKUP(G58,A$33:A$47,B$33:B$47) &amp; " Star " &amp; _xlfn.XLOOKUP(G58,A$33:A$47,C$33:C$47) &amp; "%"),_xlfn.XLOOKUP(G58,A$63:A$92,B$63:B$92)),"Not in war")</f>
        <v/>
      </c>
      <c r="L58" s="7">
        <f>IFERROR(IF($E$3=15,IF(_xlfn.XLOOKUP(G58,A$48:A$62,B$48:B$62) = "Missed Hit",_xlfn.XLOOKUP(G58,A$48:A$62,B$48:B$62),_xlfn.XLOOKUP(G58,A$48:A$62,B$48:B$62) &amp; " Star " &amp; _xlfn.XLOOKUP(G58,A$48:A$62,C$48:C$62) &amp; "%"),_xlfn.XLOOKUP(G58,A$93:A$122,B$93:B$122)),"Not in war")</f>
        <v/>
      </c>
      <c r="M58" s="7">
        <f>IFERROR(IF($E$3=15,IF(_xlfn.XLOOKUP(G58,A$63:A$77,B$63:B$77) = "Missed Hit",_xlfn.XLOOKUP(G58,A$63:A$77,B$63:B$77),_xlfn.XLOOKUP(G58,A$63:A$77,B$63:B$77) &amp; " Star " &amp; _xlfn.XLOOKUP(G58,A$63:A$77,C$63:C$77) &amp; "%"),_xlfn.XLOOKUP(G58,A$123:A$152,B$123:B$152)),"Not in war")</f>
        <v/>
      </c>
      <c r="N58" s="7">
        <f>IFERROR(IF($E$3=15,IF(_xlfn.XLOOKUP(G58,A$78:A$92,B$78:B$92) = "Missed Hit",_xlfn.XLOOKUP(G58,A$78:A$92,B$78:B$92),_xlfn.XLOOKUP(G58,A$78:A$92,B$78:B$92) &amp; " Star " &amp; _xlfn.XLOOKUP(G58,A$78:A$92,C$78:C$92) &amp; "%"),_xlfn.XLOOKUP(G58,A$153:A$182,B$153:B$182)),"Not in war")</f>
        <v/>
      </c>
      <c r="O58" s="6">
        <f>IFERROR(IF($E$3=15,IF(_xlfn.XLOOKUP(G58,A$93:A$107,B$93:B$107) = "Missed Hit",_xlfn.XLOOKUP(G58,A$93:A$107,B$93:B$107),_xlfn.XLOOKUP(G58,A$93:A$107,B$93:B$107) &amp; " Star " &amp; _xlfn.XLOOKUP(G58,A$93:A$107,C$93:C$107) &amp; "%"),_xlfn.XLOOKUP(G58,A$153:A$182,B$153:B$182)),"Not in war")</f>
        <v/>
      </c>
      <c r="Q58" s="16">
        <f>IFERROR($R58/(3*(7-$Y58)),0)</f>
        <v/>
      </c>
      <c r="R58" s="14">
        <f>3*S58+2*T58+U58</f>
        <v/>
      </c>
      <c r="S58" s="17">
        <f>COUNTIF($I58:$O58, 3 &amp; "*")</f>
        <v/>
      </c>
      <c r="T58" s="17">
        <f>COUNTIF($I58:$O58, 2 &amp; "*")</f>
        <v/>
      </c>
      <c r="U58" s="17">
        <f>COUNTIF($I58:$O58,1)</f>
        <v/>
      </c>
      <c r="V58" s="17">
        <f>COUNTIF($I58:$O58, 0 &amp; "*")</f>
        <v/>
      </c>
      <c r="W58" s="17">
        <f>COUNTIF($I58:$O58,"Missed hit")</f>
        <v/>
      </c>
      <c r="X58" s="17">
        <f>IF($E$3=15,SUM(_xlfn.XLOOKUP(G58,$A$3:$A$17,$C$3:$C$17,0),_xlfn.XLOOKUP(G58,$A$18:$A$32,$C$18:$C$32,0),_xlfn.XLOOKUP(G58,$A$33:$A$47,$C$33:$C$47,0), _xlfn.XLOOKUP(G58,$A$48:$A$62,$C$48:$C$62,0), _xlfn.XLOOKUP(G58,$A$63:$A$77,$C$63:$C$77,0), _xlfn.XLOOKUP(G58,$A$78:$A$92,$C$78:$C$92,0), _xlfn.XLOOKUP(G58,$A$93:$A$107,$C$93:$C$107,0)))</f>
        <v/>
      </c>
      <c r="Y58" s="17">
        <f>COUNTIF($I58:$O58,"Not in war")</f>
        <v/>
      </c>
      <c r="AB58" s="61" t="n">
        <v>0</v>
      </c>
      <c r="AC58" s="58" t="n">
        <v>0</v>
      </c>
      <c r="AD58" s="8" t="n">
        <v>0</v>
      </c>
      <c r="AE58" s="8" t="n">
        <v>0</v>
      </c>
      <c r="AF58" s="7" t="n">
        <v>0</v>
      </c>
      <c r="AG58" s="7" t="n">
        <v>0</v>
      </c>
      <c r="AH58" s="7" t="n">
        <v>0</v>
      </c>
      <c r="AI58" s="6" t="n">
        <v>0</v>
      </c>
      <c r="AJ58" s="55" t="n">
        <v>0</v>
      </c>
      <c r="AK58" s="16" t="n">
        <v>0</v>
      </c>
      <c r="AL58" s="14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b">
        <v>0</v>
      </c>
      <c r="AS58" s="17" t="n">
        <v>0</v>
      </c>
    </row>
    <row r="59" ht="18" customFormat="1" customHeight="1" s="3">
      <c r="A59" s="30" t="n"/>
      <c r="B59" s="40" t="n"/>
      <c r="C59" s="40" t="n"/>
      <c r="D59" s="30" t="n"/>
      <c r="E59" s="34" t="n"/>
      <c r="F59" s="30" t="n"/>
      <c r="G59" s="9" t="n"/>
      <c r="H59" s="20" t="n"/>
      <c r="I59" s="8">
        <f>IFERROR(IF($E$3=15,IF(_xlfn.XLOOKUP(G59,A$3:A$17,B$3:B$17) = "Missed Hit",_xlfn.XLOOKUP(G59,A$3:A$17,B$3:B$17),_xlfn.XLOOKUP(G59,A$3:A$17,B$3:B$17) &amp; " Star " &amp; _xlfn.XLOOKUP(G59,A$3:A$17,C$3:C$17) &amp; "%"),_xlfn.XLOOKUP(G59,A$3:A$32,B$3:B$32)),"Not in war")</f>
        <v/>
      </c>
      <c r="J59" s="8">
        <f>IFERROR(IF($E$3=15,IF(_xlfn.XLOOKUP(G59,A$18:A$32,B$18:B$32) = "Missed Hit",_xlfn.XLOOKUP(G59,A$18:A$32,B$18:B$32),_xlfn.XLOOKUP(G59,A$18:A$32,B$18:B$32) &amp; " Star " &amp; _xlfn.XLOOKUP(G59,A$18:A$32,C$18:C$32) &amp; "%"),_xlfn.XLOOKUP(G59,A$33:A$62,B$33:B$62)),"Not in war")</f>
        <v/>
      </c>
      <c r="K59" s="8">
        <f>IFERROR(IF($E$3=15,IF(_xlfn.XLOOKUP(G59,A$33:A$47,B$33:B$47) = "Missed Hit",_xlfn.XLOOKUP(G59,A$33:A$47,B$33:B$47),_xlfn.XLOOKUP(G59,A$33:A$47,B$33:B$47) &amp; " Star " &amp; _xlfn.XLOOKUP(G59,A$33:A$47,C$33:C$47) &amp; "%"),_xlfn.XLOOKUP(G59,A$63:A$92,B$63:B$92)),"Not in war")</f>
        <v/>
      </c>
      <c r="L59" s="7">
        <f>IFERROR(IF($E$3=15,IF(_xlfn.XLOOKUP(G59,A$48:A$62,B$48:B$62) = "Missed Hit",_xlfn.XLOOKUP(G59,A$48:A$62,B$48:B$62),_xlfn.XLOOKUP(G59,A$48:A$62,B$48:B$62) &amp; " Star " &amp; _xlfn.XLOOKUP(G59,A$48:A$62,C$48:C$62) &amp; "%"),_xlfn.XLOOKUP(G59,A$93:A$122,B$93:B$122)),"Not in war")</f>
        <v/>
      </c>
      <c r="M59" s="7">
        <f>IFERROR(IF($E$3=15,IF(_xlfn.XLOOKUP(G59,A$63:A$77,B$63:B$77) = "Missed Hit",_xlfn.XLOOKUP(G59,A$63:A$77,B$63:B$77),_xlfn.XLOOKUP(G59,A$63:A$77,B$63:B$77) &amp; " Star " &amp; _xlfn.XLOOKUP(G59,A$63:A$77,C$63:C$77) &amp; "%"),_xlfn.XLOOKUP(G59,A$123:A$152,B$123:B$152)),"Not in war")</f>
        <v/>
      </c>
      <c r="N59" s="7">
        <f>IFERROR(IF($E$3=15,IF(_xlfn.XLOOKUP(G59,A$78:A$92,B$78:B$92) = "Missed Hit",_xlfn.XLOOKUP(G59,A$78:A$92,B$78:B$92),_xlfn.XLOOKUP(G59,A$78:A$92,B$78:B$92) &amp; " Star " &amp; _xlfn.XLOOKUP(G59,A$78:A$92,C$78:C$92) &amp; "%"),_xlfn.XLOOKUP(G59,A$153:A$182,B$153:B$182)),"Not in war")</f>
        <v/>
      </c>
      <c r="O59" s="6">
        <f>IFERROR(IF($E$3=15,IF(_xlfn.XLOOKUP(G59,A$93:A$107,B$93:B$107) = "Missed Hit",_xlfn.XLOOKUP(G59,A$93:A$107,B$93:B$107),_xlfn.XLOOKUP(G59,A$93:A$107,B$93:B$107) &amp; " Star " &amp; _xlfn.XLOOKUP(G59,A$93:A$107,C$93:C$107) &amp; "%"),_xlfn.XLOOKUP(G59,A$153:A$182,B$153:B$182)),"Not in war")</f>
        <v/>
      </c>
      <c r="Q59" s="16">
        <f>IFERROR($R59/(3*(7-$Y59)),0)</f>
        <v/>
      </c>
      <c r="R59" s="14">
        <f>3*S59+2*T59+U59</f>
        <v/>
      </c>
      <c r="S59" s="17">
        <f>COUNTIF($I59:$O59, 3 &amp; "*")</f>
        <v/>
      </c>
      <c r="T59" s="17">
        <f>COUNTIF($I59:$O59, 2 &amp; "*")</f>
        <v/>
      </c>
      <c r="U59" s="17">
        <f>COUNTIF($I59:$O59,1)</f>
        <v/>
      </c>
      <c r="V59" s="17">
        <f>COUNTIF($I59:$O59, 0 &amp; "*")</f>
        <v/>
      </c>
      <c r="W59" s="17">
        <f>COUNTIF($I59:$O59,"Missed hit")</f>
        <v/>
      </c>
      <c r="X59" s="17">
        <f>IF($E$3=15,SUM(_xlfn.XLOOKUP(G59,$A$3:$A$17,$C$3:$C$17,0),_xlfn.XLOOKUP(G59,$A$18:$A$32,$C$18:$C$32,0),_xlfn.XLOOKUP(G59,$A$33:$A$47,$C$33:$C$47,0), _xlfn.XLOOKUP(G59,$A$48:$A$62,$C$48:$C$62,0), _xlfn.XLOOKUP(G59,$A$63:$A$77,$C$63:$C$77,0), _xlfn.XLOOKUP(G59,$A$78:$A$92,$C$78:$C$92,0), _xlfn.XLOOKUP(G59,$A$93:$A$107,$C$93:$C$107,0)))</f>
        <v/>
      </c>
      <c r="Y59" s="17">
        <f>COUNTIF($I59:$O59,"Not in war")</f>
        <v/>
      </c>
      <c r="AB59" s="61" t="n">
        <v>0</v>
      </c>
      <c r="AC59" s="58" t="n">
        <v>0</v>
      </c>
      <c r="AD59" s="8" t="n">
        <v>0</v>
      </c>
      <c r="AE59" s="8" t="n">
        <v>0</v>
      </c>
      <c r="AF59" s="7" t="n">
        <v>0</v>
      </c>
      <c r="AG59" s="7" t="n">
        <v>0</v>
      </c>
      <c r="AH59" s="7" t="n">
        <v>0</v>
      </c>
      <c r="AI59" s="6" t="n">
        <v>0</v>
      </c>
      <c r="AJ59" s="55" t="n">
        <v>0</v>
      </c>
      <c r="AK59" s="16" t="n">
        <v>0</v>
      </c>
      <c r="AL59" s="14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b">
        <v>0</v>
      </c>
      <c r="AS59" s="17" t="n">
        <v>0</v>
      </c>
    </row>
    <row r="60" ht="18" customFormat="1" customHeight="1" s="3">
      <c r="A60" s="30" t="n"/>
      <c r="B60" s="40" t="n"/>
      <c r="C60" s="40" t="n"/>
      <c r="D60" s="30" t="n"/>
      <c r="E60" s="34" t="n"/>
      <c r="F60" s="30" t="n"/>
      <c r="G60" s="9" t="n"/>
      <c r="H60" s="20" t="n"/>
      <c r="I60" s="8">
        <f>IFERROR(IF($E$3=15,IF(_xlfn.XLOOKUP(G60,A$3:A$17,B$3:B$17) = "Missed Hit",_xlfn.XLOOKUP(G60,A$3:A$17,B$3:B$17),_xlfn.XLOOKUP(G60,A$3:A$17,B$3:B$17) &amp; " Star " &amp; _xlfn.XLOOKUP(G60,A$3:A$17,C$3:C$17) &amp; "%"),_xlfn.XLOOKUP(G60,A$3:A$32,B$3:B$32)),"Not in war")</f>
        <v/>
      </c>
      <c r="J60" s="8">
        <f>IFERROR(IF($E$3=15,IF(_xlfn.XLOOKUP(G60,A$18:A$32,B$18:B$32) = "Missed Hit",_xlfn.XLOOKUP(G60,A$18:A$32,B$18:B$32),_xlfn.XLOOKUP(G60,A$18:A$32,B$18:B$32) &amp; " Star " &amp; _xlfn.XLOOKUP(G60,A$18:A$32,C$18:C$32) &amp; "%"),_xlfn.XLOOKUP(G60,A$33:A$62,B$33:B$62)),"Not in war")</f>
        <v/>
      </c>
      <c r="K60" s="8">
        <f>IFERROR(IF($E$3=15,IF(_xlfn.XLOOKUP(G60,A$33:A$47,B$33:B$47) = "Missed Hit",_xlfn.XLOOKUP(G60,A$33:A$47,B$33:B$47),_xlfn.XLOOKUP(G60,A$33:A$47,B$33:B$47) &amp; " Star " &amp; _xlfn.XLOOKUP(G60,A$33:A$47,C$33:C$47) &amp; "%"),_xlfn.XLOOKUP(G60,A$63:A$92,B$63:B$92)),"Not in war")</f>
        <v/>
      </c>
      <c r="L60" s="7">
        <f>IFERROR(IF($E$3=15,IF(_xlfn.XLOOKUP(G60,A$48:A$62,B$48:B$62) = "Missed Hit",_xlfn.XLOOKUP(G60,A$48:A$62,B$48:B$62),_xlfn.XLOOKUP(G60,A$48:A$62,B$48:B$62) &amp; " Star " &amp; _xlfn.XLOOKUP(G60,A$48:A$62,C$48:C$62) &amp; "%"),_xlfn.XLOOKUP(G60,A$93:A$122,B$93:B$122)),"Not in war")</f>
        <v/>
      </c>
      <c r="M60" s="7">
        <f>IFERROR(IF($E$3=15,IF(_xlfn.XLOOKUP(G60,A$63:A$77,B$63:B$77) = "Missed Hit",_xlfn.XLOOKUP(G60,A$63:A$77,B$63:B$77),_xlfn.XLOOKUP(G60,A$63:A$77,B$63:B$77) &amp; " Star " &amp; _xlfn.XLOOKUP(G60,A$63:A$77,C$63:C$77) &amp; "%"),_xlfn.XLOOKUP(G60,A$123:A$152,B$123:B$152)),"Not in war")</f>
        <v/>
      </c>
      <c r="N60" s="7">
        <f>IFERROR(IF($E$3=15,IF(_xlfn.XLOOKUP(G60,A$78:A$92,B$78:B$92) = "Missed Hit",_xlfn.XLOOKUP(G60,A$78:A$92,B$78:B$92),_xlfn.XLOOKUP(G60,A$78:A$92,B$78:B$92) &amp; " Star " &amp; _xlfn.XLOOKUP(G60,A$78:A$92,C$78:C$92) &amp; "%"),_xlfn.XLOOKUP(G60,A$153:A$182,B$153:B$182)),"Not in war")</f>
        <v/>
      </c>
      <c r="O60" s="6">
        <f>IFERROR(IF($E$3=15,IF(_xlfn.XLOOKUP(G60,A$93:A$107,B$93:B$107) = "Missed Hit",_xlfn.XLOOKUP(G60,A$93:A$107,B$93:B$107),_xlfn.XLOOKUP(G60,A$93:A$107,B$93:B$107) &amp; " Star " &amp; _xlfn.XLOOKUP(G60,A$93:A$107,C$93:C$107) &amp; "%"),_xlfn.XLOOKUP(G60,A$153:A$182,B$153:B$182)),"Not in war")</f>
        <v/>
      </c>
      <c r="Q60" s="16">
        <f>IFERROR($R60/(3*(7-$Y60)),0)</f>
        <v/>
      </c>
      <c r="R60" s="14">
        <f>3*S60+2*T60+U60</f>
        <v/>
      </c>
      <c r="S60" s="17">
        <f>COUNTIF($I60:$O60, 3 &amp; "*")</f>
        <v/>
      </c>
      <c r="T60" s="17">
        <f>COUNTIF($I60:$O60, 2 &amp; "*")</f>
        <v/>
      </c>
      <c r="U60" s="17">
        <f>COUNTIF($I60:$O60,1)</f>
        <v/>
      </c>
      <c r="V60" s="17">
        <f>COUNTIF($I60:$O60, 0 &amp; "*")</f>
        <v/>
      </c>
      <c r="W60" s="17">
        <f>COUNTIF($I60:$O60,"Missed hit")</f>
        <v/>
      </c>
      <c r="X60" s="17">
        <f>IF($E$3=15,SUM(_xlfn.XLOOKUP(G60,$A$3:$A$17,$C$3:$C$17,0),_xlfn.XLOOKUP(G60,$A$18:$A$32,$C$18:$C$32,0),_xlfn.XLOOKUP(G60,$A$33:$A$47,$C$33:$C$47,0), _xlfn.XLOOKUP(G60,$A$48:$A$62,$C$48:$C$62,0), _xlfn.XLOOKUP(G60,$A$63:$A$77,$C$63:$C$77,0), _xlfn.XLOOKUP(G60,$A$78:$A$92,$C$78:$C$92,0), _xlfn.XLOOKUP(G60,$A$93:$A$107,$C$93:$C$107,0)))</f>
        <v/>
      </c>
      <c r="Y60" s="17">
        <f>COUNTIF($I60:$O60,"Not in war")</f>
        <v/>
      </c>
      <c r="AB60" s="61" t="n">
        <v>0</v>
      </c>
      <c r="AC60" s="58" t="n">
        <v>0</v>
      </c>
      <c r="AD60" s="8" t="n">
        <v>0</v>
      </c>
      <c r="AE60" s="8" t="n">
        <v>0</v>
      </c>
      <c r="AF60" s="7" t="n">
        <v>0</v>
      </c>
      <c r="AG60" s="7" t="n">
        <v>0</v>
      </c>
      <c r="AH60" s="7" t="n">
        <v>0</v>
      </c>
      <c r="AI60" s="6" t="n">
        <v>0</v>
      </c>
      <c r="AJ60" s="55" t="n">
        <v>0</v>
      </c>
      <c r="AK60" s="16" t="n">
        <v>0</v>
      </c>
      <c r="AL60" s="14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b">
        <v>0</v>
      </c>
      <c r="AS60" s="17" t="n">
        <v>0</v>
      </c>
    </row>
    <row r="61" ht="18" customFormat="1" customHeight="1" s="3">
      <c r="A61" s="30" t="n"/>
      <c r="B61" s="40" t="n"/>
      <c r="C61" s="40" t="n"/>
      <c r="D61" s="30" t="n"/>
      <c r="E61" s="34" t="n"/>
      <c r="F61" s="30" t="n"/>
      <c r="G61" s="9" t="n"/>
      <c r="H61" s="20" t="n"/>
      <c r="I61" s="8">
        <f>IFERROR(IF($E$3=15,IF(_xlfn.XLOOKUP(G61,A$3:A$17,B$3:B$17) = "Missed Hit",_xlfn.XLOOKUP(G61,A$3:A$17,B$3:B$17),_xlfn.XLOOKUP(G61,A$3:A$17,B$3:B$17) &amp; " Star " &amp; _xlfn.XLOOKUP(G61,A$3:A$17,C$3:C$17) &amp; "%"),_xlfn.XLOOKUP(G61,A$3:A$32,B$3:B$32)),"Not in war")</f>
        <v/>
      </c>
      <c r="J61" s="8">
        <f>IFERROR(IF($E$3=15,IF(_xlfn.XLOOKUP(G61,A$18:A$32,B$18:B$32) = "Missed Hit",_xlfn.XLOOKUP(G61,A$18:A$32,B$18:B$32),_xlfn.XLOOKUP(G61,A$18:A$32,B$18:B$32) &amp; " Star " &amp; _xlfn.XLOOKUP(G61,A$18:A$32,C$18:C$32) &amp; "%"),_xlfn.XLOOKUP(G61,A$33:A$62,B$33:B$62)),"Not in war")</f>
        <v/>
      </c>
      <c r="K61" s="8">
        <f>IFERROR(IF($E$3=15,IF(_xlfn.XLOOKUP(G61,A$33:A$47,B$33:B$47) = "Missed Hit",_xlfn.XLOOKUP(G61,A$33:A$47,B$33:B$47),_xlfn.XLOOKUP(G61,A$33:A$47,B$33:B$47) &amp; " Star " &amp; _xlfn.XLOOKUP(G61,A$33:A$47,C$33:C$47) &amp; "%"),_xlfn.XLOOKUP(G61,A$63:A$92,B$63:B$92)),"Not in war")</f>
        <v/>
      </c>
      <c r="L61" s="7">
        <f>IFERROR(IF($E$3=15,IF(_xlfn.XLOOKUP(G61,A$48:A$62,B$48:B$62) = "Missed Hit",_xlfn.XLOOKUP(G61,A$48:A$62,B$48:B$62),_xlfn.XLOOKUP(G61,A$48:A$62,B$48:B$62) &amp; " Star " &amp; _xlfn.XLOOKUP(G61,A$48:A$62,C$48:C$62) &amp; "%"),_xlfn.XLOOKUP(G61,A$93:A$122,B$93:B$122)),"Not in war")</f>
        <v/>
      </c>
      <c r="M61" s="7">
        <f>IFERROR(IF($E$3=15,IF(_xlfn.XLOOKUP(G61,A$63:A$77,B$63:B$77) = "Missed Hit",_xlfn.XLOOKUP(G61,A$63:A$77,B$63:B$77),_xlfn.XLOOKUP(G61,A$63:A$77,B$63:B$77) &amp; " Star " &amp; _xlfn.XLOOKUP(G61,A$63:A$77,C$63:C$77) &amp; "%"),_xlfn.XLOOKUP(G61,A$123:A$152,B$123:B$152)),"Not in war")</f>
        <v/>
      </c>
      <c r="N61" s="7">
        <f>IFERROR(IF($E$3=15,IF(_xlfn.XLOOKUP(G61,A$78:A$92,B$78:B$92) = "Missed Hit",_xlfn.XLOOKUP(G61,A$78:A$92,B$78:B$92),_xlfn.XLOOKUP(G61,A$78:A$92,B$78:B$92) &amp; " Star " &amp; _xlfn.XLOOKUP(G61,A$78:A$92,C$78:C$92) &amp; "%"),_xlfn.XLOOKUP(G61,A$153:A$182,B$153:B$182)),"Not in war")</f>
        <v/>
      </c>
      <c r="O61" s="6">
        <f>IFERROR(IF($E$3=15,IF(_xlfn.XLOOKUP(G61,A$93:A$107,B$93:B$107) = "Missed Hit",_xlfn.XLOOKUP(G61,A$93:A$107,B$93:B$107),_xlfn.XLOOKUP(G61,A$93:A$107,B$93:B$107) &amp; " Star " &amp; _xlfn.XLOOKUP(G61,A$93:A$107,C$93:C$107) &amp; "%"),_xlfn.XLOOKUP(G61,A$153:A$182,B$153:B$182)),"Not in war")</f>
        <v/>
      </c>
      <c r="Q61" s="16">
        <f>IFERROR($R61/(3*(7-$Y61)),0)</f>
        <v/>
      </c>
      <c r="R61" s="14">
        <f>3*S61+2*T61+U61</f>
        <v/>
      </c>
      <c r="S61" s="17">
        <f>COUNTIF($I61:$O61, 3 &amp; "*")</f>
        <v/>
      </c>
      <c r="T61" s="17">
        <f>COUNTIF($I61:$O61, 2 &amp; "*")</f>
        <v/>
      </c>
      <c r="U61" s="17">
        <f>COUNTIF($I61:$O61,1)</f>
        <v/>
      </c>
      <c r="V61" s="17">
        <f>COUNTIF($I61:$O61, 0 &amp; "*")</f>
        <v/>
      </c>
      <c r="W61" s="17">
        <f>COUNTIF($I61:$O61,"Missed hit")</f>
        <v/>
      </c>
      <c r="X61" s="17">
        <f>IF($E$3=15,SUM(_xlfn.XLOOKUP(G61,$A$3:$A$17,$C$3:$C$17,0),_xlfn.XLOOKUP(G61,$A$18:$A$32,$C$18:$C$32,0),_xlfn.XLOOKUP(G61,$A$33:$A$47,$C$33:$C$47,0), _xlfn.XLOOKUP(G61,$A$48:$A$62,$C$48:$C$62,0), _xlfn.XLOOKUP(G61,$A$63:$A$77,$C$63:$C$77,0), _xlfn.XLOOKUP(G61,$A$78:$A$92,$C$78:$C$92,0), _xlfn.XLOOKUP(G61,$A$93:$A$107,$C$93:$C$107,0)))</f>
        <v/>
      </c>
      <c r="Y61" s="17">
        <f>COUNTIF($I61:$O61,"Not in war")</f>
        <v/>
      </c>
      <c r="AB61" s="61" t="n">
        <v>0</v>
      </c>
      <c r="AC61" s="58" t="n">
        <v>0</v>
      </c>
      <c r="AD61" s="8" t="n">
        <v>0</v>
      </c>
      <c r="AE61" s="8" t="n">
        <v>0</v>
      </c>
      <c r="AF61" s="7" t="n">
        <v>0</v>
      </c>
      <c r="AG61" s="7" t="n">
        <v>0</v>
      </c>
      <c r="AH61" s="7" t="n">
        <v>0</v>
      </c>
      <c r="AI61" s="6" t="n">
        <v>0</v>
      </c>
      <c r="AJ61" s="55" t="n">
        <v>0</v>
      </c>
      <c r="AK61" s="16" t="n">
        <v>0</v>
      </c>
      <c r="AL61" s="14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b">
        <v>0</v>
      </c>
      <c r="AS61" s="17" t="n">
        <v>0</v>
      </c>
    </row>
    <row r="62" ht="18" customFormat="1" customHeight="1" s="3">
      <c r="A62" s="30" t="n"/>
      <c r="B62" s="40" t="n"/>
      <c r="C62" s="40" t="n"/>
      <c r="D62" s="30" t="n"/>
      <c r="E62" s="34" t="n"/>
      <c r="F62" s="30" t="n"/>
      <c r="G62" s="9" t="n"/>
      <c r="H62" s="20" t="n"/>
      <c r="I62" s="8">
        <f>IFERROR(IF($E$3=15,IF(_xlfn.XLOOKUP(G62,A$3:A$17,B$3:B$17) = "Missed Hit",_xlfn.XLOOKUP(G62,A$3:A$17,B$3:B$17),_xlfn.XLOOKUP(G62,A$3:A$17,B$3:B$17) &amp; " Star " &amp; _xlfn.XLOOKUP(G62,A$3:A$17,C$3:C$17) &amp; "%"),_xlfn.XLOOKUP(G62,A$3:A$32,B$3:B$32)),"Not in war")</f>
        <v/>
      </c>
      <c r="J62" s="8">
        <f>IFERROR(IF($E$3=15,IF(_xlfn.XLOOKUP(G62,A$18:A$32,B$18:B$32) = "Missed Hit",_xlfn.XLOOKUP(G62,A$18:A$32,B$18:B$32),_xlfn.XLOOKUP(G62,A$18:A$32,B$18:B$32) &amp; " Star " &amp; _xlfn.XLOOKUP(G62,A$18:A$32,C$18:C$32) &amp; "%"),_xlfn.XLOOKUP(G62,A$33:A$62,B$33:B$62)),"Not in war")</f>
        <v/>
      </c>
      <c r="K62" s="8">
        <f>IFERROR(IF($E$3=15,IF(_xlfn.XLOOKUP(G62,A$33:A$47,B$33:B$47) = "Missed Hit",_xlfn.XLOOKUP(G62,A$33:A$47,B$33:B$47),_xlfn.XLOOKUP(G62,A$33:A$47,B$33:B$47) &amp; " Star " &amp; _xlfn.XLOOKUP(G62,A$33:A$47,C$33:C$47) &amp; "%"),_xlfn.XLOOKUP(G62,A$63:A$92,B$63:B$92)),"Not in war")</f>
        <v/>
      </c>
      <c r="L62" s="7">
        <f>IFERROR(IF($E$3=15,IF(_xlfn.XLOOKUP(G62,A$48:A$62,B$48:B$62) = "Missed Hit",_xlfn.XLOOKUP(G62,A$48:A$62,B$48:B$62),_xlfn.XLOOKUP(G62,A$48:A$62,B$48:B$62) &amp; " Star " &amp; _xlfn.XLOOKUP(G62,A$48:A$62,C$48:C$62) &amp; "%"),_xlfn.XLOOKUP(G62,A$93:A$122,B$93:B$122)),"Not in war")</f>
        <v/>
      </c>
      <c r="M62" s="7">
        <f>IFERROR(IF($E$3=15,IF(_xlfn.XLOOKUP(G62,A$63:A$77,B$63:B$77) = "Missed Hit",_xlfn.XLOOKUP(G62,A$63:A$77,B$63:B$77),_xlfn.XLOOKUP(G62,A$63:A$77,B$63:B$77) &amp; " Star " &amp; _xlfn.XLOOKUP(G62,A$63:A$77,C$63:C$77) &amp; "%"),_xlfn.XLOOKUP(G62,A$123:A$152,B$123:B$152)),"Not in war")</f>
        <v/>
      </c>
      <c r="N62" s="7">
        <f>IFERROR(IF($E$3=15,IF(_xlfn.XLOOKUP(G62,A$78:A$92,B$78:B$92) = "Missed Hit",_xlfn.XLOOKUP(G62,A$78:A$92,B$78:B$92),_xlfn.XLOOKUP(G62,A$78:A$92,B$78:B$92) &amp; " Star " &amp; _xlfn.XLOOKUP(G62,A$78:A$92,C$78:C$92) &amp; "%"),_xlfn.XLOOKUP(G62,A$153:A$182,B$153:B$182)),"Not in war")</f>
        <v/>
      </c>
      <c r="O62" s="6">
        <f>IFERROR(IF($E$3=15,IF(_xlfn.XLOOKUP(G62,A$93:A$107,B$93:B$107) = "Missed Hit",_xlfn.XLOOKUP(G62,A$93:A$107,B$93:B$107),_xlfn.XLOOKUP(G62,A$93:A$107,B$93:B$107) &amp; " Star " &amp; _xlfn.XLOOKUP(G62,A$93:A$107,C$93:C$107) &amp; "%"),_xlfn.XLOOKUP(G62,A$153:A$182,B$153:B$182)),"Not in war")</f>
        <v/>
      </c>
      <c r="Q62" s="16">
        <f>IFERROR($R62/(3*(7-$Y62)),0)</f>
        <v/>
      </c>
      <c r="R62" s="14">
        <f>3*S62+2*T62+U62</f>
        <v/>
      </c>
      <c r="S62" s="17">
        <f>COUNTIF($I62:$O62, 3 &amp; "*")</f>
        <v/>
      </c>
      <c r="T62" s="17">
        <f>COUNTIF($I62:$O62, 2 &amp; "*")</f>
        <v/>
      </c>
      <c r="U62" s="17">
        <f>COUNTIF($I62:$O62,1)</f>
        <v/>
      </c>
      <c r="V62" s="17">
        <f>COUNTIF($I62:$O62, 0 &amp; "*")</f>
        <v/>
      </c>
      <c r="W62" s="17">
        <f>COUNTIF($I62:$O62,"Missed hit")</f>
        <v/>
      </c>
      <c r="X62" s="17">
        <f>IF($E$3=15,SUM(_xlfn.XLOOKUP(G62,$A$3:$A$17,$C$3:$C$17,0),_xlfn.XLOOKUP(G62,$A$18:$A$32,$C$18:$C$32,0),_xlfn.XLOOKUP(G62,$A$33:$A$47,$C$33:$C$47,0), _xlfn.XLOOKUP(G62,$A$48:$A$62,$C$48:$C$62,0), _xlfn.XLOOKUP(G62,$A$63:$A$77,$C$63:$C$77,0), _xlfn.XLOOKUP(G62,$A$78:$A$92,$C$78:$C$92,0), _xlfn.XLOOKUP(G62,$A$93:$A$107,$C$93:$C$107,0)))</f>
        <v/>
      </c>
      <c r="Y62" s="17">
        <f>COUNTIF($I62:$O62,"Not in war")</f>
        <v/>
      </c>
      <c r="AB62" s="61" t="n">
        <v>0</v>
      </c>
      <c r="AC62" s="58" t="n">
        <v>0</v>
      </c>
      <c r="AD62" s="8" t="n">
        <v>0</v>
      </c>
      <c r="AE62" s="8" t="n">
        <v>0</v>
      </c>
      <c r="AF62" s="7" t="n">
        <v>0</v>
      </c>
      <c r="AG62" s="7" t="n">
        <v>0</v>
      </c>
      <c r="AH62" s="7" t="n">
        <v>0</v>
      </c>
      <c r="AI62" s="6" t="n">
        <v>0</v>
      </c>
      <c r="AJ62" s="55" t="n">
        <v>0</v>
      </c>
      <c r="AK62" s="16" t="n">
        <v>0</v>
      </c>
      <c r="AL62" s="14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b">
        <v>0</v>
      </c>
      <c r="AS62" s="17" t="n">
        <v>0</v>
      </c>
    </row>
    <row r="63" ht="18" customFormat="1" customHeight="1" s="3">
      <c r="A63" s="30" t="n"/>
      <c r="B63" s="40" t="n"/>
      <c r="C63" s="40" t="n"/>
      <c r="D63" s="30" t="n"/>
      <c r="E63" s="34" t="n"/>
      <c r="F63" s="30" t="n"/>
      <c r="G63" s="9" t="n"/>
      <c r="H63" s="20" t="n"/>
      <c r="I63" s="8">
        <f>IFERROR(IF($E$3=15,IF(_xlfn.XLOOKUP(G63,A$3:A$17,B$3:B$17) = "Missed Hit",_xlfn.XLOOKUP(G63,A$3:A$17,B$3:B$17),_xlfn.XLOOKUP(G63,A$3:A$17,B$3:B$17) &amp; " Star " &amp; _xlfn.XLOOKUP(G63,A$3:A$17,C$3:C$17) &amp; "%"),_xlfn.XLOOKUP(G63,A$3:A$32,B$3:B$32)),"Not in war")</f>
        <v/>
      </c>
      <c r="J63" s="8">
        <f>IFERROR(IF($E$3=15,IF(_xlfn.XLOOKUP(G63,A$18:A$32,B$18:B$32) = "Missed Hit",_xlfn.XLOOKUP(G63,A$18:A$32,B$18:B$32),_xlfn.XLOOKUP(G63,A$18:A$32,B$18:B$32) &amp; " Star " &amp; _xlfn.XLOOKUP(G63,A$18:A$32,C$18:C$32) &amp; "%"),_xlfn.XLOOKUP(G63,A$33:A$62,B$33:B$62)),"Not in war")</f>
        <v/>
      </c>
      <c r="K63" s="8">
        <f>IFERROR(IF($E$3=15,IF(_xlfn.XLOOKUP(G63,A$33:A$47,B$33:B$47) = "Missed Hit",_xlfn.XLOOKUP(G63,A$33:A$47,B$33:B$47),_xlfn.XLOOKUP(G63,A$33:A$47,B$33:B$47) &amp; " Star " &amp; _xlfn.XLOOKUP(G63,A$33:A$47,C$33:C$47) &amp; "%"),_xlfn.XLOOKUP(G63,A$63:A$92,B$63:B$92)),"Not in war")</f>
        <v/>
      </c>
      <c r="L63" s="7">
        <f>IFERROR(IF($E$3=15,IF(_xlfn.XLOOKUP(G63,A$48:A$62,B$48:B$62) = "Missed Hit",_xlfn.XLOOKUP(G63,A$48:A$62,B$48:B$62),_xlfn.XLOOKUP(G63,A$48:A$62,B$48:B$62) &amp; " Star " &amp; _xlfn.XLOOKUP(G63,A$48:A$62,C$48:C$62) &amp; "%"),_xlfn.XLOOKUP(G63,A$93:A$122,B$93:B$122)),"Not in war")</f>
        <v/>
      </c>
      <c r="M63" s="7">
        <f>IFERROR(IF($E$3=15,IF(_xlfn.XLOOKUP(G63,A$63:A$77,B$63:B$77) = "Missed Hit",_xlfn.XLOOKUP(G63,A$63:A$77,B$63:B$77),_xlfn.XLOOKUP(G63,A$63:A$77,B$63:B$77) &amp; " Star " &amp; _xlfn.XLOOKUP(G63,A$63:A$77,C$63:C$77) &amp; "%"),_xlfn.XLOOKUP(G63,A$123:A$152,B$123:B$152)),"Not in war")</f>
        <v/>
      </c>
      <c r="N63" s="7">
        <f>IFERROR(IF($E$3=15,IF(_xlfn.XLOOKUP(G63,A$78:A$92,B$78:B$92) = "Missed Hit",_xlfn.XLOOKUP(G63,A$78:A$92,B$78:B$92),_xlfn.XLOOKUP(G63,A$78:A$92,B$78:B$92) &amp; " Star " &amp; _xlfn.XLOOKUP(G63,A$78:A$92,C$78:C$92) &amp; "%"),_xlfn.XLOOKUP(G63,A$153:A$182,B$153:B$182)),"Not in war")</f>
        <v/>
      </c>
      <c r="O63" s="6">
        <f>IFERROR(IF($E$3=15,IF(_xlfn.XLOOKUP(G63,A$93:A$107,B$93:B$107) = "Missed Hit",_xlfn.XLOOKUP(G63,A$93:A$107,B$93:B$107),_xlfn.XLOOKUP(G63,A$93:A$107,B$93:B$107) &amp; " Star " &amp; _xlfn.XLOOKUP(G63,A$93:A$107,C$93:C$107) &amp; "%"),_xlfn.XLOOKUP(G63,A$153:A$182,B$153:B$182)),"Not in war")</f>
        <v/>
      </c>
      <c r="Q63" s="16">
        <f>IFERROR($R63/(3*(7-$Y63)),0)</f>
        <v/>
      </c>
      <c r="R63" s="14">
        <f>3*S63+2*T63+U63</f>
        <v/>
      </c>
      <c r="S63" s="17">
        <f>COUNTIF($I63:$O63, 3 &amp; "*")</f>
        <v/>
      </c>
      <c r="T63" s="17">
        <f>COUNTIF($I63:$O63, 2 &amp; "*")</f>
        <v/>
      </c>
      <c r="U63" s="17">
        <f>COUNTIF($I63:$O63,1)</f>
        <v/>
      </c>
      <c r="V63" s="17">
        <f>COUNTIF($I63:$O63, 0 &amp; "*")</f>
        <v/>
      </c>
      <c r="W63" s="17">
        <f>COUNTIF($I63:$O63,"Missed hit")</f>
        <v/>
      </c>
      <c r="X63" s="17">
        <f>IF($E$3=15,SUM(_xlfn.XLOOKUP(G63,$A$3:$A$17,$C$3:$C$17,0),_xlfn.XLOOKUP(G63,$A$18:$A$32,$C$18:$C$32,0),_xlfn.XLOOKUP(G63,$A$33:$A$47,$C$33:$C$47,0), _xlfn.XLOOKUP(G63,$A$48:$A$62,$C$48:$C$62,0), _xlfn.XLOOKUP(G63,$A$63:$A$77,$C$63:$C$77,0), _xlfn.XLOOKUP(G63,$A$78:$A$92,$C$78:$C$92,0), _xlfn.XLOOKUP(G63,$A$93:$A$107,$C$93:$C$107,0)))</f>
        <v/>
      </c>
      <c r="Y63" s="17">
        <f>COUNTIF($I63:$O63,"Not in war")</f>
        <v/>
      </c>
      <c r="AB63" s="61" t="n">
        <v>0</v>
      </c>
      <c r="AC63" s="58" t="n">
        <v>0</v>
      </c>
      <c r="AD63" s="8" t="n">
        <v>0</v>
      </c>
      <c r="AE63" s="8" t="n">
        <v>0</v>
      </c>
      <c r="AF63" s="7" t="n">
        <v>0</v>
      </c>
      <c r="AG63" s="7" t="n">
        <v>0</v>
      </c>
      <c r="AH63" s="7" t="n">
        <v>0</v>
      </c>
      <c r="AI63" s="6" t="n">
        <v>0</v>
      </c>
      <c r="AJ63" s="55" t="n">
        <v>0</v>
      </c>
      <c r="AK63" s="16" t="n">
        <v>0</v>
      </c>
      <c r="AL63" s="14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b">
        <v>0</v>
      </c>
      <c r="AS63" s="17" t="n">
        <v>0</v>
      </c>
    </row>
    <row r="64" ht="18" customFormat="1" customHeight="1" s="3">
      <c r="A64" s="30" t="n"/>
      <c r="B64" s="40" t="n"/>
      <c r="C64" s="40" t="n"/>
      <c r="D64" s="30" t="n"/>
      <c r="E64" s="34" t="n"/>
      <c r="F64" s="30" t="n"/>
      <c r="G64" s="9" t="n"/>
      <c r="H64" s="20" t="n"/>
      <c r="I64" s="8">
        <f>IFERROR(IF($E$3=15,IF(_xlfn.XLOOKUP(G64,A$3:A$17,B$3:B$17) = "Missed Hit",_xlfn.XLOOKUP(G64,A$3:A$17,B$3:B$17),_xlfn.XLOOKUP(G64,A$3:A$17,B$3:B$17) &amp; " Star " &amp; _xlfn.XLOOKUP(G64,A$3:A$17,C$3:C$17) &amp; "%"),_xlfn.XLOOKUP(G64,A$3:A$32,B$3:B$32)),"Not in war")</f>
        <v/>
      </c>
      <c r="J64" s="8">
        <f>IFERROR(IF($E$3=15,IF(_xlfn.XLOOKUP(G64,A$18:A$32,B$18:B$32) = "Missed Hit",_xlfn.XLOOKUP(G64,A$18:A$32,B$18:B$32),_xlfn.XLOOKUP(G64,A$18:A$32,B$18:B$32) &amp; " Star " &amp; _xlfn.XLOOKUP(G64,A$18:A$32,C$18:C$32) &amp; "%"),_xlfn.XLOOKUP(G64,A$33:A$62,B$33:B$62)),"Not in war")</f>
        <v/>
      </c>
      <c r="K64" s="8">
        <f>IFERROR(IF($E$3=15,IF(_xlfn.XLOOKUP(G64,A$33:A$47,B$33:B$47) = "Missed Hit",_xlfn.XLOOKUP(G64,A$33:A$47,B$33:B$47),_xlfn.XLOOKUP(G64,A$33:A$47,B$33:B$47) &amp; " Star " &amp; _xlfn.XLOOKUP(G64,A$33:A$47,C$33:C$47) &amp; "%"),_xlfn.XLOOKUP(G64,A$63:A$92,B$63:B$92)),"Not in war")</f>
        <v/>
      </c>
      <c r="L64" s="7">
        <f>IFERROR(IF($E$3=15,IF(_xlfn.XLOOKUP(G64,A$48:A$62,B$48:B$62) = "Missed Hit",_xlfn.XLOOKUP(G64,A$48:A$62,B$48:B$62),_xlfn.XLOOKUP(G64,A$48:A$62,B$48:B$62) &amp; " Star " &amp; _xlfn.XLOOKUP(G64,A$48:A$62,C$48:C$62) &amp; "%"),_xlfn.XLOOKUP(G64,A$93:A$122,B$93:B$122)),"Not in war")</f>
        <v/>
      </c>
      <c r="M64" s="7">
        <f>IFERROR(IF($E$3=15,IF(_xlfn.XLOOKUP(G64,A$63:A$77,B$63:B$77) = "Missed Hit",_xlfn.XLOOKUP(G64,A$63:A$77,B$63:B$77),_xlfn.XLOOKUP(G64,A$63:A$77,B$63:B$77) &amp; " Star " &amp; _xlfn.XLOOKUP(G64,A$63:A$77,C$63:C$77) &amp; "%"),_xlfn.XLOOKUP(G64,A$123:A$152,B$123:B$152)),"Not in war")</f>
        <v/>
      </c>
      <c r="N64" s="7">
        <f>IFERROR(IF($E$3=15,IF(_xlfn.XLOOKUP(G64,A$78:A$92,B$78:B$92) = "Missed Hit",_xlfn.XLOOKUP(G64,A$78:A$92,B$78:B$92),_xlfn.XLOOKUP(G64,A$78:A$92,B$78:B$92) &amp; " Star " &amp; _xlfn.XLOOKUP(G64,A$78:A$92,C$78:C$92) &amp; "%"),_xlfn.XLOOKUP(G64,A$153:A$182,B$153:B$182)),"Not in war")</f>
        <v/>
      </c>
      <c r="O64" s="6">
        <f>IFERROR(IF($E$3=15,IF(_xlfn.XLOOKUP(G64,A$93:A$107,B$93:B$107) = "Missed Hit",_xlfn.XLOOKUP(G64,A$93:A$107,B$93:B$107),_xlfn.XLOOKUP(G64,A$93:A$107,B$93:B$107) &amp; " Star " &amp; _xlfn.XLOOKUP(G64,A$93:A$107,C$93:C$107) &amp; "%"),_xlfn.XLOOKUP(G64,A$153:A$182,B$153:B$182)),"Not in war")</f>
        <v/>
      </c>
      <c r="Q64" s="16">
        <f>IFERROR($R64/(3*(7-$Y64)),0)</f>
        <v/>
      </c>
      <c r="R64" s="14">
        <f>3*S64+2*T64+U64</f>
        <v/>
      </c>
      <c r="S64" s="17">
        <f>COUNTIF($I64:$O64, 3 &amp; "*")</f>
        <v/>
      </c>
      <c r="T64" s="17">
        <f>COUNTIF($I64:$O64, 2 &amp; "*")</f>
        <v/>
      </c>
      <c r="U64" s="17">
        <f>COUNTIF($I64:$O64,1)</f>
        <v/>
      </c>
      <c r="V64" s="17">
        <f>COUNTIF($I64:$O64, 0 &amp; "*")</f>
        <v/>
      </c>
      <c r="W64" s="17">
        <f>COUNTIF($I64:$O64,"Missed hit")</f>
        <v/>
      </c>
      <c r="X64" s="17">
        <f>IF($E$3=15,SUM(_xlfn.XLOOKUP(G64,$A$3:$A$17,$C$3:$C$17,0),_xlfn.XLOOKUP(G64,$A$18:$A$32,$C$18:$C$32,0),_xlfn.XLOOKUP(G64,$A$33:$A$47,$C$33:$C$47,0), _xlfn.XLOOKUP(G64,$A$48:$A$62,$C$48:$C$62,0), _xlfn.XLOOKUP(G64,$A$63:$A$77,$C$63:$C$77,0), _xlfn.XLOOKUP(G64,$A$78:$A$92,$C$78:$C$92,0), _xlfn.XLOOKUP(G64,$A$93:$A$107,$C$93:$C$107,0)))</f>
        <v/>
      </c>
      <c r="Y64" s="17">
        <f>COUNTIF($I64:$O64,"Not in war")</f>
        <v/>
      </c>
      <c r="AB64" s="61" t="n">
        <v>0</v>
      </c>
      <c r="AC64" s="58" t="n">
        <v>0</v>
      </c>
      <c r="AD64" s="8" t="n">
        <v>0</v>
      </c>
      <c r="AE64" s="8" t="n">
        <v>0</v>
      </c>
      <c r="AF64" s="7" t="n">
        <v>0</v>
      </c>
      <c r="AG64" s="7" t="n">
        <v>0</v>
      </c>
      <c r="AH64" s="7" t="n">
        <v>0</v>
      </c>
      <c r="AI64" s="6" t="n">
        <v>0</v>
      </c>
      <c r="AJ64" s="55" t="n">
        <v>0</v>
      </c>
      <c r="AK64" s="16" t="n">
        <v>0</v>
      </c>
      <c r="AL64" s="14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b">
        <v>0</v>
      </c>
      <c r="AS64" s="17" t="n">
        <v>0</v>
      </c>
    </row>
    <row r="65" ht="18" customFormat="1" customHeight="1" s="3">
      <c r="A65" s="30" t="n"/>
      <c r="B65" s="40" t="n"/>
      <c r="C65" s="40" t="n"/>
      <c r="D65" s="30" t="n"/>
      <c r="E65" s="34" t="n"/>
      <c r="F65" s="30" t="n"/>
      <c r="G65" s="9" t="n"/>
      <c r="H65" s="20" t="n"/>
      <c r="I65" s="8">
        <f>IFERROR(IF($E$3=15,IF(_xlfn.XLOOKUP(G65,A$3:A$17,B$3:B$17) = "Missed Hit",_xlfn.XLOOKUP(G65,A$3:A$17,B$3:B$17),_xlfn.XLOOKUP(G65,A$3:A$17,B$3:B$17) &amp; " Star " &amp; _xlfn.XLOOKUP(G65,A$3:A$17,C$3:C$17) &amp; "%"),_xlfn.XLOOKUP(G65,A$3:A$32,B$3:B$32)),"Not in war")</f>
        <v/>
      </c>
      <c r="J65" s="8">
        <f>IFERROR(IF($E$3=15,IF(_xlfn.XLOOKUP(G65,A$18:A$32,B$18:B$32) = "Missed Hit",_xlfn.XLOOKUP(G65,A$18:A$32,B$18:B$32),_xlfn.XLOOKUP(G65,A$18:A$32,B$18:B$32) &amp; " Star " &amp; _xlfn.XLOOKUP(G65,A$18:A$32,C$18:C$32) &amp; "%"),_xlfn.XLOOKUP(G65,A$33:A$62,B$33:B$62)),"Not in war")</f>
        <v/>
      </c>
      <c r="K65" s="8">
        <f>IFERROR(IF($E$3=15,IF(_xlfn.XLOOKUP(G65,A$33:A$47,B$33:B$47) = "Missed Hit",_xlfn.XLOOKUP(G65,A$33:A$47,B$33:B$47),_xlfn.XLOOKUP(G65,A$33:A$47,B$33:B$47) &amp; " Star " &amp; _xlfn.XLOOKUP(G65,A$33:A$47,C$33:C$47) &amp; "%"),_xlfn.XLOOKUP(G65,A$63:A$92,B$63:B$92)),"Not in war")</f>
        <v/>
      </c>
      <c r="L65" s="7">
        <f>IFERROR(IF($E$3=15,IF(_xlfn.XLOOKUP(G65,A$48:A$62,B$48:B$62) = "Missed Hit",_xlfn.XLOOKUP(G65,A$48:A$62,B$48:B$62),_xlfn.XLOOKUP(G65,A$48:A$62,B$48:B$62) &amp; " Star " &amp; _xlfn.XLOOKUP(G65,A$48:A$62,C$48:C$62) &amp; "%"),_xlfn.XLOOKUP(G65,A$93:A$122,B$93:B$122)),"Not in war")</f>
        <v/>
      </c>
      <c r="M65" s="7">
        <f>IFERROR(IF($E$3=15,IF(_xlfn.XLOOKUP(G65,A$63:A$77,B$63:B$77) = "Missed Hit",_xlfn.XLOOKUP(G65,A$63:A$77,B$63:B$77),_xlfn.XLOOKUP(G65,A$63:A$77,B$63:B$77) &amp; " Star " &amp; _xlfn.XLOOKUP(G65,A$63:A$77,C$63:C$77) &amp; "%"),_xlfn.XLOOKUP(G65,A$123:A$152,B$123:B$152)),"Not in war")</f>
        <v/>
      </c>
      <c r="N65" s="7">
        <f>IFERROR(IF($E$3=15,IF(_xlfn.XLOOKUP(G65,A$78:A$92,B$78:B$92) = "Missed Hit",_xlfn.XLOOKUP(G65,A$78:A$92,B$78:B$92),_xlfn.XLOOKUP(G65,A$78:A$92,B$78:B$92) &amp; " Star " &amp; _xlfn.XLOOKUP(G65,A$78:A$92,C$78:C$92) &amp; "%"),_xlfn.XLOOKUP(G65,A$153:A$182,B$153:B$182)),"Not in war")</f>
        <v/>
      </c>
      <c r="O65" s="6">
        <f>IFERROR(IF($E$3=15,IF(_xlfn.XLOOKUP(G65,A$93:A$107,B$93:B$107) = "Missed Hit",_xlfn.XLOOKUP(G65,A$93:A$107,B$93:B$107),_xlfn.XLOOKUP(G65,A$93:A$107,B$93:B$107) &amp; " Star " &amp; _xlfn.XLOOKUP(G65,A$93:A$107,C$93:C$107) &amp; "%"),_xlfn.XLOOKUP(G65,A$153:A$182,B$153:B$182)),"Not in war")</f>
        <v/>
      </c>
      <c r="Q65" s="16">
        <f>IFERROR($R65/(3*(7-$Y65)),0)</f>
        <v/>
      </c>
      <c r="R65" s="14">
        <f>3*S65+2*T65+U65</f>
        <v/>
      </c>
      <c r="S65" s="17">
        <f>COUNTIF($I65:$O65, 3 &amp; "*")</f>
        <v/>
      </c>
      <c r="T65" s="17">
        <f>COUNTIF($I65:$O65, 2 &amp; "*")</f>
        <v/>
      </c>
      <c r="U65" s="17">
        <f>COUNTIF($I65:$O65,1)</f>
        <v/>
      </c>
      <c r="V65" s="17">
        <f>COUNTIF($I65:$O65, 0 &amp; "*")</f>
        <v/>
      </c>
      <c r="W65" s="17">
        <f>COUNTIF($I65:$O65,"Missed hit")</f>
        <v/>
      </c>
      <c r="X65" s="17">
        <f>IF($E$3=15,SUM(_xlfn.XLOOKUP(G65,$A$3:$A$17,$C$3:$C$17,0),_xlfn.XLOOKUP(G65,$A$18:$A$32,$C$18:$C$32,0),_xlfn.XLOOKUP(G65,$A$33:$A$47,$C$33:$C$47,0), _xlfn.XLOOKUP(G65,$A$48:$A$62,$C$48:$C$62,0), _xlfn.XLOOKUP(G65,$A$63:$A$77,$C$63:$C$77,0), _xlfn.XLOOKUP(G65,$A$78:$A$92,$C$78:$C$92,0), _xlfn.XLOOKUP(G65,$A$93:$A$107,$C$93:$C$107,0)))</f>
        <v/>
      </c>
      <c r="Y65" s="17">
        <f>COUNTIF($I65:$O65,"Not in war")</f>
        <v/>
      </c>
      <c r="AB65" s="61" t="n">
        <v>0</v>
      </c>
      <c r="AC65" s="58" t="n">
        <v>0</v>
      </c>
      <c r="AD65" s="8" t="n">
        <v>0</v>
      </c>
      <c r="AE65" s="8" t="n">
        <v>0</v>
      </c>
      <c r="AF65" s="7" t="n">
        <v>0</v>
      </c>
      <c r="AG65" s="7" t="n">
        <v>0</v>
      </c>
      <c r="AH65" s="7" t="n">
        <v>0</v>
      </c>
      <c r="AI65" s="6" t="n">
        <v>0</v>
      </c>
      <c r="AJ65" s="55" t="n">
        <v>0</v>
      </c>
      <c r="AK65" s="16" t="n">
        <v>0</v>
      </c>
      <c r="AL65" s="14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b">
        <v>0</v>
      </c>
      <c r="AS65" s="17" t="n">
        <v>0</v>
      </c>
    </row>
    <row r="66" ht="18" customFormat="1" customHeight="1" s="3">
      <c r="A66" s="30" t="n"/>
      <c r="B66" s="40" t="n"/>
      <c r="C66" s="40" t="n"/>
      <c r="D66" s="30" t="n"/>
      <c r="E66" s="34" t="n"/>
      <c r="F66" s="30" t="n"/>
      <c r="G66" s="9" t="n"/>
      <c r="H66" s="20" t="n"/>
      <c r="I66" s="8">
        <f>IFERROR(IF($E$3=15,IF(_xlfn.XLOOKUP(G66,A$3:A$17,B$3:B$17) = "Missed Hit",_xlfn.XLOOKUP(G66,A$3:A$17,B$3:B$17),_xlfn.XLOOKUP(G66,A$3:A$17,B$3:B$17) &amp; " Star " &amp; _xlfn.XLOOKUP(G66,A$3:A$17,C$3:C$17) &amp; "%"),_xlfn.XLOOKUP(G66,A$3:A$32,B$3:B$32)),"Not in war")</f>
        <v/>
      </c>
      <c r="J66" s="8">
        <f>IFERROR(IF($E$3=15,IF(_xlfn.XLOOKUP(G66,A$18:A$32,B$18:B$32) = "Missed Hit",_xlfn.XLOOKUP(G66,A$18:A$32,B$18:B$32),_xlfn.XLOOKUP(G66,A$18:A$32,B$18:B$32) &amp; " Star " &amp; _xlfn.XLOOKUP(G66,A$18:A$32,C$18:C$32) &amp; "%"),_xlfn.XLOOKUP(G66,A$33:A$62,B$33:B$62)),"Not in war")</f>
        <v/>
      </c>
      <c r="K66" s="8">
        <f>IFERROR(IF($E$3=15,IF(_xlfn.XLOOKUP(G66,A$33:A$47,B$33:B$47) = "Missed Hit",_xlfn.XLOOKUP(G66,A$33:A$47,B$33:B$47),_xlfn.XLOOKUP(G66,A$33:A$47,B$33:B$47) &amp; " Star " &amp; _xlfn.XLOOKUP(G66,A$33:A$47,C$33:C$47) &amp; "%"),_xlfn.XLOOKUP(G66,A$63:A$92,B$63:B$92)),"Not in war")</f>
        <v/>
      </c>
      <c r="L66" s="7">
        <f>IFERROR(IF($E$3=15,IF(_xlfn.XLOOKUP(G66,A$48:A$62,B$48:B$62) = "Missed Hit",_xlfn.XLOOKUP(G66,A$48:A$62,B$48:B$62),_xlfn.XLOOKUP(G66,A$48:A$62,B$48:B$62) &amp; " Star " &amp; _xlfn.XLOOKUP(G66,A$48:A$62,C$48:C$62) &amp; "%"),_xlfn.XLOOKUP(G66,A$93:A$122,B$93:B$122)),"Not in war")</f>
        <v/>
      </c>
      <c r="M66" s="7">
        <f>IFERROR(IF($E$3=15,IF(_xlfn.XLOOKUP(G66,A$63:A$77,B$63:B$77) = "Missed Hit",_xlfn.XLOOKUP(G66,A$63:A$77,B$63:B$77),_xlfn.XLOOKUP(G66,A$63:A$77,B$63:B$77) &amp; " Star " &amp; _xlfn.XLOOKUP(G66,A$63:A$77,C$63:C$77) &amp; "%"),_xlfn.XLOOKUP(G66,A$123:A$152,B$123:B$152)),"Not in war")</f>
        <v/>
      </c>
      <c r="N66" s="7">
        <f>IFERROR(IF($E$3=15,IF(_xlfn.XLOOKUP(G66,A$78:A$92,B$78:B$92) = "Missed Hit",_xlfn.XLOOKUP(G66,A$78:A$92,B$78:B$92),_xlfn.XLOOKUP(G66,A$78:A$92,B$78:B$92) &amp; " Star " &amp; _xlfn.XLOOKUP(G66,A$78:A$92,C$78:C$92) &amp; "%"),_xlfn.XLOOKUP(G66,A$153:A$182,B$153:B$182)),"Not in war")</f>
        <v/>
      </c>
      <c r="O66" s="6">
        <f>IFERROR(IF($E$3=15,IF(_xlfn.XLOOKUP(G66,A$93:A$107,B$93:B$107) = "Missed Hit",_xlfn.XLOOKUP(G66,A$93:A$107,B$93:B$107),_xlfn.XLOOKUP(G66,A$93:A$107,B$93:B$107) &amp; " Star " &amp; _xlfn.XLOOKUP(G66,A$93:A$107,C$93:C$107) &amp; "%"),_xlfn.XLOOKUP(G66,A$153:A$182,B$153:B$182)),"Not in war")</f>
        <v/>
      </c>
      <c r="Q66" s="16">
        <f>IFERROR($R66/(3*(7-$Y66)),0)</f>
        <v/>
      </c>
      <c r="R66" s="14">
        <f>3*S66+2*T66+U66</f>
        <v/>
      </c>
      <c r="S66" s="17">
        <f>COUNTIF($I66:$O66, 3 &amp; "*")</f>
        <v/>
      </c>
      <c r="T66" s="17">
        <f>COUNTIF($I66:$O66, 2 &amp; "*")</f>
        <v/>
      </c>
      <c r="U66" s="17">
        <f>COUNTIF($I66:$O66,1)</f>
        <v/>
      </c>
      <c r="V66" s="17">
        <f>COUNTIF($I66:$O66, 0 &amp; "*")</f>
        <v/>
      </c>
      <c r="W66" s="17">
        <f>COUNTIF($I66:$O66,"Missed hit")</f>
        <v/>
      </c>
      <c r="X66" s="17">
        <f>IF($E$3=15,SUM(_xlfn.XLOOKUP(G66,$A$3:$A$17,$C$3:$C$17,0),_xlfn.XLOOKUP(G66,$A$18:$A$32,$C$18:$C$32,0),_xlfn.XLOOKUP(G66,$A$33:$A$47,$C$33:$C$47,0), _xlfn.XLOOKUP(G66,$A$48:$A$62,$C$48:$C$62,0), _xlfn.XLOOKUP(G66,$A$63:$A$77,$C$63:$C$77,0), _xlfn.XLOOKUP(G66,$A$78:$A$92,$C$78:$C$92,0), _xlfn.XLOOKUP(G66,$A$93:$A$107,$C$93:$C$107,0)))</f>
        <v/>
      </c>
      <c r="Y66" s="17">
        <f>COUNTIF($I66:$O66,"Not in war")</f>
        <v/>
      </c>
      <c r="AB66" s="61" t="n">
        <v>0</v>
      </c>
      <c r="AC66" s="58" t="n">
        <v>0</v>
      </c>
      <c r="AD66" s="8" t="n">
        <v>0</v>
      </c>
      <c r="AE66" s="8" t="n">
        <v>0</v>
      </c>
      <c r="AF66" s="7" t="n">
        <v>0</v>
      </c>
      <c r="AG66" s="7" t="n">
        <v>0</v>
      </c>
      <c r="AH66" s="7" t="n">
        <v>0</v>
      </c>
      <c r="AI66" s="6" t="n">
        <v>0</v>
      </c>
      <c r="AJ66" s="55" t="n">
        <v>0</v>
      </c>
      <c r="AK66" s="16" t="n">
        <v>0</v>
      </c>
      <c r="AL66" s="14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b">
        <v>0</v>
      </c>
      <c r="AS66" s="17" t="n">
        <v>0</v>
      </c>
    </row>
    <row r="67" ht="18" customFormat="1" customHeight="1" s="3">
      <c r="A67" s="30" t="n"/>
      <c r="B67" s="40" t="n"/>
      <c r="C67" s="40" t="n"/>
      <c r="D67" s="30" t="n"/>
      <c r="E67" s="34" t="n"/>
      <c r="F67" s="30" t="n"/>
      <c r="G67" s="9" t="n"/>
      <c r="H67" s="20" t="n"/>
      <c r="I67" s="8">
        <f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/>
      </c>
      <c r="J67" s="8">
        <f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/>
      </c>
      <c r="K67" s="8">
        <f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/>
      </c>
      <c r="L67" s="7">
        <f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/>
      </c>
      <c r="M67" s="7">
        <f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/>
      </c>
      <c r="N67" s="7">
        <f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/>
      </c>
      <c r="O67" s="6">
        <f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/>
      </c>
      <c r="Q67" s="16">
        <f>IFERROR($R67/(3*(7-$Y67)),0)</f>
        <v/>
      </c>
      <c r="R67" s="14">
        <f>3*S67+2*T67+U67</f>
        <v/>
      </c>
      <c r="S67" s="17">
        <f>COUNTIF($I67:$O67, 3 &amp; "*")</f>
        <v/>
      </c>
      <c r="T67" s="17">
        <f>COUNTIF($I67:$O67, 2 &amp; "*")</f>
        <v/>
      </c>
      <c r="U67" s="17">
        <f>COUNTIF($I67:$O67,1)</f>
        <v/>
      </c>
      <c r="V67" s="17">
        <f>COUNTIF($I67:$O67, 0 &amp; "*")</f>
        <v/>
      </c>
      <c r="W67" s="17">
        <f>COUNTIF($I67:$O67,"Missed hit")</f>
        <v/>
      </c>
      <c r="X67" s="17">
        <f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/>
      </c>
      <c r="Y67" s="17">
        <f>COUNTIF($I67:$O67,"Not in war")</f>
        <v/>
      </c>
      <c r="AB67" s="61" t="n">
        <v>0</v>
      </c>
      <c r="AC67" s="58" t="n">
        <v>0</v>
      </c>
      <c r="AD67" s="8" t="n">
        <v>0</v>
      </c>
      <c r="AE67" s="8" t="n">
        <v>0</v>
      </c>
      <c r="AF67" s="7" t="n">
        <v>0</v>
      </c>
      <c r="AG67" s="7" t="n">
        <v>0</v>
      </c>
      <c r="AH67" s="7" t="n">
        <v>0</v>
      </c>
      <c r="AI67" s="6" t="n">
        <v>0</v>
      </c>
      <c r="AJ67" s="55" t="n">
        <v>0</v>
      </c>
      <c r="AK67" s="16" t="n">
        <v>0</v>
      </c>
      <c r="AL67" s="14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b">
        <v>0</v>
      </c>
      <c r="AS67" s="17" t="n">
        <v>0</v>
      </c>
    </row>
    <row r="68" ht="18" customFormat="1" customHeight="1" s="3">
      <c r="A68" s="30" t="n"/>
      <c r="B68" s="40" t="n"/>
      <c r="C68" s="40" t="n"/>
      <c r="D68" s="30" t="n"/>
      <c r="E68" s="34" t="n"/>
      <c r="F68" s="30" t="n"/>
      <c r="G68" s="9" t="n"/>
      <c r="H68" s="20" t="n"/>
      <c r="I68" s="8">
        <f>IFERROR(IF($E$3=15,IF(_xlfn.XLOOKUP(G68,A$3:A$17,B$3:B$17) = "Missed Hit",_xlfn.XLOOKUP(G68,A$3:A$17,B$3:B$17),_xlfn.XLOOKUP(G68,A$3:A$17,B$3:B$17) &amp; " Star " &amp; _xlfn.XLOOKUP(G68,A$3:A$17,C$3:C$17) &amp; "%"),_xlfn.XLOOKUP(G68,A$3:A$32,B$3:B$32)),"Not in war")</f>
        <v/>
      </c>
      <c r="J68" s="8">
        <f>IFERROR(IF($E$3=15,IF(_xlfn.XLOOKUP(G68,A$18:A$32,B$18:B$32) = "Missed Hit",_xlfn.XLOOKUP(G68,A$18:A$32,B$18:B$32),_xlfn.XLOOKUP(G68,A$18:A$32,B$18:B$32) &amp; " Star " &amp; _xlfn.XLOOKUP(G68,A$18:A$32,C$18:C$32) &amp; "%"),_xlfn.XLOOKUP(G68,A$33:A$62,B$33:B$62)),"Not in war")</f>
        <v/>
      </c>
      <c r="K68" s="8">
        <f>IFERROR(IF($E$3=15,IF(_xlfn.XLOOKUP(G68,A$33:A$47,B$33:B$47) = "Missed Hit",_xlfn.XLOOKUP(G68,A$33:A$47,B$33:B$47),_xlfn.XLOOKUP(G68,A$33:A$47,B$33:B$47) &amp; " Star " &amp; _xlfn.XLOOKUP(G68,A$33:A$47,C$33:C$47) &amp; "%"),_xlfn.XLOOKUP(G68,A$63:A$92,B$63:B$92)),"Not in war")</f>
        <v/>
      </c>
      <c r="L68" s="7">
        <f>IFERROR(IF($E$3=15,IF(_xlfn.XLOOKUP(G68,A$48:A$62,B$48:B$62) = "Missed Hit",_xlfn.XLOOKUP(G68,A$48:A$62,B$48:B$62),_xlfn.XLOOKUP(G68,A$48:A$62,B$48:B$62) &amp; " Star " &amp; _xlfn.XLOOKUP(G68,A$48:A$62,C$48:C$62) &amp; "%"),_xlfn.XLOOKUP(G68,A$93:A$122,B$93:B$122)),"Not in war")</f>
        <v/>
      </c>
      <c r="M68" s="7">
        <f>IFERROR(IF($E$3=15,IF(_xlfn.XLOOKUP(G68,A$63:A$77,B$63:B$77) = "Missed Hit",_xlfn.XLOOKUP(G68,A$63:A$77,B$63:B$77),_xlfn.XLOOKUP(G68,A$63:A$77,B$63:B$77) &amp; " Star " &amp; _xlfn.XLOOKUP(G68,A$63:A$77,C$63:C$77) &amp; "%"),_xlfn.XLOOKUP(G68,A$123:A$152,B$123:B$152)),"Not in war")</f>
        <v/>
      </c>
      <c r="N68" s="7">
        <f>IFERROR(IF($E$3=15,IF(_xlfn.XLOOKUP(G68,A$78:A$92,B$78:B$92) = "Missed Hit",_xlfn.XLOOKUP(G68,A$78:A$92,B$78:B$92),_xlfn.XLOOKUP(G68,A$78:A$92,B$78:B$92) &amp; " Star " &amp; _xlfn.XLOOKUP(G68,A$78:A$92,C$78:C$92) &amp; "%"),_xlfn.XLOOKUP(G68,A$153:A$182,B$153:B$182)),"Not in war")</f>
        <v/>
      </c>
      <c r="O68" s="6">
        <f>IFERROR(IF($E$3=15,IF(_xlfn.XLOOKUP(G68,A$93:A$107,B$93:B$107) = "Missed Hit",_xlfn.XLOOKUP(G68,A$93:A$107,B$93:B$107),_xlfn.XLOOKUP(G68,A$93:A$107,B$93:B$107) &amp; " Star " &amp; _xlfn.XLOOKUP(G68,A$93:A$107,C$93:C$107) &amp; "%"),_xlfn.XLOOKUP(G68,A$153:A$182,B$153:B$182)),"Not in war")</f>
        <v/>
      </c>
      <c r="Q68" s="16">
        <f>IFERROR($R68/(3*(7-$Y68)),0)</f>
        <v/>
      </c>
      <c r="R68" s="14">
        <f>3*S68+2*T68+U68</f>
        <v/>
      </c>
      <c r="S68" s="17">
        <f>COUNTIF($I68:$O68, 3 &amp; "*")</f>
        <v/>
      </c>
      <c r="T68" s="17">
        <f>COUNTIF($I68:$O68, 2 &amp; "*")</f>
        <v/>
      </c>
      <c r="U68" s="17">
        <f>COUNTIF($I68:$O68,1)</f>
        <v/>
      </c>
      <c r="V68" s="17">
        <f>COUNTIF($I68:$O68, 0 &amp; "*")</f>
        <v/>
      </c>
      <c r="W68" s="17">
        <f>COUNTIF($I68:$O68,"Missed hit")</f>
        <v/>
      </c>
      <c r="X68" s="17">
        <f>IF($E$3=15,SUM(_xlfn.XLOOKUP(G68,$A$3:$A$17,$C$3:$C$17,0),_xlfn.XLOOKUP(G68,$A$18:$A$32,$C$18:$C$32,0),_xlfn.XLOOKUP(G68,$A$33:$A$47,$C$33:$C$47,0), _xlfn.XLOOKUP(G68,$A$48:$A$62,$C$48:$C$62,0), _xlfn.XLOOKUP(G68,$A$63:$A$77,$C$63:$C$77,0), _xlfn.XLOOKUP(G68,$A$78:$A$92,$C$78:$C$92,0), _xlfn.XLOOKUP(G68,$A$93:$A$107,$C$93:$C$107,0)))</f>
        <v/>
      </c>
      <c r="Y68" s="17">
        <f>COUNTIF($I68:$O68,"Not in war")</f>
        <v/>
      </c>
      <c r="AB68" s="61" t="n">
        <v>0</v>
      </c>
      <c r="AC68" s="58" t="n">
        <v>0</v>
      </c>
      <c r="AD68" s="8" t="n">
        <v>0</v>
      </c>
      <c r="AE68" s="8" t="n">
        <v>0</v>
      </c>
      <c r="AF68" s="7" t="n">
        <v>0</v>
      </c>
      <c r="AG68" s="7" t="n">
        <v>0</v>
      </c>
      <c r="AH68" s="7" t="n">
        <v>0</v>
      </c>
      <c r="AI68" s="6" t="n">
        <v>0</v>
      </c>
      <c r="AJ68" s="55" t="n">
        <v>0</v>
      </c>
      <c r="AK68" s="16" t="n">
        <v>0</v>
      </c>
      <c r="AL68" s="14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b">
        <v>0</v>
      </c>
      <c r="AS68" s="17" t="n">
        <v>0</v>
      </c>
    </row>
    <row r="69" ht="18" customFormat="1" customHeight="1" s="3">
      <c r="A69" s="30" t="n"/>
      <c r="B69" s="40" t="n"/>
      <c r="C69" s="40" t="n"/>
      <c r="D69" s="30" t="n"/>
      <c r="E69" s="34" t="n"/>
      <c r="F69" s="30" t="n"/>
      <c r="G69" s="9" t="n"/>
      <c r="H69" s="20" t="n"/>
      <c r="I69" s="8">
        <f>IFERROR(IF($E$3=15,IF(_xlfn.XLOOKUP(G69,A$3:A$17,B$3:B$17) = "Missed Hit",_xlfn.XLOOKUP(G69,A$3:A$17,B$3:B$17),_xlfn.XLOOKUP(G69,A$3:A$17,B$3:B$17) &amp; " Star " &amp; _xlfn.XLOOKUP(G69,A$3:A$17,C$3:C$17) &amp; "%"),_xlfn.XLOOKUP(G69,A$3:A$32,B$3:B$32)),"Not in war")</f>
        <v/>
      </c>
      <c r="J69" s="8">
        <f>IFERROR(IF($E$3=15,IF(_xlfn.XLOOKUP(G69,A$18:A$32,B$18:B$32) = "Missed Hit",_xlfn.XLOOKUP(G69,A$18:A$32,B$18:B$32),_xlfn.XLOOKUP(G69,A$18:A$32,B$18:B$32) &amp; " Star " &amp; _xlfn.XLOOKUP(G69,A$18:A$32,C$18:C$32) &amp; "%"),_xlfn.XLOOKUP(G69,A$33:A$62,B$33:B$62)),"Not in war")</f>
        <v/>
      </c>
      <c r="K69" s="8">
        <f>IFERROR(IF($E$3=15,IF(_xlfn.XLOOKUP(G69,A$33:A$47,B$33:B$47) = "Missed Hit",_xlfn.XLOOKUP(G69,A$33:A$47,B$33:B$47),_xlfn.XLOOKUP(G69,A$33:A$47,B$33:B$47) &amp; " Star " &amp; _xlfn.XLOOKUP(G69,A$33:A$47,C$33:C$47) &amp; "%"),_xlfn.XLOOKUP(G69,A$63:A$92,B$63:B$92)),"Not in war")</f>
        <v/>
      </c>
      <c r="L69" s="7">
        <f>IFERROR(IF($E$3=15,IF(_xlfn.XLOOKUP(G69,A$48:A$62,B$48:B$62) = "Missed Hit",_xlfn.XLOOKUP(G69,A$48:A$62,B$48:B$62),_xlfn.XLOOKUP(G69,A$48:A$62,B$48:B$62) &amp; " Star " &amp; _xlfn.XLOOKUP(G69,A$48:A$62,C$48:C$62) &amp; "%"),_xlfn.XLOOKUP(G69,A$93:A$122,B$93:B$122)),"Not in war")</f>
        <v/>
      </c>
      <c r="M69" s="7">
        <f>IFERROR(IF($E$3=15,IF(_xlfn.XLOOKUP(G69,A$63:A$77,B$63:B$77) = "Missed Hit",_xlfn.XLOOKUP(G69,A$63:A$77,B$63:B$77),_xlfn.XLOOKUP(G69,A$63:A$77,B$63:B$77) &amp; " Star " &amp; _xlfn.XLOOKUP(G69,A$63:A$77,C$63:C$77) &amp; "%"),_xlfn.XLOOKUP(G69,A$123:A$152,B$123:B$152)),"Not in war")</f>
        <v/>
      </c>
      <c r="N69" s="7">
        <f>IFERROR(IF($E$3=15,IF(_xlfn.XLOOKUP(G69,A$78:A$92,B$78:B$92) = "Missed Hit",_xlfn.XLOOKUP(G69,A$78:A$92,B$78:B$92),_xlfn.XLOOKUP(G69,A$78:A$92,B$78:B$92) &amp; " Star " &amp; _xlfn.XLOOKUP(G69,A$78:A$92,C$78:C$92) &amp; "%"),_xlfn.XLOOKUP(G69,A$153:A$182,B$153:B$182)),"Not in war")</f>
        <v/>
      </c>
      <c r="O69" s="6">
        <f>IFERROR(IF($E$3=15,IF(_xlfn.XLOOKUP(G69,A$93:A$107,B$93:B$107) = "Missed Hit",_xlfn.XLOOKUP(G69,A$93:A$107,B$93:B$107),_xlfn.XLOOKUP(G69,A$93:A$107,B$93:B$107) &amp; " Star " &amp; _xlfn.XLOOKUP(G69,A$93:A$107,C$93:C$107) &amp; "%"),_xlfn.XLOOKUP(G69,A$153:A$182,B$153:B$182)),"Not in war")</f>
        <v/>
      </c>
      <c r="Q69" s="16">
        <f>IFERROR($R69/(3*(7-$Y69)),0)</f>
        <v/>
      </c>
      <c r="R69" s="14">
        <f>3*S69+2*T69+U69</f>
        <v/>
      </c>
      <c r="S69" s="17">
        <f>COUNTIF($I69:$O69, 3 &amp; "*")</f>
        <v/>
      </c>
      <c r="T69" s="17">
        <f>COUNTIF($I69:$O69, 2 &amp; "*")</f>
        <v/>
      </c>
      <c r="U69" s="17">
        <f>COUNTIF($I69:$O69,1)</f>
        <v/>
      </c>
      <c r="V69" s="17">
        <f>COUNTIF($I69:$O69, 0 &amp; "*")</f>
        <v/>
      </c>
      <c r="W69" s="17">
        <f>COUNTIF($I69:$O69,"Missed hit")</f>
        <v/>
      </c>
      <c r="X69" s="17">
        <f>IF($E$3=15,SUM(_xlfn.XLOOKUP(G69,$A$3:$A$17,$C$3:$C$17,0),_xlfn.XLOOKUP(G69,$A$18:$A$32,$C$18:$C$32,0),_xlfn.XLOOKUP(G69,$A$33:$A$47,$C$33:$C$47,0), _xlfn.XLOOKUP(G69,$A$48:$A$62,$C$48:$C$62,0), _xlfn.XLOOKUP(G69,$A$63:$A$77,$C$63:$C$77,0), _xlfn.XLOOKUP(G69,$A$78:$A$92,$C$78:$C$92,0), _xlfn.XLOOKUP(G69,$A$93:$A$107,$C$93:$C$107,0)))</f>
        <v/>
      </c>
      <c r="Y69" s="17">
        <f>COUNTIF($I69:$O69,"Not in war")</f>
        <v/>
      </c>
      <c r="AB69" s="61" t="n">
        <v>0</v>
      </c>
      <c r="AC69" s="58" t="n">
        <v>0</v>
      </c>
      <c r="AD69" s="8" t="n">
        <v>0</v>
      </c>
      <c r="AE69" s="8" t="n">
        <v>0</v>
      </c>
      <c r="AF69" s="7" t="n">
        <v>0</v>
      </c>
      <c r="AG69" s="7" t="n">
        <v>0</v>
      </c>
      <c r="AH69" s="7" t="n">
        <v>0</v>
      </c>
      <c r="AI69" s="6" t="n">
        <v>0</v>
      </c>
      <c r="AJ69" s="55" t="n">
        <v>0</v>
      </c>
      <c r="AK69" s="16" t="n">
        <v>0</v>
      </c>
      <c r="AL69" s="14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b">
        <v>0</v>
      </c>
      <c r="AS69" s="17" t="n">
        <v>0</v>
      </c>
    </row>
    <row r="70" ht="18" customFormat="1" customHeight="1" s="3">
      <c r="A70" s="30" t="n"/>
      <c r="B70" s="40" t="n"/>
      <c r="C70" s="40" t="n"/>
      <c r="D70" s="30" t="n"/>
      <c r="E70" s="34" t="n"/>
      <c r="F70" s="30" t="n"/>
      <c r="G70" s="9" t="n"/>
      <c r="H70" s="20" t="n"/>
      <c r="I70" s="8">
        <f>IFERROR(IF($E$3=15,IF(_xlfn.XLOOKUP(G70,A$3:A$17,B$3:B$17) = "Missed Hit",_xlfn.XLOOKUP(G70,A$3:A$17,B$3:B$17),_xlfn.XLOOKUP(G70,A$3:A$17,B$3:B$17) &amp; " Star " &amp; _xlfn.XLOOKUP(G70,A$3:A$17,C$3:C$17) &amp; "%"),_xlfn.XLOOKUP(G70,A$3:A$32,B$3:B$32)),"Not in war")</f>
        <v/>
      </c>
      <c r="J70" s="8">
        <f>IFERROR(IF($E$3=15,IF(_xlfn.XLOOKUP(G70,A$18:A$32,B$18:B$32) = "Missed Hit",_xlfn.XLOOKUP(G70,A$18:A$32,B$18:B$32),_xlfn.XLOOKUP(G70,A$18:A$32,B$18:B$32) &amp; " Star " &amp; _xlfn.XLOOKUP(G70,A$18:A$32,C$18:C$32) &amp; "%"),_xlfn.XLOOKUP(G70,A$33:A$62,B$33:B$62)),"Not in war")</f>
        <v/>
      </c>
      <c r="K70" s="8">
        <f>IFERROR(IF($E$3=15,IF(_xlfn.XLOOKUP(G70,A$33:A$47,B$33:B$47) = "Missed Hit",_xlfn.XLOOKUP(G70,A$33:A$47,B$33:B$47),_xlfn.XLOOKUP(G70,A$33:A$47,B$33:B$47) &amp; " Star " &amp; _xlfn.XLOOKUP(G70,A$33:A$47,C$33:C$47) &amp; "%"),_xlfn.XLOOKUP(G70,A$63:A$92,B$63:B$92)),"Not in war")</f>
        <v/>
      </c>
      <c r="L70" s="7">
        <f>IFERROR(IF($E$3=15,IF(_xlfn.XLOOKUP(G70,A$48:A$62,B$48:B$62) = "Missed Hit",_xlfn.XLOOKUP(G70,A$48:A$62,B$48:B$62),_xlfn.XLOOKUP(G70,A$48:A$62,B$48:B$62) &amp; " Star " &amp; _xlfn.XLOOKUP(G70,A$48:A$62,C$48:C$62) &amp; "%"),_xlfn.XLOOKUP(G70,A$93:A$122,B$93:B$122)),"Not in war")</f>
        <v/>
      </c>
      <c r="M70" s="7">
        <f>IFERROR(IF($E$3=15,IF(_xlfn.XLOOKUP(G70,A$63:A$77,B$63:B$77) = "Missed Hit",_xlfn.XLOOKUP(G70,A$63:A$77,B$63:B$77),_xlfn.XLOOKUP(G70,A$63:A$77,B$63:B$77) &amp; " Star " &amp; _xlfn.XLOOKUP(G70,A$63:A$77,C$63:C$77) &amp; "%"),_xlfn.XLOOKUP(G70,A$123:A$152,B$123:B$152)),"Not in war")</f>
        <v/>
      </c>
      <c r="N70" s="7">
        <f>IFERROR(IF($E$3=15,IF(_xlfn.XLOOKUP(G70,A$78:A$92,B$78:B$92) = "Missed Hit",_xlfn.XLOOKUP(G70,A$78:A$92,B$78:B$92),_xlfn.XLOOKUP(G70,A$78:A$92,B$78:B$92) &amp; " Star " &amp; _xlfn.XLOOKUP(G70,A$78:A$92,C$78:C$92) &amp; "%"),_xlfn.XLOOKUP(G70,A$153:A$182,B$153:B$182)),"Not in war")</f>
        <v/>
      </c>
      <c r="O70" s="6">
        <f>IFERROR(IF($E$3=15,IF(_xlfn.XLOOKUP(G70,A$93:A$107,B$93:B$107) = "Missed Hit",_xlfn.XLOOKUP(G70,A$93:A$107,B$93:B$107),_xlfn.XLOOKUP(G70,A$93:A$107,B$93:B$107) &amp; " Star " &amp; _xlfn.XLOOKUP(G70,A$93:A$107,C$93:C$107) &amp; "%"),_xlfn.XLOOKUP(G70,A$153:A$182,B$153:B$182)),"Not in war")</f>
        <v/>
      </c>
      <c r="Q70" s="16">
        <f>IFERROR($R70/(3*(7-$Y70)),0)</f>
        <v/>
      </c>
      <c r="R70" s="14">
        <f>3*S70+2*T70+U70</f>
        <v/>
      </c>
      <c r="S70" s="17">
        <f>COUNTIF($I70:$O70, 3 &amp; "*")</f>
        <v/>
      </c>
      <c r="T70" s="17">
        <f>COUNTIF($I70:$O70, 2 &amp; "*")</f>
        <v/>
      </c>
      <c r="U70" s="17">
        <f>COUNTIF($I70:$O70,1)</f>
        <v/>
      </c>
      <c r="V70" s="17">
        <f>COUNTIF($I70:$O70, 0 &amp; "*")</f>
        <v/>
      </c>
      <c r="W70" s="17">
        <f>COUNTIF($I70:$O70,"Missed hit")</f>
        <v/>
      </c>
      <c r="X70" s="17">
        <f>IF($E$3=15,SUM(_xlfn.XLOOKUP(G70,$A$3:$A$17,$C$3:$C$17,0),_xlfn.XLOOKUP(G70,$A$18:$A$32,$C$18:$C$32,0),_xlfn.XLOOKUP(G70,$A$33:$A$47,$C$33:$C$47,0), _xlfn.XLOOKUP(G70,$A$48:$A$62,$C$48:$C$62,0), _xlfn.XLOOKUP(G70,$A$63:$A$77,$C$63:$C$77,0), _xlfn.XLOOKUP(G70,$A$78:$A$92,$C$78:$C$92,0), _xlfn.XLOOKUP(G70,$A$93:$A$107,$C$93:$C$107,0)))</f>
        <v/>
      </c>
      <c r="Y70" s="17">
        <f>COUNTIF($I70:$O70,"Not in war")</f>
        <v/>
      </c>
      <c r="AB70" s="61" t="n">
        <v>0</v>
      </c>
      <c r="AC70" s="58" t="n">
        <v>0</v>
      </c>
      <c r="AD70" s="8" t="n">
        <v>0</v>
      </c>
      <c r="AE70" s="8" t="n">
        <v>0</v>
      </c>
      <c r="AF70" s="7" t="n">
        <v>0</v>
      </c>
      <c r="AG70" s="7" t="n">
        <v>0</v>
      </c>
      <c r="AH70" s="7" t="n">
        <v>0</v>
      </c>
      <c r="AI70" s="6" t="n">
        <v>0</v>
      </c>
      <c r="AJ70" s="55" t="n">
        <v>0</v>
      </c>
      <c r="AK70" s="16" t="n">
        <v>0</v>
      </c>
      <c r="AL70" s="14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b">
        <v>0</v>
      </c>
      <c r="AS70" s="17" t="n">
        <v>0</v>
      </c>
    </row>
    <row r="71" ht="18" customFormat="1" customHeight="1" s="3">
      <c r="A71" s="30" t="n"/>
      <c r="B71" s="40" t="n"/>
      <c r="C71" s="40" t="n"/>
      <c r="D71" s="30" t="n"/>
      <c r="E71" s="34" t="n"/>
      <c r="F71" s="30" t="n"/>
      <c r="G71" s="9" t="n"/>
      <c r="H71" s="20" t="n"/>
      <c r="I71" s="8">
        <f>IFERROR(IF($E$3=15,IF(_xlfn.XLOOKUP(G71,A$3:A$17,B$3:B$17) = "Missed Hit",_xlfn.XLOOKUP(G71,A$3:A$17,B$3:B$17),_xlfn.XLOOKUP(G71,A$3:A$17,B$3:B$17) &amp; " Star " &amp; _xlfn.XLOOKUP(G71,A$3:A$17,C$3:C$17) &amp; "%"),_xlfn.XLOOKUP(G71,A$3:A$32,B$3:B$32)),"Not in war")</f>
        <v/>
      </c>
      <c r="J71" s="8">
        <f>IFERROR(IF($E$3=15,IF(_xlfn.XLOOKUP(G71,A$18:A$32,B$18:B$32) = "Missed Hit",_xlfn.XLOOKUP(G71,A$18:A$32,B$18:B$32),_xlfn.XLOOKUP(G71,A$18:A$32,B$18:B$32) &amp; " Star " &amp; _xlfn.XLOOKUP(G71,A$18:A$32,C$18:C$32) &amp; "%"),_xlfn.XLOOKUP(G71,A$33:A$62,B$33:B$62)),"Not in war")</f>
        <v/>
      </c>
      <c r="K71" s="8">
        <f>IFERROR(IF($E$3=15,IF(_xlfn.XLOOKUP(G71,A$33:A$47,B$33:B$47) = "Missed Hit",_xlfn.XLOOKUP(G71,A$33:A$47,B$33:B$47),_xlfn.XLOOKUP(G71,A$33:A$47,B$33:B$47) &amp; " Star " &amp; _xlfn.XLOOKUP(G71,A$33:A$47,C$33:C$47) &amp; "%"),_xlfn.XLOOKUP(G71,A$63:A$92,B$63:B$92)),"Not in war")</f>
        <v/>
      </c>
      <c r="L71" s="7">
        <f>IFERROR(IF($E$3=15,IF(_xlfn.XLOOKUP(G71,A$48:A$62,B$48:B$62) = "Missed Hit",_xlfn.XLOOKUP(G71,A$48:A$62,B$48:B$62),_xlfn.XLOOKUP(G71,A$48:A$62,B$48:B$62) &amp; " Star " &amp; _xlfn.XLOOKUP(G71,A$48:A$62,C$48:C$62) &amp; "%"),_xlfn.XLOOKUP(G71,A$93:A$122,B$93:B$122)),"Not in war")</f>
        <v/>
      </c>
      <c r="M71" s="7">
        <f>IFERROR(IF($E$3=15,IF(_xlfn.XLOOKUP(G71,A$63:A$77,B$63:B$77) = "Missed Hit",_xlfn.XLOOKUP(G71,A$63:A$77,B$63:B$77),_xlfn.XLOOKUP(G71,A$63:A$77,B$63:B$77) &amp; " Star " &amp; _xlfn.XLOOKUP(G71,A$63:A$77,C$63:C$77) &amp; "%"),_xlfn.XLOOKUP(G71,A$123:A$152,B$123:B$152)),"Not in war")</f>
        <v/>
      </c>
      <c r="N71" s="7">
        <f>IFERROR(IF($E$3=15,IF(_xlfn.XLOOKUP(G71,A$78:A$92,B$78:B$92) = "Missed Hit",_xlfn.XLOOKUP(G71,A$78:A$92,B$78:B$92),_xlfn.XLOOKUP(G71,A$78:A$92,B$78:B$92) &amp; " Star " &amp; _xlfn.XLOOKUP(G71,A$78:A$92,C$78:C$92) &amp; "%"),_xlfn.XLOOKUP(G71,A$153:A$182,B$153:B$182)),"Not in war")</f>
        <v/>
      </c>
      <c r="O71" s="6">
        <f>IFERROR(IF($E$3=15,IF(_xlfn.XLOOKUP(G71,A$93:A$107,B$93:B$107) = "Missed Hit",_xlfn.XLOOKUP(G71,A$93:A$107,B$93:B$107),_xlfn.XLOOKUP(G71,A$93:A$107,B$93:B$107) &amp; " Star " &amp; _xlfn.XLOOKUP(G71,A$93:A$107,C$93:C$107) &amp; "%"),_xlfn.XLOOKUP(G71,A$153:A$182,B$153:B$182)),"Not in war")</f>
        <v/>
      </c>
      <c r="Q71" s="16">
        <f>IFERROR($R71/(3*(7-$Y71)),0)</f>
        <v/>
      </c>
      <c r="R71" s="14">
        <f>3*S71+2*T71+U71</f>
        <v/>
      </c>
      <c r="S71" s="17">
        <f>COUNTIF($I71:$O71, 3 &amp; "*")</f>
        <v/>
      </c>
      <c r="T71" s="17">
        <f>COUNTIF($I71:$O71, 2 &amp; "*")</f>
        <v/>
      </c>
      <c r="U71" s="17">
        <f>COUNTIF($I71:$O71,1)</f>
        <v/>
      </c>
      <c r="V71" s="17">
        <f>COUNTIF($I71:$O71, 0 &amp; "*")</f>
        <v/>
      </c>
      <c r="W71" s="17">
        <f>COUNTIF($I71:$O71,"Missed hit")</f>
        <v/>
      </c>
      <c r="X71" s="17">
        <f>IF($E$3=15,SUM(_xlfn.XLOOKUP(G71,$A$3:$A$17,$C$3:$C$17,0),_xlfn.XLOOKUP(G71,$A$18:$A$32,$C$18:$C$32,0),_xlfn.XLOOKUP(G71,$A$33:$A$47,$C$33:$C$47,0), _xlfn.XLOOKUP(G71,$A$48:$A$62,$C$48:$C$62,0), _xlfn.XLOOKUP(G71,$A$63:$A$77,$C$63:$C$77,0), _xlfn.XLOOKUP(G71,$A$78:$A$92,$C$78:$C$92,0), _xlfn.XLOOKUP(G71,$A$93:$A$107,$C$93:$C$107,0)))</f>
        <v/>
      </c>
      <c r="Y71" s="17">
        <f>COUNTIF($I71:$O71,"Not in war")</f>
        <v/>
      </c>
      <c r="AB71" s="61" t="n">
        <v>0</v>
      </c>
      <c r="AC71" s="58" t="n">
        <v>0</v>
      </c>
      <c r="AD71" s="8" t="n">
        <v>0</v>
      </c>
      <c r="AE71" s="8" t="n">
        <v>0</v>
      </c>
      <c r="AF71" s="7" t="n">
        <v>0</v>
      </c>
      <c r="AG71" s="7" t="n">
        <v>0</v>
      </c>
      <c r="AH71" s="7" t="n">
        <v>0</v>
      </c>
      <c r="AI71" s="6" t="n">
        <v>0</v>
      </c>
      <c r="AJ71" s="55" t="n">
        <v>0</v>
      </c>
      <c r="AK71" s="16" t="n">
        <v>0</v>
      </c>
      <c r="AL71" s="14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b">
        <v>0</v>
      </c>
      <c r="AS71" s="17" t="n">
        <v>0</v>
      </c>
    </row>
    <row r="72" ht="18" customFormat="1" customHeight="1" s="3">
      <c r="A72" s="30" t="n"/>
      <c r="B72" s="40" t="n"/>
      <c r="C72" s="40" t="n"/>
      <c r="D72" s="30" t="n"/>
      <c r="E72" s="34" t="n"/>
      <c r="F72" s="30" t="n"/>
      <c r="G72" s="9" t="n"/>
      <c r="H72" s="20" t="n"/>
      <c r="I72" s="8">
        <f>IFERROR(IF($E$3=15,IF(_xlfn.XLOOKUP(G72,A$3:A$17,B$3:B$17) = "Missed Hit",_xlfn.XLOOKUP(G72,A$3:A$17,B$3:B$17),_xlfn.XLOOKUP(G72,A$3:A$17,B$3:B$17) &amp; " Star " &amp; _xlfn.XLOOKUP(G72,A$3:A$17,C$3:C$17) &amp; "%"),_xlfn.XLOOKUP(G72,A$3:A$32,B$3:B$32)),"Not in war")</f>
        <v/>
      </c>
      <c r="J72" s="8">
        <f>IFERROR(IF($E$3=15,IF(_xlfn.XLOOKUP(G72,A$18:A$32,B$18:B$32) = "Missed Hit",_xlfn.XLOOKUP(G72,A$18:A$32,B$18:B$32),_xlfn.XLOOKUP(G72,A$18:A$32,B$18:B$32) &amp; " Star " &amp; _xlfn.XLOOKUP(G72,A$18:A$32,C$18:C$32) &amp; "%"),_xlfn.XLOOKUP(G72,A$33:A$62,B$33:B$62)),"Not in war")</f>
        <v/>
      </c>
      <c r="K72" s="8">
        <f>IFERROR(IF($E$3=15,IF(_xlfn.XLOOKUP(G72,A$33:A$47,B$33:B$47) = "Missed Hit",_xlfn.XLOOKUP(G72,A$33:A$47,B$33:B$47),_xlfn.XLOOKUP(G72,A$33:A$47,B$33:B$47) &amp; " Star " &amp; _xlfn.XLOOKUP(G72,A$33:A$47,C$33:C$47) &amp; "%"),_xlfn.XLOOKUP(G72,A$63:A$92,B$63:B$92)),"Not in war")</f>
        <v/>
      </c>
      <c r="L72" s="7">
        <f>IFERROR(IF($E$3=15,IF(_xlfn.XLOOKUP(G72,A$48:A$62,B$48:B$62) = "Missed Hit",_xlfn.XLOOKUP(G72,A$48:A$62,B$48:B$62),_xlfn.XLOOKUP(G72,A$48:A$62,B$48:B$62) &amp; " Star " &amp; _xlfn.XLOOKUP(G72,A$48:A$62,C$48:C$62) &amp; "%"),_xlfn.XLOOKUP(G72,A$93:A$122,B$93:B$122)),"Not in war")</f>
        <v/>
      </c>
      <c r="M72" s="7">
        <f>IFERROR(IF($E$3=15,IF(_xlfn.XLOOKUP(G72,A$63:A$77,B$63:B$77) = "Missed Hit",_xlfn.XLOOKUP(G72,A$63:A$77,B$63:B$77),_xlfn.XLOOKUP(G72,A$63:A$77,B$63:B$77) &amp; " Star " &amp; _xlfn.XLOOKUP(G72,A$63:A$77,C$63:C$77) &amp; "%"),_xlfn.XLOOKUP(G72,A$123:A$152,B$123:B$152)),"Not in war")</f>
        <v/>
      </c>
      <c r="N72" s="7">
        <f>IFERROR(IF($E$3=15,IF(_xlfn.XLOOKUP(G72,A$78:A$92,B$78:B$92) = "Missed Hit",_xlfn.XLOOKUP(G72,A$78:A$92,B$78:B$92),_xlfn.XLOOKUP(G72,A$78:A$92,B$78:B$92) &amp; " Star " &amp; _xlfn.XLOOKUP(G72,A$78:A$92,C$78:C$92) &amp; "%"),_xlfn.XLOOKUP(G72,A$153:A$182,B$153:B$182)),"Not in war")</f>
        <v/>
      </c>
      <c r="O72" s="6">
        <f>IFERROR(IF($E$3=15,IF(_xlfn.XLOOKUP(G72,A$93:A$107,B$93:B$107) = "Missed Hit",_xlfn.XLOOKUP(G72,A$93:A$107,B$93:B$107),_xlfn.XLOOKUP(G72,A$93:A$107,B$93:B$107) &amp; " Star " &amp; _xlfn.XLOOKUP(G72,A$93:A$107,C$93:C$107) &amp; "%"),_xlfn.XLOOKUP(G72,A$153:A$182,B$153:B$182)),"Not in war")</f>
        <v/>
      </c>
      <c r="Q72" s="16">
        <f>IFERROR($R72/(3*(7-$Y72)),0)</f>
        <v/>
      </c>
      <c r="R72" s="14">
        <f>3*S72+2*T72+U72</f>
        <v/>
      </c>
      <c r="S72" s="17">
        <f>COUNTIF($I72:$O72, 3 &amp; "*")</f>
        <v/>
      </c>
      <c r="T72" s="17">
        <f>COUNTIF($I72:$O72, 2 &amp; "*")</f>
        <v/>
      </c>
      <c r="U72" s="17">
        <f>COUNTIF($I72:$O72,1)</f>
        <v/>
      </c>
      <c r="V72" s="17">
        <f>COUNTIF($I72:$O72, 0 &amp; "*")</f>
        <v/>
      </c>
      <c r="W72" s="17">
        <f>COUNTIF($I72:$O72,"Missed hit")</f>
        <v/>
      </c>
      <c r="X72" s="17">
        <f>IF($E$3=15,SUM(_xlfn.XLOOKUP(G72,$A$3:$A$17,$C$3:$C$17,0),_xlfn.XLOOKUP(G72,$A$18:$A$32,$C$18:$C$32,0),_xlfn.XLOOKUP(G72,$A$33:$A$47,$C$33:$C$47,0), _xlfn.XLOOKUP(G72,$A$48:$A$62,$C$48:$C$62,0), _xlfn.XLOOKUP(G72,$A$63:$A$77,$C$63:$C$77,0), _xlfn.XLOOKUP(G72,$A$78:$A$92,$C$78:$C$92,0), _xlfn.XLOOKUP(G72,$A$93:$A$107,$C$93:$C$107,0)))</f>
        <v/>
      </c>
      <c r="Y72" s="17">
        <f>COUNTIF($I72:$O72,"Not in war")</f>
        <v/>
      </c>
      <c r="AB72" s="61" t="n">
        <v>0</v>
      </c>
      <c r="AC72" s="58" t="n">
        <v>0</v>
      </c>
      <c r="AD72" s="8" t="n">
        <v>0</v>
      </c>
      <c r="AE72" s="8" t="n">
        <v>0</v>
      </c>
      <c r="AF72" s="7" t="n">
        <v>0</v>
      </c>
      <c r="AG72" s="7" t="n">
        <v>0</v>
      </c>
      <c r="AH72" s="7" t="n">
        <v>0</v>
      </c>
      <c r="AI72" s="6" t="n">
        <v>0</v>
      </c>
      <c r="AJ72" s="55" t="n">
        <v>0</v>
      </c>
      <c r="AK72" s="16" t="n">
        <v>0</v>
      </c>
      <c r="AL72" s="14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b">
        <v>0</v>
      </c>
      <c r="AS72" s="17" t="n">
        <v>0</v>
      </c>
    </row>
    <row r="73" ht="18" customFormat="1" customHeight="1" s="3">
      <c r="A73" s="30" t="n"/>
      <c r="B73" s="40" t="n"/>
      <c r="C73" s="40" t="n"/>
      <c r="D73" s="30" t="n"/>
      <c r="E73" s="34" t="n"/>
      <c r="F73" s="30" t="n"/>
      <c r="G73" s="9" t="n"/>
      <c r="H73" s="20" t="n"/>
      <c r="I73" s="8">
        <f>IFERROR(IF($E$3=15,IF(_xlfn.XLOOKUP(G73,A$3:A$17,B$3:B$17) = "Missed Hit",_xlfn.XLOOKUP(G73,A$3:A$17,B$3:B$17),_xlfn.XLOOKUP(G73,A$3:A$17,B$3:B$17) &amp; " Star " &amp; _xlfn.XLOOKUP(G73,A$3:A$17,C$3:C$17) &amp; "%"),_xlfn.XLOOKUP(G73,A$3:A$32,B$3:B$32)),"Not in war")</f>
        <v/>
      </c>
      <c r="J73" s="8">
        <f>IFERROR(IF($E$3=15,IF(_xlfn.XLOOKUP(G73,A$18:A$32,B$18:B$32) = "Missed Hit",_xlfn.XLOOKUP(G73,A$18:A$32,B$18:B$32),_xlfn.XLOOKUP(G73,A$18:A$32,B$18:B$32) &amp; " Star " &amp; _xlfn.XLOOKUP(G73,A$18:A$32,C$18:C$32) &amp; "%"),_xlfn.XLOOKUP(G73,A$33:A$62,B$33:B$62)),"Not in war")</f>
        <v/>
      </c>
      <c r="K73" s="8">
        <f>IFERROR(IF($E$3=15,IF(_xlfn.XLOOKUP(G73,A$33:A$47,B$33:B$47) = "Missed Hit",_xlfn.XLOOKUP(G73,A$33:A$47,B$33:B$47),_xlfn.XLOOKUP(G73,A$33:A$47,B$33:B$47) &amp; " Star " &amp; _xlfn.XLOOKUP(G73,A$33:A$47,C$33:C$47) &amp; "%"),_xlfn.XLOOKUP(G73,A$63:A$92,B$63:B$92)),"Not in war")</f>
        <v/>
      </c>
      <c r="L73" s="7">
        <f>IFERROR(IF($E$3=15,IF(_xlfn.XLOOKUP(G73,A$48:A$62,B$48:B$62) = "Missed Hit",_xlfn.XLOOKUP(G73,A$48:A$62,B$48:B$62),_xlfn.XLOOKUP(G73,A$48:A$62,B$48:B$62) &amp; " Star " &amp; _xlfn.XLOOKUP(G73,A$48:A$62,C$48:C$62) &amp; "%"),_xlfn.XLOOKUP(G73,A$93:A$122,B$93:B$122)),"Not in war")</f>
        <v/>
      </c>
      <c r="M73" s="7">
        <f>IFERROR(IF($E$3=15,IF(_xlfn.XLOOKUP(G73,A$63:A$77,B$63:B$77) = "Missed Hit",_xlfn.XLOOKUP(G73,A$63:A$77,B$63:B$77),_xlfn.XLOOKUP(G73,A$63:A$77,B$63:B$77) &amp; " Star " &amp; _xlfn.XLOOKUP(G73,A$63:A$77,C$63:C$77) &amp; "%"),_xlfn.XLOOKUP(G73,A$123:A$152,B$123:B$152)),"Not in war")</f>
        <v/>
      </c>
      <c r="N73" s="7">
        <f>IFERROR(IF($E$3=15,IF(_xlfn.XLOOKUP(G73,A$78:A$92,B$78:B$92) = "Missed Hit",_xlfn.XLOOKUP(G73,A$78:A$92,B$78:B$92),_xlfn.XLOOKUP(G73,A$78:A$92,B$78:B$92) &amp; " Star " &amp; _xlfn.XLOOKUP(G73,A$78:A$92,C$78:C$92) &amp; "%"),_xlfn.XLOOKUP(G73,A$153:A$182,B$153:B$182)),"Not in war")</f>
        <v/>
      </c>
      <c r="O73" s="6">
        <f>IFERROR(IF($E$3=15,IF(_xlfn.XLOOKUP(G73,A$93:A$107,B$93:B$107) = "Missed Hit",_xlfn.XLOOKUP(G73,A$93:A$107,B$93:B$107),_xlfn.XLOOKUP(G73,A$93:A$107,B$93:B$107) &amp; " Star " &amp; _xlfn.XLOOKUP(G73,A$93:A$107,C$93:C$107) &amp; "%"),_xlfn.XLOOKUP(G73,A$153:A$182,B$153:B$182)),"Not in war")</f>
        <v/>
      </c>
      <c r="Q73" s="16">
        <f>IFERROR($R73/(3*(7-$Y73)),0)</f>
        <v/>
      </c>
      <c r="R73" s="14">
        <f>3*S73+2*T73+U73</f>
        <v/>
      </c>
      <c r="S73" s="17">
        <f>COUNTIF($I73:$O73, 3 &amp; "*")</f>
        <v/>
      </c>
      <c r="T73" s="17">
        <f>COUNTIF($I73:$O73, 2 &amp; "*")</f>
        <v/>
      </c>
      <c r="U73" s="17">
        <f>COUNTIF($I73:$O73,1)</f>
        <v/>
      </c>
      <c r="V73" s="17">
        <f>COUNTIF($I73:$O73, 0 &amp; "*")</f>
        <v/>
      </c>
      <c r="W73" s="17">
        <f>COUNTIF($I73:$O73,"Missed hit")</f>
        <v/>
      </c>
      <c r="X73" s="17">
        <f>IF($E$3=15,SUM(_xlfn.XLOOKUP(G73,$A$3:$A$17,$C$3:$C$17,0),_xlfn.XLOOKUP(G73,$A$18:$A$32,$C$18:$C$32,0),_xlfn.XLOOKUP(G73,$A$33:$A$47,$C$33:$C$47,0), _xlfn.XLOOKUP(G73,$A$48:$A$62,$C$48:$C$62,0), _xlfn.XLOOKUP(G73,$A$63:$A$77,$C$63:$C$77,0), _xlfn.XLOOKUP(G73,$A$78:$A$92,$C$78:$C$92,0), _xlfn.XLOOKUP(G73,$A$93:$A$107,$C$93:$C$107,0)))</f>
        <v/>
      </c>
      <c r="Y73" s="17">
        <f>COUNTIF($I73:$O73,"Not in war")</f>
        <v/>
      </c>
      <c r="AB73" s="61" t="n">
        <v>0</v>
      </c>
      <c r="AC73" s="58" t="n">
        <v>0</v>
      </c>
      <c r="AD73" s="8" t="n">
        <v>0</v>
      </c>
      <c r="AE73" s="8" t="n">
        <v>0</v>
      </c>
      <c r="AF73" s="7" t="n">
        <v>0</v>
      </c>
      <c r="AG73" s="7" t="n">
        <v>0</v>
      </c>
      <c r="AH73" s="7" t="n">
        <v>0</v>
      </c>
      <c r="AI73" s="6" t="n">
        <v>0</v>
      </c>
      <c r="AJ73" s="55" t="n">
        <v>0</v>
      </c>
      <c r="AK73" s="16" t="n">
        <v>0</v>
      </c>
      <c r="AL73" s="14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b">
        <v>0</v>
      </c>
      <c r="AS73" s="17" t="n">
        <v>0</v>
      </c>
    </row>
    <row r="74" ht="18" customFormat="1" customHeight="1" s="3">
      <c r="A74" s="30" t="n"/>
      <c r="B74" s="40" t="n"/>
      <c r="C74" s="40" t="n"/>
      <c r="D74" s="30" t="n"/>
      <c r="E74" s="34" t="n"/>
      <c r="F74" s="30" t="n"/>
      <c r="G74" s="9" t="n"/>
      <c r="H74" s="20" t="n"/>
      <c r="I74" s="8">
        <f>IFERROR(IF($E$3=15,IF(_xlfn.XLOOKUP(G74,A$3:A$17,B$3:B$17) = "Missed Hit",_xlfn.XLOOKUP(G74,A$3:A$17,B$3:B$17),_xlfn.XLOOKUP(G74,A$3:A$17,B$3:B$17) &amp; " Star " &amp; _xlfn.XLOOKUP(G74,A$3:A$17,C$3:C$17) &amp; "%"),_xlfn.XLOOKUP(G74,A$3:A$32,B$3:B$32)),"Not in war")</f>
        <v/>
      </c>
      <c r="J74" s="8">
        <f>IFERROR(IF($E$3=15,IF(_xlfn.XLOOKUP(G74,A$18:A$32,B$18:B$32) = "Missed Hit",_xlfn.XLOOKUP(G74,A$18:A$32,B$18:B$32),_xlfn.XLOOKUP(G74,A$18:A$32,B$18:B$32) &amp; " Star " &amp; _xlfn.XLOOKUP(G74,A$18:A$32,C$18:C$32) &amp; "%"),_xlfn.XLOOKUP(G74,A$33:A$62,B$33:B$62)),"Not in war")</f>
        <v/>
      </c>
      <c r="K74" s="8">
        <f>IFERROR(IF($E$3=15,IF(_xlfn.XLOOKUP(G74,A$33:A$47,B$33:B$47) = "Missed Hit",_xlfn.XLOOKUP(G74,A$33:A$47,B$33:B$47),_xlfn.XLOOKUP(G74,A$33:A$47,B$33:B$47) &amp; " Star " &amp; _xlfn.XLOOKUP(G74,A$33:A$47,C$33:C$47) &amp; "%"),_xlfn.XLOOKUP(G74,A$63:A$92,B$63:B$92)),"Not in war")</f>
        <v/>
      </c>
      <c r="L74" s="7">
        <f>IFERROR(IF($E$3=15,IF(_xlfn.XLOOKUP(G74,A$48:A$62,B$48:B$62) = "Missed Hit",_xlfn.XLOOKUP(G74,A$48:A$62,B$48:B$62),_xlfn.XLOOKUP(G74,A$48:A$62,B$48:B$62) &amp; " Star " &amp; _xlfn.XLOOKUP(G74,A$48:A$62,C$48:C$62) &amp; "%"),_xlfn.XLOOKUP(G74,A$93:A$122,B$93:B$122)),"Not in war")</f>
        <v/>
      </c>
      <c r="M74" s="7">
        <f>IFERROR(IF($E$3=15,IF(_xlfn.XLOOKUP(G74,A$63:A$77,B$63:B$77) = "Missed Hit",_xlfn.XLOOKUP(G74,A$63:A$77,B$63:B$77),_xlfn.XLOOKUP(G74,A$63:A$77,B$63:B$77) &amp; " Star " &amp; _xlfn.XLOOKUP(G74,A$63:A$77,C$63:C$77) &amp; "%"),_xlfn.XLOOKUP(G74,A$123:A$152,B$123:B$152)),"Not in war")</f>
        <v/>
      </c>
      <c r="N74" s="7">
        <f>IFERROR(IF($E$3=15,IF(_xlfn.XLOOKUP(G74,A$78:A$92,B$78:B$92) = "Missed Hit",_xlfn.XLOOKUP(G74,A$78:A$92,B$78:B$92),_xlfn.XLOOKUP(G74,A$78:A$92,B$78:B$92) &amp; " Star " &amp; _xlfn.XLOOKUP(G74,A$78:A$92,C$78:C$92) &amp; "%"),_xlfn.XLOOKUP(G74,A$153:A$182,B$153:B$182)),"Not in war")</f>
        <v/>
      </c>
      <c r="O74" s="6">
        <f>IFERROR(IF($E$3=15,IF(_xlfn.XLOOKUP(G74,A$93:A$107,B$93:B$107) = "Missed Hit",_xlfn.XLOOKUP(G74,A$93:A$107,B$93:B$107),_xlfn.XLOOKUP(G74,A$93:A$107,B$93:B$107) &amp; " Star " &amp; _xlfn.XLOOKUP(G74,A$93:A$107,C$93:C$107) &amp; "%"),_xlfn.XLOOKUP(G74,A$153:A$182,B$153:B$182)),"Not in war")</f>
        <v/>
      </c>
      <c r="Q74" s="16">
        <f>IFERROR($R74/(3*(7-$Y74)),0)</f>
        <v/>
      </c>
      <c r="R74" s="14">
        <f>3*S74+2*T74+U74</f>
        <v/>
      </c>
      <c r="S74" s="17">
        <f>COUNTIF($I74:$O74, 3 &amp; "*")</f>
        <v/>
      </c>
      <c r="T74" s="17">
        <f>COUNTIF($I74:$O74, 2 &amp; "*")</f>
        <v/>
      </c>
      <c r="U74" s="17">
        <f>COUNTIF($I74:$O74,1)</f>
        <v/>
      </c>
      <c r="V74" s="17">
        <f>COUNTIF($I74:$O74, 0 &amp; "*")</f>
        <v/>
      </c>
      <c r="W74" s="17">
        <f>COUNTIF($I74:$O74,"Missed hit")</f>
        <v/>
      </c>
      <c r="X74" s="17">
        <f>IF($E$3=15,SUM(_xlfn.XLOOKUP(G74,$A$3:$A$17,$C$3:$C$17,0),_xlfn.XLOOKUP(G74,$A$18:$A$32,$C$18:$C$32,0),_xlfn.XLOOKUP(G74,$A$33:$A$47,$C$33:$C$47,0), _xlfn.XLOOKUP(G74,$A$48:$A$62,$C$48:$C$62,0), _xlfn.XLOOKUP(G74,$A$63:$A$77,$C$63:$C$77,0), _xlfn.XLOOKUP(G74,$A$78:$A$92,$C$78:$C$92,0), _xlfn.XLOOKUP(G74,$A$93:$A$107,$C$93:$C$107,0)))</f>
        <v/>
      </c>
      <c r="Y74" s="17">
        <f>COUNTIF($I74:$O74,"Not in war")</f>
        <v/>
      </c>
      <c r="AB74" s="61" t="n">
        <v>0</v>
      </c>
      <c r="AC74" s="58" t="n">
        <v>0</v>
      </c>
      <c r="AD74" s="8" t="n">
        <v>0</v>
      </c>
      <c r="AE74" s="8" t="n">
        <v>0</v>
      </c>
      <c r="AF74" s="7" t="n">
        <v>0</v>
      </c>
      <c r="AG74" s="7" t="n">
        <v>0</v>
      </c>
      <c r="AH74" s="7" t="n">
        <v>0</v>
      </c>
      <c r="AI74" s="6" t="n">
        <v>0</v>
      </c>
      <c r="AJ74" s="55" t="n">
        <v>0</v>
      </c>
      <c r="AK74" s="16" t="n">
        <v>0</v>
      </c>
      <c r="AL74" s="14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b">
        <v>0</v>
      </c>
      <c r="AS74" s="17" t="n">
        <v>0</v>
      </c>
    </row>
    <row r="75" ht="18" customFormat="1" customHeight="1" s="3">
      <c r="A75" s="30" t="n"/>
      <c r="B75" s="40" t="n"/>
      <c r="C75" s="40" t="n"/>
      <c r="D75" s="30" t="n"/>
      <c r="E75" s="34" t="n"/>
      <c r="F75" s="30" t="n"/>
      <c r="G75" s="9" t="n"/>
      <c r="H75" s="20" t="n"/>
      <c r="I75" s="8">
        <f>IFERROR(IF($E$3=15,IF(_xlfn.XLOOKUP(G75,A$3:A$17,B$3:B$17) = "Missed Hit",_xlfn.XLOOKUP(G75,A$3:A$17,B$3:B$17),_xlfn.XLOOKUP(G75,A$3:A$17,B$3:B$17) &amp; " Star " &amp; _xlfn.XLOOKUP(G75,A$3:A$17,C$3:C$17) &amp; "%"),_xlfn.XLOOKUP(G75,A$3:A$32,B$3:B$32)),"Not in war")</f>
        <v/>
      </c>
      <c r="J75" s="8">
        <f>IFERROR(IF($E$3=15,IF(_xlfn.XLOOKUP(G75,A$18:A$32,B$18:B$32) = "Missed Hit",_xlfn.XLOOKUP(G75,A$18:A$32,B$18:B$32),_xlfn.XLOOKUP(G75,A$18:A$32,B$18:B$32) &amp; " Star " &amp; _xlfn.XLOOKUP(G75,A$18:A$32,C$18:C$32) &amp; "%"),_xlfn.XLOOKUP(G75,A$33:A$62,B$33:B$62)),"Not in war")</f>
        <v/>
      </c>
      <c r="K75" s="8">
        <f>IFERROR(IF($E$3=15,IF(_xlfn.XLOOKUP(G75,A$33:A$47,B$33:B$47) = "Missed Hit",_xlfn.XLOOKUP(G75,A$33:A$47,B$33:B$47),_xlfn.XLOOKUP(G75,A$33:A$47,B$33:B$47) &amp; " Star " &amp; _xlfn.XLOOKUP(G75,A$33:A$47,C$33:C$47) &amp; "%"),_xlfn.XLOOKUP(G75,A$63:A$92,B$63:B$92)),"Not in war")</f>
        <v/>
      </c>
      <c r="L75" s="7">
        <f>IFERROR(IF($E$3=15,IF(_xlfn.XLOOKUP(G75,A$48:A$62,B$48:B$62) = "Missed Hit",_xlfn.XLOOKUP(G75,A$48:A$62,B$48:B$62),_xlfn.XLOOKUP(G75,A$48:A$62,B$48:B$62) &amp; " Star " &amp; _xlfn.XLOOKUP(G75,A$48:A$62,C$48:C$62) &amp; "%"),_xlfn.XLOOKUP(G75,A$93:A$122,B$93:B$122)),"Not in war")</f>
        <v/>
      </c>
      <c r="M75" s="7">
        <f>IFERROR(IF($E$3=15,IF(_xlfn.XLOOKUP(G75,A$63:A$77,B$63:B$77) = "Missed Hit",_xlfn.XLOOKUP(G75,A$63:A$77,B$63:B$77),_xlfn.XLOOKUP(G75,A$63:A$77,B$63:B$77) &amp; " Star " &amp; _xlfn.XLOOKUP(G75,A$63:A$77,C$63:C$77) &amp; "%"),_xlfn.XLOOKUP(G75,A$123:A$152,B$123:B$152)),"Not in war")</f>
        <v/>
      </c>
      <c r="N75" s="7">
        <f>IFERROR(IF($E$3=15,IF(_xlfn.XLOOKUP(G75,A$78:A$92,B$78:B$92) = "Missed Hit",_xlfn.XLOOKUP(G75,A$78:A$92,B$78:B$92),_xlfn.XLOOKUP(G75,A$78:A$92,B$78:B$92) &amp; " Star " &amp; _xlfn.XLOOKUP(G75,A$78:A$92,C$78:C$92) &amp; "%"),_xlfn.XLOOKUP(G75,A$153:A$182,B$153:B$182)),"Not in war")</f>
        <v/>
      </c>
      <c r="O75" s="6">
        <f>IFERROR(IF($E$3=15,IF(_xlfn.XLOOKUP(G75,A$93:A$107,B$93:B$107) = "Missed Hit",_xlfn.XLOOKUP(G75,A$93:A$107,B$93:B$107),_xlfn.XLOOKUP(G75,A$93:A$107,B$93:B$107) &amp; " Star " &amp; _xlfn.XLOOKUP(G75,A$93:A$107,C$93:C$107) &amp; "%"),_xlfn.XLOOKUP(G75,A$153:A$182,B$153:B$182)),"Not in war")</f>
        <v/>
      </c>
      <c r="Q75" s="16">
        <f>IFERROR($R75/(3*(7-$Y75)),0)</f>
        <v/>
      </c>
      <c r="R75" s="14">
        <f>3*S75+2*T75+U75</f>
        <v/>
      </c>
      <c r="S75" s="17">
        <f>COUNTIF($I75:$O75, 3 &amp; "*")</f>
        <v/>
      </c>
      <c r="T75" s="17">
        <f>COUNTIF($I75:$O75, 2 &amp; "*")</f>
        <v/>
      </c>
      <c r="U75" s="17">
        <f>COUNTIF($I75:$O75,1)</f>
        <v/>
      </c>
      <c r="V75" s="17">
        <f>COUNTIF($I75:$O75, 0 &amp; "*")</f>
        <v/>
      </c>
      <c r="W75" s="17">
        <f>COUNTIF($I75:$O75,"Missed hit")</f>
        <v/>
      </c>
      <c r="X75" s="17">
        <f>IF($E$3=15,SUM(_xlfn.XLOOKUP(G75,$A$3:$A$17,$C$3:$C$17,0),_xlfn.XLOOKUP(G75,$A$18:$A$32,$C$18:$C$32,0),_xlfn.XLOOKUP(G75,$A$33:$A$47,$C$33:$C$47,0), _xlfn.XLOOKUP(G75,$A$48:$A$62,$C$48:$C$62,0), _xlfn.XLOOKUP(G75,$A$63:$A$77,$C$63:$C$77,0), _xlfn.XLOOKUP(G75,$A$78:$A$92,$C$78:$C$92,0), _xlfn.XLOOKUP(G75,$A$93:$A$107,$C$93:$C$107,0)))</f>
        <v/>
      </c>
      <c r="Y75" s="17">
        <f>COUNTIF($I75:$O75,"Not in war")</f>
        <v/>
      </c>
      <c r="AB75" s="61" t="n">
        <v>0</v>
      </c>
      <c r="AC75" s="58" t="n">
        <v>0</v>
      </c>
      <c r="AD75" s="8" t="n">
        <v>0</v>
      </c>
      <c r="AE75" s="8" t="n">
        <v>0</v>
      </c>
      <c r="AF75" s="7" t="n">
        <v>0</v>
      </c>
      <c r="AG75" s="7" t="n">
        <v>0</v>
      </c>
      <c r="AH75" s="7" t="n">
        <v>0</v>
      </c>
      <c r="AI75" s="6" t="n">
        <v>0</v>
      </c>
      <c r="AJ75" s="55" t="n">
        <v>0</v>
      </c>
      <c r="AK75" s="16" t="n">
        <v>0</v>
      </c>
      <c r="AL75" s="14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b">
        <v>0</v>
      </c>
      <c r="AS75" s="17" t="n">
        <v>0</v>
      </c>
    </row>
    <row r="76" ht="18" customFormat="1" customHeight="1" s="3">
      <c r="A76" s="30" t="n"/>
      <c r="B76" s="40" t="n"/>
      <c r="C76" s="40" t="n"/>
      <c r="D76" s="30" t="n"/>
      <c r="E76" s="34" t="n"/>
      <c r="F76" s="30" t="n"/>
      <c r="G76" s="9" t="n"/>
      <c r="H76" s="20" t="n"/>
      <c r="I76" s="8">
        <f>IFERROR(IF($E$3=15,IF(_xlfn.XLOOKUP(G76,A$3:A$17,B$3:B$17) = "Missed Hit",_xlfn.XLOOKUP(G76,A$3:A$17,B$3:B$17),_xlfn.XLOOKUP(G76,A$3:A$17,B$3:B$17) &amp; " Star " &amp; _xlfn.XLOOKUP(G76,A$3:A$17,C$3:C$17) &amp; "%"),_xlfn.XLOOKUP(G76,A$3:A$32,B$3:B$32)),"Not in war")</f>
        <v/>
      </c>
      <c r="J76" s="8">
        <f>IFERROR(IF($E$3=15,IF(_xlfn.XLOOKUP(G76,A$18:A$32,B$18:B$32) = "Missed Hit",_xlfn.XLOOKUP(G76,A$18:A$32,B$18:B$32),_xlfn.XLOOKUP(G76,A$18:A$32,B$18:B$32) &amp; " Star " &amp; _xlfn.XLOOKUP(G76,A$18:A$32,C$18:C$32) &amp; "%"),_xlfn.XLOOKUP(G76,A$33:A$62,B$33:B$62)),"Not in war")</f>
        <v/>
      </c>
      <c r="K76" s="8">
        <f>IFERROR(IF($E$3=15,IF(_xlfn.XLOOKUP(G76,A$33:A$47,B$33:B$47) = "Missed Hit",_xlfn.XLOOKUP(G76,A$33:A$47,B$33:B$47),_xlfn.XLOOKUP(G76,A$33:A$47,B$33:B$47) &amp; " Star " &amp; _xlfn.XLOOKUP(G76,A$33:A$47,C$33:C$47) &amp; "%"),_xlfn.XLOOKUP(G76,A$63:A$92,B$63:B$92)),"Not in war")</f>
        <v/>
      </c>
      <c r="L76" s="7">
        <f>IFERROR(IF($E$3=15,IF(_xlfn.XLOOKUP(G76,A$48:A$62,B$48:B$62) = "Missed Hit",_xlfn.XLOOKUP(G76,A$48:A$62,B$48:B$62),_xlfn.XLOOKUP(G76,A$48:A$62,B$48:B$62) &amp; " Star " &amp; _xlfn.XLOOKUP(G76,A$48:A$62,C$48:C$62) &amp; "%"),_xlfn.XLOOKUP(G76,A$93:A$122,B$93:B$122)),"Not in war")</f>
        <v/>
      </c>
      <c r="M76" s="7">
        <f>IFERROR(IF($E$3=15,IF(_xlfn.XLOOKUP(G76,A$63:A$77,B$63:B$77) = "Missed Hit",_xlfn.XLOOKUP(G76,A$63:A$77,B$63:B$77),_xlfn.XLOOKUP(G76,A$63:A$77,B$63:B$77) &amp; " Star " &amp; _xlfn.XLOOKUP(G76,A$63:A$77,C$63:C$77) &amp; "%"),_xlfn.XLOOKUP(G76,A$123:A$152,B$123:B$152)),"Not in war")</f>
        <v/>
      </c>
      <c r="N76" s="7">
        <f>IFERROR(IF($E$3=15,IF(_xlfn.XLOOKUP(G76,A$78:A$92,B$78:B$92) = "Missed Hit",_xlfn.XLOOKUP(G76,A$78:A$92,B$78:B$92),_xlfn.XLOOKUP(G76,A$78:A$92,B$78:B$92) &amp; " Star " &amp; _xlfn.XLOOKUP(G76,A$78:A$92,C$78:C$92) &amp; "%"),_xlfn.XLOOKUP(G76,A$153:A$182,B$153:B$182)),"Not in war")</f>
        <v/>
      </c>
      <c r="O76" s="6">
        <f>IFERROR(IF($E$3=15,IF(_xlfn.XLOOKUP(G76,A$93:A$107,B$93:B$107) = "Missed Hit",_xlfn.XLOOKUP(G76,A$93:A$107,B$93:B$107),_xlfn.XLOOKUP(G76,A$93:A$107,B$93:B$107) &amp; " Star " &amp; _xlfn.XLOOKUP(G76,A$93:A$107,C$93:C$107) &amp; "%"),_xlfn.XLOOKUP(G76,A$153:A$182,B$153:B$182)),"Not in war")</f>
        <v/>
      </c>
      <c r="Q76" s="16">
        <f>IFERROR($R76/(3*(7-$Y76)),0)</f>
        <v/>
      </c>
      <c r="R76" s="14">
        <f>3*S76+2*T76+U76</f>
        <v/>
      </c>
      <c r="S76" s="17">
        <f>COUNTIF($I76:$O76, 3 &amp; "*")</f>
        <v/>
      </c>
      <c r="T76" s="17">
        <f>COUNTIF($I76:$O76, 2 &amp; "*")</f>
        <v/>
      </c>
      <c r="U76" s="17">
        <f>COUNTIF($I76:$O76,1)</f>
        <v/>
      </c>
      <c r="V76" s="17">
        <f>COUNTIF($I76:$O76, 0 &amp; "*")</f>
        <v/>
      </c>
      <c r="W76" s="17">
        <f>COUNTIF($I76:$O76,"Missed hit")</f>
        <v/>
      </c>
      <c r="X76" s="17">
        <f>IF($E$3=15,SUM(_xlfn.XLOOKUP(G76,$A$3:$A$17,$C$3:$C$17,0),_xlfn.XLOOKUP(G76,$A$18:$A$32,$C$18:$C$32,0),_xlfn.XLOOKUP(G76,$A$33:$A$47,$C$33:$C$47,0), _xlfn.XLOOKUP(G76,$A$48:$A$62,$C$48:$C$62,0), _xlfn.XLOOKUP(G76,$A$63:$A$77,$C$63:$C$77,0), _xlfn.XLOOKUP(G76,$A$78:$A$92,$C$78:$C$92,0), _xlfn.XLOOKUP(G76,$A$93:$A$107,$C$93:$C$107,0)))</f>
        <v/>
      </c>
      <c r="Y76" s="17">
        <f>COUNTIF($I76:$O76,"Not in war")</f>
        <v/>
      </c>
      <c r="AB76" s="61" t="n">
        <v>0</v>
      </c>
      <c r="AC76" s="58" t="n">
        <v>0</v>
      </c>
      <c r="AD76" s="8" t="n">
        <v>0</v>
      </c>
      <c r="AE76" s="8" t="n">
        <v>0</v>
      </c>
      <c r="AF76" s="7" t="n">
        <v>0</v>
      </c>
      <c r="AG76" s="7" t="n">
        <v>0</v>
      </c>
      <c r="AH76" s="7" t="n">
        <v>0</v>
      </c>
      <c r="AI76" s="6" t="n">
        <v>0</v>
      </c>
      <c r="AJ76" s="55" t="n">
        <v>0</v>
      </c>
      <c r="AK76" s="16" t="n">
        <v>0</v>
      </c>
      <c r="AL76" s="14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b">
        <v>0</v>
      </c>
      <c r="AS76" s="17" t="n">
        <v>0</v>
      </c>
    </row>
    <row r="77" ht="18" customFormat="1" customHeight="1" s="3">
      <c r="A77" s="30" t="n"/>
      <c r="B77" s="40" t="n"/>
      <c r="C77" s="40" t="n"/>
      <c r="D77" s="30" t="n"/>
      <c r="E77" s="34" t="n"/>
      <c r="F77" s="30" t="n"/>
      <c r="G77" s="9" t="n"/>
      <c r="H77" s="20" t="n"/>
      <c r="I77" s="8">
        <f>IFERROR(IF($E$3=15,IF(_xlfn.XLOOKUP(G77,A$3:A$17,B$3:B$17) = "Missed Hit",_xlfn.XLOOKUP(G77,A$3:A$17,B$3:B$17),_xlfn.XLOOKUP(G77,A$3:A$17,B$3:B$17) &amp; " Star " &amp; _xlfn.XLOOKUP(G77,A$3:A$17,C$3:C$17) &amp; "%"),_xlfn.XLOOKUP(G77,A$3:A$32,B$3:B$32)),"Not in war")</f>
        <v/>
      </c>
      <c r="J77" s="8">
        <f>IFERROR(IF($E$3=15,IF(_xlfn.XLOOKUP(G77,A$18:A$32,B$18:B$32) = "Missed Hit",_xlfn.XLOOKUP(G77,A$18:A$32,B$18:B$32),_xlfn.XLOOKUP(G77,A$18:A$32,B$18:B$32) &amp; " Star " &amp; _xlfn.XLOOKUP(G77,A$18:A$32,C$18:C$32) &amp; "%"),_xlfn.XLOOKUP(G77,A$33:A$62,B$33:B$62)),"Not in war")</f>
        <v/>
      </c>
      <c r="K77" s="8">
        <f>IFERROR(IF($E$3=15,IF(_xlfn.XLOOKUP(G77,A$33:A$47,B$33:B$47) = "Missed Hit",_xlfn.XLOOKUP(G77,A$33:A$47,B$33:B$47),_xlfn.XLOOKUP(G77,A$33:A$47,B$33:B$47) &amp; " Star " &amp; _xlfn.XLOOKUP(G77,A$33:A$47,C$33:C$47) &amp; "%"),_xlfn.XLOOKUP(G77,A$63:A$92,B$63:B$92)),"Not in war")</f>
        <v/>
      </c>
      <c r="L77" s="7">
        <f>IFERROR(IF($E$3=15,IF(_xlfn.XLOOKUP(G77,A$48:A$62,B$48:B$62) = "Missed Hit",_xlfn.XLOOKUP(G77,A$48:A$62,B$48:B$62),_xlfn.XLOOKUP(G77,A$48:A$62,B$48:B$62) &amp; " Star " &amp; _xlfn.XLOOKUP(G77,A$48:A$62,C$48:C$62) &amp; "%"),_xlfn.XLOOKUP(G77,A$93:A$122,B$93:B$122)),"Not in war")</f>
        <v/>
      </c>
      <c r="M77" s="7">
        <f>IFERROR(IF($E$3=15,IF(_xlfn.XLOOKUP(G77,A$63:A$77,B$63:B$77) = "Missed Hit",_xlfn.XLOOKUP(G77,A$63:A$77,B$63:B$77),_xlfn.XLOOKUP(G77,A$63:A$77,B$63:B$77) &amp; " Star " &amp; _xlfn.XLOOKUP(G77,A$63:A$77,C$63:C$77) &amp; "%"),_xlfn.XLOOKUP(G77,A$123:A$152,B$123:B$152)),"Not in war")</f>
        <v/>
      </c>
      <c r="N77" s="7">
        <f>IFERROR(IF($E$3=15,IF(_xlfn.XLOOKUP(G77,A$78:A$92,B$78:B$92) = "Missed Hit",_xlfn.XLOOKUP(G77,A$78:A$92,B$78:B$92),_xlfn.XLOOKUP(G77,A$78:A$92,B$78:B$92) &amp; " Star " &amp; _xlfn.XLOOKUP(G77,A$78:A$92,C$78:C$92) &amp; "%"),_xlfn.XLOOKUP(G77,A$153:A$182,B$153:B$182)),"Not in war")</f>
        <v/>
      </c>
      <c r="O77" s="6">
        <f>IFERROR(IF($E$3=15,IF(_xlfn.XLOOKUP(G77,A$93:A$107,B$93:B$107) = "Missed Hit",_xlfn.XLOOKUP(G77,A$93:A$107,B$93:B$107),_xlfn.XLOOKUP(G77,A$93:A$107,B$93:B$107) &amp; " Star " &amp; _xlfn.XLOOKUP(G77,A$93:A$107,C$93:C$107) &amp; "%"),_xlfn.XLOOKUP(G77,A$153:A$182,B$153:B$182)),"Not in war")</f>
        <v/>
      </c>
      <c r="Q77" s="16">
        <f>IFERROR($R77/(3*(7-$Y77)),0)</f>
        <v/>
      </c>
      <c r="R77" s="14">
        <f>3*S77+2*T77+U77</f>
        <v/>
      </c>
      <c r="S77" s="17">
        <f>COUNTIF($I77:$O77, 3 &amp; "*")</f>
        <v/>
      </c>
      <c r="T77" s="17">
        <f>COUNTIF($I77:$O77, 2 &amp; "*")</f>
        <v/>
      </c>
      <c r="U77" s="17">
        <f>COUNTIF($I77:$O77,1)</f>
        <v/>
      </c>
      <c r="V77" s="17">
        <f>COUNTIF($I77:$O77, 0 &amp; "*")</f>
        <v/>
      </c>
      <c r="W77" s="17">
        <f>COUNTIF($I77:$O77,"Missed hit")</f>
        <v/>
      </c>
      <c r="X77" s="17">
        <f>IF($E$3=15,SUM(_xlfn.XLOOKUP(G77,$A$3:$A$17,$C$3:$C$17,0),_xlfn.XLOOKUP(G77,$A$18:$A$32,$C$18:$C$32,0),_xlfn.XLOOKUP(G77,$A$33:$A$47,$C$33:$C$47,0), _xlfn.XLOOKUP(G77,$A$48:$A$62,$C$48:$C$62,0), _xlfn.XLOOKUP(G77,$A$63:$A$77,$C$63:$C$77,0), _xlfn.XLOOKUP(G77,$A$78:$A$92,$C$78:$C$92,0), _xlfn.XLOOKUP(G77,$A$93:$A$107,$C$93:$C$107,0)))</f>
        <v/>
      </c>
      <c r="Y77" s="17">
        <f>COUNTIF($I77:$O77,"Not in war")</f>
        <v/>
      </c>
      <c r="AB77" s="61" t="n">
        <v>0</v>
      </c>
      <c r="AC77" s="58" t="n">
        <v>0</v>
      </c>
      <c r="AD77" s="8" t="n">
        <v>0</v>
      </c>
      <c r="AE77" s="8" t="n">
        <v>0</v>
      </c>
      <c r="AF77" s="7" t="n">
        <v>0</v>
      </c>
      <c r="AG77" s="7" t="n">
        <v>0</v>
      </c>
      <c r="AH77" s="7" t="n">
        <v>0</v>
      </c>
      <c r="AI77" s="6" t="n">
        <v>0</v>
      </c>
      <c r="AJ77" s="55" t="n">
        <v>0</v>
      </c>
      <c r="AK77" s="16" t="n">
        <v>0</v>
      </c>
      <c r="AL77" s="14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b">
        <v>0</v>
      </c>
      <c r="AS77" s="17" t="n">
        <v>0</v>
      </c>
    </row>
    <row r="78" ht="18" customFormat="1" customHeight="1" s="3">
      <c r="A78" s="30" t="n"/>
      <c r="B78" s="40" t="n"/>
      <c r="C78" s="40" t="n"/>
      <c r="D78" s="30" t="n"/>
      <c r="E78" s="34" t="n"/>
      <c r="F78" s="30" t="n"/>
      <c r="G78" s="9" t="n"/>
      <c r="H78" s="20" t="n"/>
      <c r="I78" s="8">
        <f>IFERROR(IF($E$3=15,IF(_xlfn.XLOOKUP(G78,A$3:A$17,B$3:B$17) = "Missed Hit",_xlfn.XLOOKUP(G78,A$3:A$17,B$3:B$17),_xlfn.XLOOKUP(G78,A$3:A$17,B$3:B$17) &amp; " Star " &amp; _xlfn.XLOOKUP(G78,A$3:A$17,C$3:C$17) &amp; "%"),_xlfn.XLOOKUP(G78,A$3:A$32,B$3:B$32)),"Not in war")</f>
        <v/>
      </c>
      <c r="J78" s="8">
        <f>IFERROR(IF($E$3=15,IF(_xlfn.XLOOKUP(G78,A$18:A$32,B$18:B$32) = "Missed Hit",_xlfn.XLOOKUP(G78,A$18:A$32,B$18:B$32),_xlfn.XLOOKUP(G78,A$18:A$32,B$18:B$32) &amp; " Star " &amp; _xlfn.XLOOKUP(G78,A$18:A$32,C$18:C$32) &amp; "%"),_xlfn.XLOOKUP(G78,A$33:A$62,B$33:B$62)),"Not in war")</f>
        <v/>
      </c>
      <c r="K78" s="8">
        <f>IFERROR(IF($E$3=15,IF(_xlfn.XLOOKUP(G78,A$33:A$47,B$33:B$47) = "Missed Hit",_xlfn.XLOOKUP(G78,A$33:A$47,B$33:B$47),_xlfn.XLOOKUP(G78,A$33:A$47,B$33:B$47) &amp; " Star " &amp; _xlfn.XLOOKUP(G78,A$33:A$47,C$33:C$47) &amp; "%"),_xlfn.XLOOKUP(G78,A$63:A$92,B$63:B$92)),"Not in war")</f>
        <v/>
      </c>
      <c r="L78" s="7">
        <f>IFERROR(IF($E$3=15,IF(_xlfn.XLOOKUP(G78,A$48:A$62,B$48:B$62) = "Missed Hit",_xlfn.XLOOKUP(G78,A$48:A$62,B$48:B$62),_xlfn.XLOOKUP(G78,A$48:A$62,B$48:B$62) &amp; " Star " &amp; _xlfn.XLOOKUP(G78,A$48:A$62,C$48:C$62) &amp; "%"),_xlfn.XLOOKUP(G78,A$93:A$122,B$93:B$122)),"Not in war")</f>
        <v/>
      </c>
      <c r="M78" s="7">
        <f>IFERROR(IF($E$3=15,IF(_xlfn.XLOOKUP(G78,A$63:A$77,B$63:B$77) = "Missed Hit",_xlfn.XLOOKUP(G78,A$63:A$77,B$63:B$77),_xlfn.XLOOKUP(G78,A$63:A$77,B$63:B$77) &amp; " Star " &amp; _xlfn.XLOOKUP(G78,A$63:A$77,C$63:C$77) &amp; "%"),_xlfn.XLOOKUP(G78,A$123:A$152,B$123:B$152)),"Not in war")</f>
        <v/>
      </c>
      <c r="N78" s="7">
        <f>IFERROR(IF($E$3=15,IF(_xlfn.XLOOKUP(G78,A$78:A$92,B$78:B$92) = "Missed Hit",_xlfn.XLOOKUP(G78,A$78:A$92,B$78:B$92),_xlfn.XLOOKUP(G78,A$78:A$92,B$78:B$92) &amp; " Star " &amp; _xlfn.XLOOKUP(G78,A$78:A$92,C$78:C$92) &amp; "%"),_xlfn.XLOOKUP(G78,A$153:A$182,B$153:B$182)),"Not in war")</f>
        <v/>
      </c>
      <c r="O78" s="6">
        <f>IFERROR(IF($E$3=15,IF(_xlfn.XLOOKUP(G78,A$93:A$107,B$93:B$107) = "Missed Hit",_xlfn.XLOOKUP(G78,A$93:A$107,B$93:B$107),_xlfn.XLOOKUP(G78,A$93:A$107,B$93:B$107) &amp; " Star " &amp; _xlfn.XLOOKUP(G78,A$93:A$107,C$93:C$107) &amp; "%"),_xlfn.XLOOKUP(G78,A$153:A$182,B$153:B$182)),"Not in war")</f>
        <v/>
      </c>
      <c r="Q78" s="16">
        <f>IFERROR($R78/(3*(7-$Y78)),0)</f>
        <v/>
      </c>
      <c r="R78" s="14">
        <f>3*S78+2*T78+U78</f>
        <v/>
      </c>
      <c r="S78" s="17">
        <f>COUNTIF($I78:$O78, 3 &amp; "*")</f>
        <v/>
      </c>
      <c r="T78" s="17">
        <f>COUNTIF($I78:$O78, 2 &amp; "*")</f>
        <v/>
      </c>
      <c r="U78" s="17">
        <f>COUNTIF($I78:$O78,1)</f>
        <v/>
      </c>
      <c r="V78" s="17">
        <f>COUNTIF($I78:$O78, 0 &amp; "*")</f>
        <v/>
      </c>
      <c r="W78" s="17">
        <f>COUNTIF($I78:$O78,"Missed hit")</f>
        <v/>
      </c>
      <c r="X78" s="17">
        <f>IF($E$3=15,SUM(_xlfn.XLOOKUP(G78,$A$3:$A$17,$C$3:$C$17,0),_xlfn.XLOOKUP(G78,$A$18:$A$32,$C$18:$C$32,0),_xlfn.XLOOKUP(G78,$A$33:$A$47,$C$33:$C$47,0), _xlfn.XLOOKUP(G78,$A$48:$A$62,$C$48:$C$62,0), _xlfn.XLOOKUP(G78,$A$63:$A$77,$C$63:$C$77,0), _xlfn.XLOOKUP(G78,$A$78:$A$92,$C$78:$C$92,0), _xlfn.XLOOKUP(G78,$A$93:$A$107,$C$93:$C$107,0)))</f>
        <v/>
      </c>
      <c r="Y78" s="17">
        <f>COUNTIF($I78:$O78,"Not in war")</f>
        <v/>
      </c>
      <c r="AB78" s="61" t="n">
        <v>0</v>
      </c>
      <c r="AC78" s="58" t="n">
        <v>0</v>
      </c>
      <c r="AD78" s="8" t="n">
        <v>0</v>
      </c>
      <c r="AE78" s="8" t="n">
        <v>0</v>
      </c>
      <c r="AF78" s="7" t="n">
        <v>0</v>
      </c>
      <c r="AG78" s="7" t="n">
        <v>0</v>
      </c>
      <c r="AH78" s="7" t="n">
        <v>0</v>
      </c>
      <c r="AI78" s="6" t="n">
        <v>0</v>
      </c>
      <c r="AJ78" s="55" t="n">
        <v>0</v>
      </c>
      <c r="AK78" s="16" t="n">
        <v>0</v>
      </c>
      <c r="AL78" s="14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b">
        <v>0</v>
      </c>
      <c r="AS78" s="17" t="n">
        <v>0</v>
      </c>
    </row>
    <row r="79" ht="18" customFormat="1" customHeight="1" s="3">
      <c r="A79" s="30" t="n"/>
      <c r="B79" s="40" t="n"/>
      <c r="C79" s="40" t="n"/>
      <c r="D79" s="30" t="n"/>
      <c r="E79" s="34" t="n"/>
      <c r="F79" s="30" t="n"/>
      <c r="G79" s="9" t="n"/>
      <c r="H79" s="20" t="n"/>
      <c r="I79" s="8">
        <f>IFERROR(IF($E$3=15,IF(_xlfn.XLOOKUP(G79,A$3:A$17,B$3:B$17) = "Missed Hit",_xlfn.XLOOKUP(G79,A$3:A$17,B$3:B$17),_xlfn.XLOOKUP(G79,A$3:A$17,B$3:B$17) &amp; " Star " &amp; _xlfn.XLOOKUP(G79,A$3:A$17,C$3:C$17) &amp; "%"),_xlfn.XLOOKUP(G79,A$3:A$32,B$3:B$32)),"Not in war")</f>
        <v/>
      </c>
      <c r="J79" s="8">
        <f>IFERROR(IF($E$3=15,IF(_xlfn.XLOOKUP(G79,A$18:A$32,B$18:B$32) = "Missed Hit",_xlfn.XLOOKUP(G79,A$18:A$32,B$18:B$32),_xlfn.XLOOKUP(G79,A$18:A$32,B$18:B$32) &amp; " Star " &amp; _xlfn.XLOOKUP(G79,A$18:A$32,C$18:C$32) &amp; "%"),_xlfn.XLOOKUP(G79,A$33:A$62,B$33:B$62)),"Not in war")</f>
        <v/>
      </c>
      <c r="K79" s="8">
        <f>IFERROR(IF($E$3=15,IF(_xlfn.XLOOKUP(G79,A$33:A$47,B$33:B$47) = "Missed Hit",_xlfn.XLOOKUP(G79,A$33:A$47,B$33:B$47),_xlfn.XLOOKUP(G79,A$33:A$47,B$33:B$47) &amp; " Star " &amp; _xlfn.XLOOKUP(G79,A$33:A$47,C$33:C$47) &amp; "%"),_xlfn.XLOOKUP(G79,A$63:A$92,B$63:B$92)),"Not in war")</f>
        <v/>
      </c>
      <c r="L79" s="7">
        <f>IFERROR(IF($E$3=15,IF(_xlfn.XLOOKUP(G79,A$48:A$62,B$48:B$62) = "Missed Hit",_xlfn.XLOOKUP(G79,A$48:A$62,B$48:B$62),_xlfn.XLOOKUP(G79,A$48:A$62,B$48:B$62) &amp; " Star " &amp; _xlfn.XLOOKUP(G79,A$48:A$62,C$48:C$62) &amp; "%"),_xlfn.XLOOKUP(G79,A$93:A$122,B$93:B$122)),"Not in war")</f>
        <v/>
      </c>
      <c r="M79" s="7">
        <f>IFERROR(IF($E$3=15,IF(_xlfn.XLOOKUP(G79,A$63:A$77,B$63:B$77) = "Missed Hit",_xlfn.XLOOKUP(G79,A$63:A$77,B$63:B$77),_xlfn.XLOOKUP(G79,A$63:A$77,B$63:B$77) &amp; " Star " &amp; _xlfn.XLOOKUP(G79,A$63:A$77,C$63:C$77) &amp; "%"),_xlfn.XLOOKUP(G79,A$123:A$152,B$123:B$152)),"Not in war")</f>
        <v/>
      </c>
      <c r="N79" s="7">
        <f>IFERROR(IF($E$3=15,IF(_xlfn.XLOOKUP(G79,A$78:A$92,B$78:B$92) = "Missed Hit",_xlfn.XLOOKUP(G79,A$78:A$92,B$78:B$92),_xlfn.XLOOKUP(G79,A$78:A$92,B$78:B$92) &amp; " Star " &amp; _xlfn.XLOOKUP(G79,A$78:A$92,C$78:C$92) &amp; "%"),_xlfn.XLOOKUP(G79,A$153:A$182,B$153:B$182)),"Not in war")</f>
        <v/>
      </c>
      <c r="O79" s="6">
        <f>IFERROR(IF($E$3=15,IF(_xlfn.XLOOKUP(G79,A$93:A$107,B$93:B$107) = "Missed Hit",_xlfn.XLOOKUP(G79,A$93:A$107,B$93:B$107),_xlfn.XLOOKUP(G79,A$93:A$107,B$93:B$107) &amp; " Star " &amp; _xlfn.XLOOKUP(G79,A$93:A$107,C$93:C$107) &amp; "%"),_xlfn.XLOOKUP(G79,A$153:A$182,B$153:B$182)),"Not in war")</f>
        <v/>
      </c>
      <c r="Q79" s="16">
        <f>IFERROR($R79/(3*(7-$Y79)),0)</f>
        <v/>
      </c>
      <c r="R79" s="14">
        <f>3*S79+2*T79+U79</f>
        <v/>
      </c>
      <c r="S79" s="17">
        <f>COUNTIF($I79:$O79, 3 &amp; "*")</f>
        <v/>
      </c>
      <c r="T79" s="17">
        <f>COUNTIF($I79:$O79, 2 &amp; "*")</f>
        <v/>
      </c>
      <c r="U79" s="17">
        <f>COUNTIF($I79:$O79,1)</f>
        <v/>
      </c>
      <c r="V79" s="17">
        <f>COUNTIF($I79:$O79, 0 &amp; "*")</f>
        <v/>
      </c>
      <c r="W79" s="17">
        <f>COUNTIF($I79:$O79,"Missed hit")</f>
        <v/>
      </c>
      <c r="X79" s="17">
        <f>IF($E$3=15,SUM(_xlfn.XLOOKUP(G79,$A$3:$A$17,$C$3:$C$17,0),_xlfn.XLOOKUP(G79,$A$18:$A$32,$C$18:$C$32,0),_xlfn.XLOOKUP(G79,$A$33:$A$47,$C$33:$C$47,0), _xlfn.XLOOKUP(G79,$A$48:$A$62,$C$48:$C$62,0), _xlfn.XLOOKUP(G79,$A$63:$A$77,$C$63:$C$77,0), _xlfn.XLOOKUP(G79,$A$78:$A$92,$C$78:$C$92,0), _xlfn.XLOOKUP(G79,$A$93:$A$107,$C$93:$C$107,0)))</f>
        <v/>
      </c>
      <c r="Y79" s="17">
        <f>COUNTIF($I79:$O79,"Not in war")</f>
        <v/>
      </c>
      <c r="AB79" s="61" t="n">
        <v>0</v>
      </c>
      <c r="AC79" s="58" t="n">
        <v>0</v>
      </c>
      <c r="AD79" s="8" t="n">
        <v>0</v>
      </c>
      <c r="AE79" s="8" t="n">
        <v>0</v>
      </c>
      <c r="AF79" s="7" t="n">
        <v>0</v>
      </c>
      <c r="AG79" s="7" t="n">
        <v>0</v>
      </c>
      <c r="AH79" s="7" t="n">
        <v>0</v>
      </c>
      <c r="AI79" s="6" t="n">
        <v>0</v>
      </c>
      <c r="AJ79" s="55" t="n">
        <v>0</v>
      </c>
      <c r="AK79" s="16" t="n">
        <v>0</v>
      </c>
      <c r="AL79" s="14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b">
        <v>0</v>
      </c>
      <c r="AS79" s="17" t="n">
        <v>0</v>
      </c>
    </row>
    <row r="80" ht="18" customFormat="1" customHeight="1" s="3">
      <c r="A80" s="30" t="n"/>
      <c r="B80" s="40" t="n"/>
      <c r="C80" s="40" t="n"/>
      <c r="D80" s="30" t="n"/>
      <c r="E80" s="34" t="n"/>
      <c r="F80" s="30" t="n"/>
      <c r="G80" s="9" t="n"/>
      <c r="H80" s="20" t="n"/>
      <c r="I80" s="8">
        <f>IFERROR(IF($E$3=15,IF(_xlfn.XLOOKUP(G80,A$3:A$17,B$3:B$17) = "Missed Hit",_xlfn.XLOOKUP(G80,A$3:A$17,B$3:B$17),_xlfn.XLOOKUP(G80,A$3:A$17,B$3:B$17) &amp; " Star " &amp; _xlfn.XLOOKUP(G80,A$3:A$17,C$3:C$17) &amp; "%"),_xlfn.XLOOKUP(G80,A$3:A$32,B$3:B$32)),"Not in war")</f>
        <v/>
      </c>
      <c r="J80" s="8">
        <f>IFERROR(IF($E$3=15,IF(_xlfn.XLOOKUP(G80,A$18:A$32,B$18:B$32) = "Missed Hit",_xlfn.XLOOKUP(G80,A$18:A$32,B$18:B$32),_xlfn.XLOOKUP(G80,A$18:A$32,B$18:B$32) &amp; " Star " &amp; _xlfn.XLOOKUP(G80,A$18:A$32,C$18:C$32) &amp; "%"),_xlfn.XLOOKUP(G80,A$33:A$62,B$33:B$62)),"Not in war")</f>
        <v/>
      </c>
      <c r="K80" s="8">
        <f>IFERROR(IF($E$3=15,IF(_xlfn.XLOOKUP(G80,A$33:A$47,B$33:B$47) = "Missed Hit",_xlfn.XLOOKUP(G80,A$33:A$47,B$33:B$47),_xlfn.XLOOKUP(G80,A$33:A$47,B$33:B$47) &amp; " Star " &amp; _xlfn.XLOOKUP(G80,A$33:A$47,C$33:C$47) &amp; "%"),_xlfn.XLOOKUP(G80,A$63:A$92,B$63:B$92)),"Not in war")</f>
        <v/>
      </c>
      <c r="L80" s="7">
        <f>IFERROR(IF($E$3=15,IF(_xlfn.XLOOKUP(G80,A$48:A$62,B$48:B$62) = "Missed Hit",_xlfn.XLOOKUP(G80,A$48:A$62,B$48:B$62),_xlfn.XLOOKUP(G80,A$48:A$62,B$48:B$62) &amp; " Star " &amp; _xlfn.XLOOKUP(G80,A$48:A$62,C$48:C$62) &amp; "%"),_xlfn.XLOOKUP(G80,A$93:A$122,B$93:B$122)),"Not in war")</f>
        <v/>
      </c>
      <c r="M80" s="7">
        <f>IFERROR(IF($E$3=15,IF(_xlfn.XLOOKUP(G80,A$63:A$77,B$63:B$77) = "Missed Hit",_xlfn.XLOOKUP(G80,A$63:A$77,B$63:B$77),_xlfn.XLOOKUP(G80,A$63:A$77,B$63:B$77) &amp; " Star " &amp; _xlfn.XLOOKUP(G80,A$63:A$77,C$63:C$77) &amp; "%"),_xlfn.XLOOKUP(G80,A$123:A$152,B$123:B$152)),"Not in war")</f>
        <v/>
      </c>
      <c r="N80" s="7">
        <f>IFERROR(IF($E$3=15,IF(_xlfn.XLOOKUP(G80,A$78:A$92,B$78:B$92) = "Missed Hit",_xlfn.XLOOKUP(G80,A$78:A$92,B$78:B$92),_xlfn.XLOOKUP(G80,A$78:A$92,B$78:B$92) &amp; " Star " &amp; _xlfn.XLOOKUP(G80,A$78:A$92,C$78:C$92) &amp; "%"),_xlfn.XLOOKUP(G80,A$153:A$182,B$153:B$182)),"Not in war")</f>
        <v/>
      </c>
      <c r="O80" s="6">
        <f>IFERROR(IF($E$3=15,IF(_xlfn.XLOOKUP(G80,A$93:A$107,B$93:B$107) = "Missed Hit",_xlfn.XLOOKUP(G80,A$93:A$107,B$93:B$107),_xlfn.XLOOKUP(G80,A$93:A$107,B$93:B$107) &amp; " Star " &amp; _xlfn.XLOOKUP(G80,A$93:A$107,C$93:C$107) &amp; "%"),_xlfn.XLOOKUP(G80,A$153:A$182,B$153:B$182)),"Not in war")</f>
        <v/>
      </c>
      <c r="Q80" s="16">
        <f>IFERROR($R80/(3*(7-$Y80)),0)</f>
        <v/>
      </c>
      <c r="R80" s="14">
        <f>3*S80+2*T80+U80</f>
        <v/>
      </c>
      <c r="S80" s="17">
        <f>COUNTIF($I80:$O80, 3 &amp; "*")</f>
        <v/>
      </c>
      <c r="T80" s="17">
        <f>COUNTIF($I80:$O80, 2 &amp; "*")</f>
        <v/>
      </c>
      <c r="U80" s="17">
        <f>COUNTIF($I80:$O80,1)</f>
        <v/>
      </c>
      <c r="V80" s="17">
        <f>COUNTIF($I80:$O80, 0 &amp; "*")</f>
        <v/>
      </c>
      <c r="W80" s="17">
        <f>COUNTIF($I80:$O80,"Missed hit")</f>
        <v/>
      </c>
      <c r="X80" s="17">
        <f>IF($E$3=15,SUM(_xlfn.XLOOKUP(G80,$A$3:$A$17,$C$3:$C$17,0),_xlfn.XLOOKUP(G80,$A$18:$A$32,$C$18:$C$32,0),_xlfn.XLOOKUP(G80,$A$33:$A$47,$C$33:$C$47,0), _xlfn.XLOOKUP(G80,$A$48:$A$62,$C$48:$C$62,0), _xlfn.XLOOKUP(G80,$A$63:$A$77,$C$63:$C$77,0), _xlfn.XLOOKUP(G80,$A$78:$A$92,$C$78:$C$92,0), _xlfn.XLOOKUP(G80,$A$93:$A$107,$C$93:$C$107,0)))</f>
        <v/>
      </c>
      <c r="Y80" s="17">
        <f>COUNTIF($I80:$O80,"Not in war")</f>
        <v/>
      </c>
      <c r="AB80" s="61" t="n">
        <v>0</v>
      </c>
      <c r="AC80" s="58" t="n">
        <v>0</v>
      </c>
      <c r="AD80" s="8" t="n">
        <v>0</v>
      </c>
      <c r="AE80" s="8" t="n">
        <v>0</v>
      </c>
      <c r="AF80" s="7" t="n">
        <v>0</v>
      </c>
      <c r="AG80" s="7" t="n">
        <v>0</v>
      </c>
      <c r="AH80" s="7" t="n">
        <v>0</v>
      </c>
      <c r="AI80" s="6" t="n">
        <v>0</v>
      </c>
      <c r="AJ80" s="55" t="n">
        <v>0</v>
      </c>
      <c r="AK80" s="16" t="n">
        <v>0</v>
      </c>
      <c r="AL80" s="14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b">
        <v>0</v>
      </c>
      <c r="AS80" s="17" t="n">
        <v>0</v>
      </c>
    </row>
    <row r="81" ht="18" customFormat="1" customHeight="1" s="3">
      <c r="A81" s="30" t="n"/>
      <c r="B81" s="40" t="n"/>
      <c r="C81" s="40" t="n"/>
      <c r="D81" s="30" t="n"/>
      <c r="E81" s="34" t="n"/>
      <c r="F81" s="30" t="n"/>
      <c r="G81" s="9" t="n"/>
      <c r="H81" s="20" t="n"/>
      <c r="I81" s="8">
        <f>IFERROR(IF($E$3=15,IF(_xlfn.XLOOKUP(G81,A$3:A$17,B$3:B$17) = "Missed Hit",_xlfn.XLOOKUP(G81,A$3:A$17,B$3:B$17),_xlfn.XLOOKUP(G81,A$3:A$17,B$3:B$17) &amp; " Star " &amp; _xlfn.XLOOKUP(G81,A$3:A$17,C$3:C$17) &amp; "%"),_xlfn.XLOOKUP(G81,A$3:A$32,B$3:B$32)),"Not in war")</f>
        <v/>
      </c>
      <c r="J81" s="8">
        <f>IFERROR(IF($E$3=15,IF(_xlfn.XLOOKUP(G81,A$18:A$32,B$18:B$32) = "Missed Hit",_xlfn.XLOOKUP(G81,A$18:A$32,B$18:B$32),_xlfn.XLOOKUP(G81,A$18:A$32,B$18:B$32) &amp; " Star " &amp; _xlfn.XLOOKUP(G81,A$18:A$32,C$18:C$32) &amp; "%"),_xlfn.XLOOKUP(G81,A$33:A$62,B$33:B$62)),"Not in war")</f>
        <v/>
      </c>
      <c r="K81" s="8">
        <f>IFERROR(IF($E$3=15,IF(_xlfn.XLOOKUP(G81,A$33:A$47,B$33:B$47) = "Missed Hit",_xlfn.XLOOKUP(G81,A$33:A$47,B$33:B$47),_xlfn.XLOOKUP(G81,A$33:A$47,B$33:B$47) &amp; " Star " &amp; _xlfn.XLOOKUP(G81,A$33:A$47,C$33:C$47) &amp; "%"),_xlfn.XLOOKUP(G81,A$63:A$92,B$63:B$92)),"Not in war")</f>
        <v/>
      </c>
      <c r="L81" s="7">
        <f>IFERROR(IF($E$3=15,IF(_xlfn.XLOOKUP(G81,A$48:A$62,B$48:B$62) = "Missed Hit",_xlfn.XLOOKUP(G81,A$48:A$62,B$48:B$62),_xlfn.XLOOKUP(G81,A$48:A$62,B$48:B$62) &amp; " Star " &amp; _xlfn.XLOOKUP(G81,A$48:A$62,C$48:C$62) &amp; "%"),_xlfn.XLOOKUP(G81,A$93:A$122,B$93:B$122)),"Not in war")</f>
        <v/>
      </c>
      <c r="M81" s="7">
        <f>IFERROR(IF($E$3=15,IF(_xlfn.XLOOKUP(G81,A$63:A$77,B$63:B$77) = "Missed Hit",_xlfn.XLOOKUP(G81,A$63:A$77,B$63:B$77),_xlfn.XLOOKUP(G81,A$63:A$77,B$63:B$77) &amp; " Star " &amp; _xlfn.XLOOKUP(G81,A$63:A$77,C$63:C$77) &amp; "%"),_xlfn.XLOOKUP(G81,A$123:A$152,B$123:B$152)),"Not in war")</f>
        <v/>
      </c>
      <c r="N81" s="7">
        <f>IFERROR(IF($E$3=15,IF(_xlfn.XLOOKUP(G81,A$78:A$92,B$78:B$92) = "Missed Hit",_xlfn.XLOOKUP(G81,A$78:A$92,B$78:B$92),_xlfn.XLOOKUP(G81,A$78:A$92,B$78:B$92) &amp; " Star " &amp; _xlfn.XLOOKUP(G81,A$78:A$92,C$78:C$92) &amp; "%"),_xlfn.XLOOKUP(G81,A$153:A$182,B$153:B$182)),"Not in war")</f>
        <v/>
      </c>
      <c r="O81" s="6">
        <f>IFERROR(IF($E$3=15,IF(_xlfn.XLOOKUP(G81,A$93:A$107,B$93:B$107) = "Missed Hit",_xlfn.XLOOKUP(G81,A$93:A$107,B$93:B$107),_xlfn.XLOOKUP(G81,A$93:A$107,B$93:B$107) &amp; " Star " &amp; _xlfn.XLOOKUP(G81,A$93:A$107,C$93:C$107) &amp; "%"),_xlfn.XLOOKUP(G81,A$153:A$182,B$153:B$182)),"Not in war")</f>
        <v/>
      </c>
      <c r="Q81" s="16">
        <f>IFERROR($R81/(3*(7-$Y81)),0)</f>
        <v/>
      </c>
      <c r="R81" s="14">
        <f>3*S81+2*T81+U81</f>
        <v/>
      </c>
      <c r="S81" s="17">
        <f>COUNTIF($I81:$O81, 3 &amp; "*")</f>
        <v/>
      </c>
      <c r="T81" s="17">
        <f>COUNTIF($I81:$O81, 2 &amp; "*")</f>
        <v/>
      </c>
      <c r="U81" s="17">
        <f>COUNTIF($I81:$O81,1)</f>
        <v/>
      </c>
      <c r="V81" s="17">
        <f>COUNTIF($I81:$O81, 0 &amp; "*")</f>
        <v/>
      </c>
      <c r="W81" s="17">
        <f>COUNTIF($I81:$O81,"Missed hit")</f>
        <v/>
      </c>
      <c r="X81" s="17">
        <f>IF($E$3=15,SUM(_xlfn.XLOOKUP(G81,$A$3:$A$17,$C$3:$C$17,0),_xlfn.XLOOKUP(G81,$A$18:$A$32,$C$18:$C$32,0),_xlfn.XLOOKUP(G81,$A$33:$A$47,$C$33:$C$47,0), _xlfn.XLOOKUP(G81,$A$48:$A$62,$C$48:$C$62,0), _xlfn.XLOOKUP(G81,$A$63:$A$77,$C$63:$C$77,0), _xlfn.XLOOKUP(G81,$A$78:$A$92,$C$78:$C$92,0), _xlfn.XLOOKUP(G81,$A$93:$A$107,$C$93:$C$107,0)))</f>
        <v/>
      </c>
      <c r="Y81" s="17">
        <f>COUNTIF($I81:$O81,"Not in war")</f>
        <v/>
      </c>
      <c r="AB81" s="61" t="n">
        <v>0</v>
      </c>
      <c r="AC81" s="58" t="n">
        <v>0</v>
      </c>
      <c r="AD81" s="8" t="n">
        <v>0</v>
      </c>
      <c r="AE81" s="8" t="n">
        <v>0</v>
      </c>
      <c r="AF81" s="7" t="n">
        <v>0</v>
      </c>
      <c r="AG81" s="7" t="n">
        <v>0</v>
      </c>
      <c r="AH81" s="7" t="n">
        <v>0</v>
      </c>
      <c r="AI81" s="6" t="n">
        <v>0</v>
      </c>
      <c r="AJ81" s="55" t="n">
        <v>0</v>
      </c>
      <c r="AK81" s="16" t="n">
        <v>0</v>
      </c>
      <c r="AL81" s="14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b">
        <v>0</v>
      </c>
      <c r="AS81" s="17" t="n">
        <v>0</v>
      </c>
    </row>
    <row r="82" ht="18" customFormat="1" customHeight="1" s="3">
      <c r="A82" s="30" t="n"/>
      <c r="B82" s="40" t="n"/>
      <c r="C82" s="40" t="n"/>
      <c r="D82" s="30" t="n"/>
      <c r="E82" s="34" t="n"/>
      <c r="F82" s="30" t="n"/>
      <c r="G82" s="9" t="n"/>
      <c r="H82" s="20" t="n"/>
      <c r="I82" s="8">
        <f>IFERROR(IF($E$3=15,IF(_xlfn.XLOOKUP(G82,A$3:A$17,B$3:B$17) = "Missed Hit",_xlfn.XLOOKUP(G82,A$3:A$17,B$3:B$17),_xlfn.XLOOKUP(G82,A$3:A$17,B$3:B$17) &amp; " Star " &amp; _xlfn.XLOOKUP(G82,A$3:A$17,C$3:C$17) &amp; "%"),_xlfn.XLOOKUP(G82,A$3:A$32,B$3:B$32)),"Not in war")</f>
        <v/>
      </c>
      <c r="J82" s="8">
        <f>IFERROR(IF($E$3=15,IF(_xlfn.XLOOKUP(G82,A$18:A$32,B$18:B$32) = "Missed Hit",_xlfn.XLOOKUP(G82,A$18:A$32,B$18:B$32),_xlfn.XLOOKUP(G82,A$18:A$32,B$18:B$32) &amp; " Star " &amp; _xlfn.XLOOKUP(G82,A$18:A$32,C$18:C$32) &amp; "%"),_xlfn.XLOOKUP(G82,A$33:A$62,B$33:B$62)),"Not in war")</f>
        <v/>
      </c>
      <c r="K82" s="8">
        <f>IFERROR(IF($E$3=15,IF(_xlfn.XLOOKUP(G82,A$33:A$47,B$33:B$47) = "Missed Hit",_xlfn.XLOOKUP(G82,A$33:A$47,B$33:B$47),_xlfn.XLOOKUP(G82,A$33:A$47,B$33:B$47) &amp; " Star " &amp; _xlfn.XLOOKUP(G82,A$33:A$47,C$33:C$47) &amp; "%"),_xlfn.XLOOKUP(G82,A$63:A$92,B$63:B$92)),"Not in war")</f>
        <v/>
      </c>
      <c r="L82" s="7">
        <f>IFERROR(IF($E$3=15,IF(_xlfn.XLOOKUP(G82,A$48:A$62,B$48:B$62) = "Missed Hit",_xlfn.XLOOKUP(G82,A$48:A$62,B$48:B$62),_xlfn.XLOOKUP(G82,A$48:A$62,B$48:B$62) &amp; " Star " &amp; _xlfn.XLOOKUP(G82,A$48:A$62,C$48:C$62) &amp; "%"),_xlfn.XLOOKUP(G82,A$93:A$122,B$93:B$122)),"Not in war")</f>
        <v/>
      </c>
      <c r="M82" s="7">
        <f>IFERROR(IF($E$3=15,IF(_xlfn.XLOOKUP(G82,A$63:A$77,B$63:B$77) = "Missed Hit",_xlfn.XLOOKUP(G82,A$63:A$77,B$63:B$77),_xlfn.XLOOKUP(G82,A$63:A$77,B$63:B$77) &amp; " Star " &amp; _xlfn.XLOOKUP(G82,A$63:A$77,C$63:C$77) &amp; "%"),_xlfn.XLOOKUP(G82,A$123:A$152,B$123:B$152)),"Not in war")</f>
        <v/>
      </c>
      <c r="N82" s="7">
        <f>IFERROR(IF($E$3=15,IF(_xlfn.XLOOKUP(G82,A$78:A$92,B$78:B$92) = "Missed Hit",_xlfn.XLOOKUP(G82,A$78:A$92,B$78:B$92),_xlfn.XLOOKUP(G82,A$78:A$92,B$78:B$92) &amp; " Star " &amp; _xlfn.XLOOKUP(G82,A$78:A$92,C$78:C$92) &amp; "%"),_xlfn.XLOOKUP(G82,A$153:A$182,B$153:B$182)),"Not in war")</f>
        <v/>
      </c>
      <c r="O82" s="6">
        <f>IFERROR(IF($E$3=15,IF(_xlfn.XLOOKUP(G82,A$93:A$107,B$93:B$107) = "Missed Hit",_xlfn.XLOOKUP(G82,A$93:A$107,B$93:B$107),_xlfn.XLOOKUP(G82,A$93:A$107,B$93:B$107) &amp; " Star " &amp; _xlfn.XLOOKUP(G82,A$93:A$107,C$93:C$107) &amp; "%"),_xlfn.XLOOKUP(G82,A$153:A$182,B$153:B$182)),"Not in war")</f>
        <v/>
      </c>
      <c r="Q82" s="16">
        <f>IFERROR($R82/(3*(7-$Y82)),0)</f>
        <v/>
      </c>
      <c r="R82" s="14">
        <f>3*S82+2*T82+U82</f>
        <v/>
      </c>
      <c r="S82" s="17">
        <f>COUNTIF($I82:$O82, 3 &amp; "*")</f>
        <v/>
      </c>
      <c r="T82" s="17">
        <f>COUNTIF($I82:$O82, 2 &amp; "*")</f>
        <v/>
      </c>
      <c r="U82" s="17">
        <f>COUNTIF($I82:$O82,1)</f>
        <v/>
      </c>
      <c r="V82" s="17">
        <f>COUNTIF($I82:$O82, 0 &amp; "*")</f>
        <v/>
      </c>
      <c r="W82" s="17">
        <f>COUNTIF($I82:$O82,"Missed hit")</f>
        <v/>
      </c>
      <c r="X82" s="17">
        <f>IF($E$3=15,SUM(_xlfn.XLOOKUP(G82,$A$3:$A$17,$C$3:$C$17,0),_xlfn.XLOOKUP(G82,$A$18:$A$32,$C$18:$C$32,0),_xlfn.XLOOKUP(G82,$A$33:$A$47,$C$33:$C$47,0), _xlfn.XLOOKUP(G82,$A$48:$A$62,$C$48:$C$62,0), _xlfn.XLOOKUP(G82,$A$63:$A$77,$C$63:$C$77,0), _xlfn.XLOOKUP(G82,$A$78:$A$92,$C$78:$C$92,0), _xlfn.XLOOKUP(G82,$A$93:$A$107,$C$93:$C$107,0)))</f>
        <v/>
      </c>
      <c r="Y82" s="17">
        <f>COUNTIF($I82:$O82,"Not in war")</f>
        <v/>
      </c>
      <c r="AB82" s="61" t="n">
        <v>0</v>
      </c>
      <c r="AC82" s="58" t="n">
        <v>0</v>
      </c>
      <c r="AD82" s="8" t="n">
        <v>0</v>
      </c>
      <c r="AE82" s="8" t="n">
        <v>0</v>
      </c>
      <c r="AF82" s="7" t="n">
        <v>0</v>
      </c>
      <c r="AG82" s="7" t="n">
        <v>0</v>
      </c>
      <c r="AH82" s="7" t="n">
        <v>0</v>
      </c>
      <c r="AI82" s="6" t="n">
        <v>0</v>
      </c>
      <c r="AJ82" s="55" t="n">
        <v>0</v>
      </c>
      <c r="AK82" s="16" t="n">
        <v>0</v>
      </c>
      <c r="AL82" s="14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b">
        <v>0</v>
      </c>
      <c r="AS82" s="17" t="n">
        <v>0</v>
      </c>
    </row>
    <row r="83" ht="18" customFormat="1" customHeight="1" s="3">
      <c r="A83" s="30" t="n"/>
      <c r="B83" s="40" t="n"/>
      <c r="C83" s="40" t="n"/>
      <c r="D83" s="30" t="n"/>
      <c r="E83" s="34" t="n"/>
      <c r="F83" s="30" t="n"/>
      <c r="G83" s="9" t="n"/>
      <c r="H83" s="20" t="n"/>
      <c r="I83" s="8">
        <f>IFERROR(IF($E$3=15,IF(_xlfn.XLOOKUP(G83,A$3:A$17,B$3:B$17) = "Missed Hit",_xlfn.XLOOKUP(G83,A$3:A$17,B$3:B$17),_xlfn.XLOOKUP(G83,A$3:A$17,B$3:B$17) &amp; " Star " &amp; _xlfn.XLOOKUP(G83,A$3:A$17,C$3:C$17) &amp; "%"),_xlfn.XLOOKUP(G83,A$3:A$32,B$3:B$32)),"Not in war")</f>
        <v/>
      </c>
      <c r="J83" s="8">
        <f>IFERROR(IF($E$3=15,IF(_xlfn.XLOOKUP(G83,A$18:A$32,B$18:B$32) = "Missed Hit",_xlfn.XLOOKUP(G83,A$18:A$32,B$18:B$32),_xlfn.XLOOKUP(G83,A$18:A$32,B$18:B$32) &amp; " Star " &amp; _xlfn.XLOOKUP(G83,A$18:A$32,C$18:C$32) &amp; "%"),_xlfn.XLOOKUP(G83,A$33:A$62,B$33:B$62)),"Not in war")</f>
        <v/>
      </c>
      <c r="K83" s="8">
        <f>IFERROR(IF($E$3=15,IF(_xlfn.XLOOKUP(G83,A$33:A$47,B$33:B$47) = "Missed Hit",_xlfn.XLOOKUP(G83,A$33:A$47,B$33:B$47),_xlfn.XLOOKUP(G83,A$33:A$47,B$33:B$47) &amp; " Star " &amp; _xlfn.XLOOKUP(G83,A$33:A$47,C$33:C$47) &amp; "%"),_xlfn.XLOOKUP(G83,A$63:A$92,B$63:B$92)),"Not in war")</f>
        <v/>
      </c>
      <c r="L83" s="7">
        <f>IFERROR(IF($E$3=15,IF(_xlfn.XLOOKUP(G83,A$48:A$62,B$48:B$62) = "Missed Hit",_xlfn.XLOOKUP(G83,A$48:A$62,B$48:B$62),_xlfn.XLOOKUP(G83,A$48:A$62,B$48:B$62) &amp; " Star " &amp; _xlfn.XLOOKUP(G83,A$48:A$62,C$48:C$62) &amp; "%"),_xlfn.XLOOKUP(G83,A$93:A$122,B$93:B$122)),"Not in war")</f>
        <v/>
      </c>
      <c r="M83" s="7">
        <f>IFERROR(IF($E$3=15,IF(_xlfn.XLOOKUP(G83,A$63:A$77,B$63:B$77) = "Missed Hit",_xlfn.XLOOKUP(G83,A$63:A$77,B$63:B$77),_xlfn.XLOOKUP(G83,A$63:A$77,B$63:B$77) &amp; " Star " &amp; _xlfn.XLOOKUP(G83,A$63:A$77,C$63:C$77) &amp; "%"),_xlfn.XLOOKUP(G83,A$123:A$152,B$123:B$152)),"Not in war")</f>
        <v/>
      </c>
      <c r="N83" s="7">
        <f>IFERROR(IF($E$3=15,IF(_xlfn.XLOOKUP(G83,A$78:A$92,B$78:B$92) = "Missed Hit",_xlfn.XLOOKUP(G83,A$78:A$92,B$78:B$92),_xlfn.XLOOKUP(G83,A$78:A$92,B$78:B$92) &amp; " Star " &amp; _xlfn.XLOOKUP(G83,A$78:A$92,C$78:C$92) &amp; "%"),_xlfn.XLOOKUP(G83,A$153:A$182,B$153:B$182)),"Not in war")</f>
        <v/>
      </c>
      <c r="O83" s="6">
        <f>IFERROR(IF($E$3=15,IF(_xlfn.XLOOKUP(G83,A$93:A$107,B$93:B$107) = "Missed Hit",_xlfn.XLOOKUP(G83,A$93:A$107,B$93:B$107),_xlfn.XLOOKUP(G83,A$93:A$107,B$93:B$107) &amp; " Star " &amp; _xlfn.XLOOKUP(G83,A$93:A$107,C$93:C$107) &amp; "%"),_xlfn.XLOOKUP(G83,A$153:A$182,B$153:B$182)),"Not in war")</f>
        <v/>
      </c>
      <c r="Q83" s="16">
        <f>IFERROR($R83/(3*(7-$Y83)),0)</f>
        <v/>
      </c>
      <c r="R83" s="14">
        <f>3*S83+2*T83+U83</f>
        <v/>
      </c>
      <c r="S83" s="17">
        <f>COUNTIF($I83:$O83, 3 &amp; "*")</f>
        <v/>
      </c>
      <c r="T83" s="17">
        <f>COUNTIF($I83:$O83, 2 &amp; "*")</f>
        <v/>
      </c>
      <c r="U83" s="17">
        <f>COUNTIF($I83:$O83,1)</f>
        <v/>
      </c>
      <c r="V83" s="17">
        <f>COUNTIF($I83:$O83, 0 &amp; "*")</f>
        <v/>
      </c>
      <c r="W83" s="17">
        <f>COUNTIF($I83:$O83,"Missed hit")</f>
        <v/>
      </c>
      <c r="X83" s="17">
        <f>IF($E$3=15,SUM(_xlfn.XLOOKUP(G83,$A$3:$A$17,$C$3:$C$17,0),_xlfn.XLOOKUP(G83,$A$18:$A$32,$C$18:$C$32,0),_xlfn.XLOOKUP(G83,$A$33:$A$47,$C$33:$C$47,0), _xlfn.XLOOKUP(G83,$A$48:$A$62,$C$48:$C$62,0), _xlfn.XLOOKUP(G83,$A$63:$A$77,$C$63:$C$77,0), _xlfn.XLOOKUP(G83,$A$78:$A$92,$C$78:$C$92,0), _xlfn.XLOOKUP(G83,$A$93:$A$107,$C$93:$C$107,0)))</f>
        <v/>
      </c>
      <c r="Y83" s="17">
        <f>COUNTIF($I83:$O83,"Not in war")</f>
        <v/>
      </c>
      <c r="AB83" s="61" t="n">
        <v>0</v>
      </c>
      <c r="AC83" s="58" t="n">
        <v>0</v>
      </c>
      <c r="AD83" s="8" t="n">
        <v>0</v>
      </c>
      <c r="AE83" s="8" t="n">
        <v>0</v>
      </c>
      <c r="AF83" s="7" t="n">
        <v>0</v>
      </c>
      <c r="AG83" s="7" t="n">
        <v>0</v>
      </c>
      <c r="AH83" s="7" t="n">
        <v>0</v>
      </c>
      <c r="AI83" s="6" t="n">
        <v>0</v>
      </c>
      <c r="AJ83" s="55" t="n">
        <v>0</v>
      </c>
      <c r="AK83" s="16" t="n">
        <v>0</v>
      </c>
      <c r="AL83" s="14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b">
        <v>0</v>
      </c>
      <c r="AS83" s="17" t="n">
        <v>0</v>
      </c>
    </row>
    <row r="84" ht="18" customFormat="1" customHeight="1" s="3">
      <c r="A84" s="30" t="n"/>
      <c r="B84" s="40" t="n"/>
      <c r="C84" s="40" t="n"/>
      <c r="D84" s="30" t="n"/>
      <c r="E84" s="34" t="n"/>
      <c r="F84" s="30" t="n"/>
      <c r="G84" s="9" t="n"/>
      <c r="H84" s="20" t="n"/>
      <c r="I84" s="8">
        <f>IFERROR(IF($E$3=15,IF(_xlfn.XLOOKUP(G84,A$3:A$17,B$3:B$17) = "Missed Hit",_xlfn.XLOOKUP(G84,A$3:A$17,B$3:B$17),_xlfn.XLOOKUP(G84,A$3:A$17,B$3:B$17) &amp; " Star " &amp; _xlfn.XLOOKUP(G84,A$3:A$17,C$3:C$17) &amp; "%"),_xlfn.XLOOKUP(G84,A$3:A$32,B$3:B$32)),"Not in war")</f>
        <v/>
      </c>
      <c r="J84" s="8">
        <f>IFERROR(IF($E$3=15,IF(_xlfn.XLOOKUP(G84,A$18:A$32,B$18:B$32) = "Missed Hit",_xlfn.XLOOKUP(G84,A$18:A$32,B$18:B$32),_xlfn.XLOOKUP(G84,A$18:A$32,B$18:B$32) &amp; " Star " &amp; _xlfn.XLOOKUP(G84,A$18:A$32,C$18:C$32) &amp; "%"),_xlfn.XLOOKUP(G84,A$33:A$62,B$33:B$62)),"Not in war")</f>
        <v/>
      </c>
      <c r="K84" s="8">
        <f>IFERROR(IF($E$3=15,IF(_xlfn.XLOOKUP(G84,A$33:A$47,B$33:B$47) = "Missed Hit",_xlfn.XLOOKUP(G84,A$33:A$47,B$33:B$47),_xlfn.XLOOKUP(G84,A$33:A$47,B$33:B$47) &amp; " Star " &amp; _xlfn.XLOOKUP(G84,A$33:A$47,C$33:C$47) &amp; "%"),_xlfn.XLOOKUP(G84,A$63:A$92,B$63:B$92)),"Not in war")</f>
        <v/>
      </c>
      <c r="L84" s="7">
        <f>IFERROR(IF($E$3=15,IF(_xlfn.XLOOKUP(G84,A$48:A$62,B$48:B$62) = "Missed Hit",_xlfn.XLOOKUP(G84,A$48:A$62,B$48:B$62),_xlfn.XLOOKUP(G84,A$48:A$62,B$48:B$62) &amp; " Star " &amp; _xlfn.XLOOKUP(G84,A$48:A$62,C$48:C$62) &amp; "%"),_xlfn.XLOOKUP(G84,A$93:A$122,B$93:B$122)),"Not in war")</f>
        <v/>
      </c>
      <c r="M84" s="7">
        <f>IFERROR(IF($E$3=15,IF(_xlfn.XLOOKUP(G84,A$63:A$77,B$63:B$77) = "Missed Hit",_xlfn.XLOOKUP(G84,A$63:A$77,B$63:B$77),_xlfn.XLOOKUP(G84,A$63:A$77,B$63:B$77) &amp; " Star " &amp; _xlfn.XLOOKUP(G84,A$63:A$77,C$63:C$77) &amp; "%"),_xlfn.XLOOKUP(G84,A$123:A$152,B$123:B$152)),"Not in war")</f>
        <v/>
      </c>
      <c r="N84" s="7">
        <f>IFERROR(IF($E$3=15,IF(_xlfn.XLOOKUP(G84,A$78:A$92,B$78:B$92) = "Missed Hit",_xlfn.XLOOKUP(G84,A$78:A$92,B$78:B$92),_xlfn.XLOOKUP(G84,A$78:A$92,B$78:B$92) &amp; " Star " &amp; _xlfn.XLOOKUP(G84,A$78:A$92,C$78:C$92) &amp; "%"),_xlfn.XLOOKUP(G84,A$153:A$182,B$153:B$182)),"Not in war")</f>
        <v/>
      </c>
      <c r="O84" s="6">
        <f>IFERROR(IF($E$3=15,IF(_xlfn.XLOOKUP(G84,A$93:A$107,B$93:B$107) = "Missed Hit",_xlfn.XLOOKUP(G84,A$93:A$107,B$93:B$107),_xlfn.XLOOKUP(G84,A$93:A$107,B$93:B$107) &amp; " Star " &amp; _xlfn.XLOOKUP(G84,A$93:A$107,C$93:C$107) &amp; "%"),_xlfn.XLOOKUP(G84,A$153:A$182,B$153:B$182)),"Not in war")</f>
        <v/>
      </c>
      <c r="Q84" s="16">
        <f>IFERROR($R84/(3*(7-$Y84)),0)</f>
        <v/>
      </c>
      <c r="R84" s="14">
        <f>3*S84+2*T84+U84</f>
        <v/>
      </c>
      <c r="S84" s="17">
        <f>COUNTIF($I84:$O84, 3 &amp; "*")</f>
        <v/>
      </c>
      <c r="T84" s="17">
        <f>COUNTIF($I84:$O84, 2 &amp; "*")</f>
        <v/>
      </c>
      <c r="U84" s="17">
        <f>COUNTIF($I84:$O84,1)</f>
        <v/>
      </c>
      <c r="V84" s="17">
        <f>COUNTIF($I84:$O84, 0 &amp; "*")</f>
        <v/>
      </c>
      <c r="W84" s="17">
        <f>COUNTIF($I84:$O84,"Missed hit")</f>
        <v/>
      </c>
      <c r="X84" s="17">
        <f>IF($E$3=15,SUM(_xlfn.XLOOKUP(G84,$A$3:$A$17,$C$3:$C$17,0),_xlfn.XLOOKUP(G84,$A$18:$A$32,$C$18:$C$32,0),_xlfn.XLOOKUP(G84,$A$33:$A$47,$C$33:$C$47,0), _xlfn.XLOOKUP(G84,$A$48:$A$62,$C$48:$C$62,0), _xlfn.XLOOKUP(G84,$A$63:$A$77,$C$63:$C$77,0), _xlfn.XLOOKUP(G84,$A$78:$A$92,$C$78:$C$92,0), _xlfn.XLOOKUP(G84,$A$93:$A$107,$C$93:$C$107,0)))</f>
        <v/>
      </c>
      <c r="Y84" s="17">
        <f>COUNTIF($I84:$O84,"Not in war")</f>
        <v/>
      </c>
      <c r="AB84" s="61" t="n">
        <v>0</v>
      </c>
      <c r="AC84" s="58" t="n">
        <v>0</v>
      </c>
      <c r="AD84" s="8" t="n">
        <v>0</v>
      </c>
      <c r="AE84" s="8" t="n">
        <v>0</v>
      </c>
      <c r="AF84" s="7" t="n">
        <v>0</v>
      </c>
      <c r="AG84" s="7" t="n">
        <v>0</v>
      </c>
      <c r="AH84" s="7" t="n">
        <v>0</v>
      </c>
      <c r="AI84" s="6" t="n">
        <v>0</v>
      </c>
      <c r="AJ84" s="55" t="n">
        <v>0</v>
      </c>
      <c r="AK84" s="16" t="n">
        <v>0</v>
      </c>
      <c r="AL84" s="14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b">
        <v>0</v>
      </c>
      <c r="AS84" s="17" t="n">
        <v>0</v>
      </c>
    </row>
    <row r="85" ht="18" customFormat="1" customHeight="1" s="3">
      <c r="A85" s="30" t="n"/>
      <c r="B85" s="40" t="n"/>
      <c r="C85" s="40" t="n"/>
      <c r="D85" s="30" t="n"/>
      <c r="E85" s="34" t="n"/>
      <c r="F85" s="30" t="n"/>
      <c r="G85" s="9" t="n"/>
      <c r="H85" s="20" t="n"/>
      <c r="I85" s="8">
        <f>IFERROR(IF($E$3=15,IF(_xlfn.XLOOKUP(G85,A$3:A$17,B$3:B$17) = "Missed Hit",_xlfn.XLOOKUP(G85,A$3:A$17,B$3:B$17),_xlfn.XLOOKUP(G85,A$3:A$17,B$3:B$17) &amp; " Star " &amp; _xlfn.XLOOKUP(G85,A$3:A$17,C$3:C$17) &amp; "%"),_xlfn.XLOOKUP(G85,A$3:A$32,B$3:B$32)),"Not in war")</f>
        <v/>
      </c>
      <c r="J85" s="8">
        <f>IFERROR(IF($E$3=15,IF(_xlfn.XLOOKUP(G85,A$18:A$32,B$18:B$32) = "Missed Hit",_xlfn.XLOOKUP(G85,A$18:A$32,B$18:B$32),_xlfn.XLOOKUP(G85,A$18:A$32,B$18:B$32) &amp; " Star " &amp; _xlfn.XLOOKUP(G85,A$18:A$32,C$18:C$32) &amp; "%"),_xlfn.XLOOKUP(G85,A$33:A$62,B$33:B$62)),"Not in war")</f>
        <v/>
      </c>
      <c r="K85" s="8">
        <f>IFERROR(IF($E$3=15,IF(_xlfn.XLOOKUP(G85,A$33:A$47,B$33:B$47) = "Missed Hit",_xlfn.XLOOKUP(G85,A$33:A$47,B$33:B$47),_xlfn.XLOOKUP(G85,A$33:A$47,B$33:B$47) &amp; " Star " &amp; _xlfn.XLOOKUP(G85,A$33:A$47,C$33:C$47) &amp; "%"),_xlfn.XLOOKUP(G85,A$63:A$92,B$63:B$92)),"Not in war")</f>
        <v/>
      </c>
      <c r="L85" s="7">
        <f>IFERROR(IF($E$3=15,IF(_xlfn.XLOOKUP(G85,A$48:A$62,B$48:B$62) = "Missed Hit",_xlfn.XLOOKUP(G85,A$48:A$62,B$48:B$62),_xlfn.XLOOKUP(G85,A$48:A$62,B$48:B$62) &amp; " Star " &amp; _xlfn.XLOOKUP(G85,A$48:A$62,C$48:C$62) &amp; "%"),_xlfn.XLOOKUP(G85,A$93:A$122,B$93:B$122)),"Not in war")</f>
        <v/>
      </c>
      <c r="M85" s="7">
        <f>IFERROR(IF($E$3=15,IF(_xlfn.XLOOKUP(G85,A$63:A$77,B$63:B$77) = "Missed Hit",_xlfn.XLOOKUP(G85,A$63:A$77,B$63:B$77),_xlfn.XLOOKUP(G85,A$63:A$77,B$63:B$77) &amp; " Star " &amp; _xlfn.XLOOKUP(G85,A$63:A$77,C$63:C$77) &amp; "%"),_xlfn.XLOOKUP(G85,A$123:A$152,B$123:B$152)),"Not in war")</f>
        <v/>
      </c>
      <c r="N85" s="7">
        <f>IFERROR(IF($E$3=15,IF(_xlfn.XLOOKUP(G85,A$78:A$92,B$78:B$92) = "Missed Hit",_xlfn.XLOOKUP(G85,A$78:A$92,B$78:B$92),_xlfn.XLOOKUP(G85,A$78:A$92,B$78:B$92) &amp; " Star " &amp; _xlfn.XLOOKUP(G85,A$78:A$92,C$78:C$92) &amp; "%"),_xlfn.XLOOKUP(G85,A$153:A$182,B$153:B$182)),"Not in war")</f>
        <v/>
      </c>
      <c r="O85" s="6">
        <f>IFERROR(IF($E$3=15,IF(_xlfn.XLOOKUP(G85,A$93:A$107,B$93:B$107) = "Missed Hit",_xlfn.XLOOKUP(G85,A$93:A$107,B$93:B$107),_xlfn.XLOOKUP(G85,A$93:A$107,B$93:B$107) &amp; " Star " &amp; _xlfn.XLOOKUP(G85,A$93:A$107,C$93:C$107) &amp; "%"),_xlfn.XLOOKUP(G85,A$153:A$182,B$153:B$182)),"Not in war")</f>
        <v/>
      </c>
      <c r="Q85" s="16">
        <f>IFERROR($R85/(3*(7-$Y85)),0)</f>
        <v/>
      </c>
      <c r="R85" s="14">
        <f>3*S85+2*T85+U85</f>
        <v/>
      </c>
      <c r="S85" s="17">
        <f>COUNTIF($I85:$O85, 3 &amp; "*")</f>
        <v/>
      </c>
      <c r="T85" s="17">
        <f>COUNTIF($I85:$O85, 2 &amp; "*")</f>
        <v/>
      </c>
      <c r="U85" s="17">
        <f>COUNTIF($I85:$O85,1)</f>
        <v/>
      </c>
      <c r="V85" s="17">
        <f>COUNTIF($I85:$O85, 0 &amp; "*")</f>
        <v/>
      </c>
      <c r="W85" s="17">
        <f>COUNTIF($I85:$O85,"Missed hit")</f>
        <v/>
      </c>
      <c r="X85" s="17">
        <f>IF($E$3=15,SUM(_xlfn.XLOOKUP(G85,$A$3:$A$17,$C$3:$C$17,0),_xlfn.XLOOKUP(G85,$A$18:$A$32,$C$18:$C$32,0),_xlfn.XLOOKUP(G85,$A$33:$A$47,$C$33:$C$47,0), _xlfn.XLOOKUP(G85,$A$48:$A$62,$C$48:$C$62,0), _xlfn.XLOOKUP(G85,$A$63:$A$77,$C$63:$C$77,0), _xlfn.XLOOKUP(G85,$A$78:$A$92,$C$78:$C$92,0), _xlfn.XLOOKUP(G85,$A$93:$A$107,$C$93:$C$107,0)))</f>
        <v/>
      </c>
      <c r="Y85" s="17">
        <f>COUNTIF($I85:$O85,"Not in war")</f>
        <v/>
      </c>
      <c r="AB85" s="61" t="n">
        <v>0</v>
      </c>
      <c r="AC85" s="58" t="n">
        <v>0</v>
      </c>
      <c r="AD85" s="8" t="n">
        <v>0</v>
      </c>
      <c r="AE85" s="8" t="n">
        <v>0</v>
      </c>
      <c r="AF85" s="7" t="n">
        <v>0</v>
      </c>
      <c r="AG85" s="7" t="n">
        <v>0</v>
      </c>
      <c r="AH85" s="7" t="n">
        <v>0</v>
      </c>
      <c r="AI85" s="6" t="n">
        <v>0</v>
      </c>
      <c r="AJ85" s="55" t="n">
        <v>0</v>
      </c>
      <c r="AK85" s="16" t="n">
        <v>0</v>
      </c>
      <c r="AL85" s="14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b">
        <v>0</v>
      </c>
      <c r="AS85" s="17" t="n">
        <v>0</v>
      </c>
    </row>
    <row r="86" ht="18" customFormat="1" customHeight="1" s="3">
      <c r="A86" s="30" t="n"/>
      <c r="B86" s="40" t="n"/>
      <c r="C86" s="40" t="n"/>
      <c r="D86" s="30" t="n"/>
      <c r="E86" s="34" t="n"/>
      <c r="F86" s="30" t="n"/>
      <c r="G86" s="9" t="n"/>
      <c r="H86" s="20" t="n"/>
      <c r="I86" s="8">
        <f>IFERROR(IF($E$3=15,IF(_xlfn.XLOOKUP(G86,A$3:A$17,B$3:B$17) = "Missed Hit",_xlfn.XLOOKUP(G86,A$3:A$17,B$3:B$17),_xlfn.XLOOKUP(G86,A$3:A$17,B$3:B$17) &amp; " Star " &amp; _xlfn.XLOOKUP(G86,A$3:A$17,C$3:C$17) &amp; "%"),_xlfn.XLOOKUP(G86,A$3:A$32,B$3:B$32)),"Not in war")</f>
        <v/>
      </c>
      <c r="J86" s="8">
        <f>IFERROR(IF($E$3=15,IF(_xlfn.XLOOKUP(G86,A$18:A$32,B$18:B$32) = "Missed Hit",_xlfn.XLOOKUP(G86,A$18:A$32,B$18:B$32),_xlfn.XLOOKUP(G86,A$18:A$32,B$18:B$32) &amp; " Star " &amp; _xlfn.XLOOKUP(G86,A$18:A$32,C$18:C$32) &amp; "%"),_xlfn.XLOOKUP(G86,A$33:A$62,B$33:B$62)),"Not in war")</f>
        <v/>
      </c>
      <c r="K86" s="8">
        <f>IFERROR(IF($E$3=15,IF(_xlfn.XLOOKUP(G86,A$33:A$47,B$33:B$47) = "Missed Hit",_xlfn.XLOOKUP(G86,A$33:A$47,B$33:B$47),_xlfn.XLOOKUP(G86,A$33:A$47,B$33:B$47) &amp; " Star " &amp; _xlfn.XLOOKUP(G86,A$33:A$47,C$33:C$47) &amp; "%"),_xlfn.XLOOKUP(G86,A$63:A$92,B$63:B$92)),"Not in war")</f>
        <v/>
      </c>
      <c r="L86" s="7">
        <f>IFERROR(IF($E$3=15,IF(_xlfn.XLOOKUP(G86,A$48:A$62,B$48:B$62) = "Missed Hit",_xlfn.XLOOKUP(G86,A$48:A$62,B$48:B$62),_xlfn.XLOOKUP(G86,A$48:A$62,B$48:B$62) &amp; " Star " &amp; _xlfn.XLOOKUP(G86,A$48:A$62,C$48:C$62) &amp; "%"),_xlfn.XLOOKUP(G86,A$93:A$122,B$93:B$122)),"Not in war")</f>
        <v/>
      </c>
      <c r="M86" s="7">
        <f>IFERROR(IF($E$3=15,IF(_xlfn.XLOOKUP(G86,A$63:A$77,B$63:B$77) = "Missed Hit",_xlfn.XLOOKUP(G86,A$63:A$77,B$63:B$77),_xlfn.XLOOKUP(G86,A$63:A$77,B$63:B$77) &amp; " Star " &amp; _xlfn.XLOOKUP(G86,A$63:A$77,C$63:C$77) &amp; "%"),_xlfn.XLOOKUP(G86,A$123:A$152,B$123:B$152)),"Not in war")</f>
        <v/>
      </c>
      <c r="N86" s="7">
        <f>IFERROR(IF($E$3=15,IF(_xlfn.XLOOKUP(G86,A$78:A$92,B$78:B$92) = "Missed Hit",_xlfn.XLOOKUP(G86,A$78:A$92,B$78:B$92),_xlfn.XLOOKUP(G86,A$78:A$92,B$78:B$92) &amp; " Star " &amp; _xlfn.XLOOKUP(G86,A$78:A$92,C$78:C$92) &amp; "%"),_xlfn.XLOOKUP(G86,A$153:A$182,B$153:B$182)),"Not in war")</f>
        <v/>
      </c>
      <c r="O86" s="6">
        <f>IFERROR(IF($E$3=15,IF(_xlfn.XLOOKUP(G86,A$93:A$107,B$93:B$107) = "Missed Hit",_xlfn.XLOOKUP(G86,A$93:A$107,B$93:B$107),_xlfn.XLOOKUP(G86,A$93:A$107,B$93:B$107) &amp; " Star " &amp; _xlfn.XLOOKUP(G86,A$93:A$107,C$93:C$107) &amp; "%"),_xlfn.XLOOKUP(G86,A$153:A$182,B$153:B$182)),"Not in war")</f>
        <v/>
      </c>
      <c r="Q86" s="16">
        <f>IFERROR($R86/(3*(7-$Y86)),0)</f>
        <v/>
      </c>
      <c r="R86" s="14">
        <f>3*S86+2*T86+U86</f>
        <v/>
      </c>
      <c r="S86" s="17">
        <f>COUNTIF($I86:$O86, 3 &amp; "*")</f>
        <v/>
      </c>
      <c r="T86" s="17">
        <f>COUNTIF($I86:$O86, 2 &amp; "*")</f>
        <v/>
      </c>
      <c r="U86" s="17">
        <f>COUNTIF($I86:$O86,1)</f>
        <v/>
      </c>
      <c r="V86" s="17">
        <f>COUNTIF($I86:$O86, 0 &amp; "*")</f>
        <v/>
      </c>
      <c r="W86" s="17">
        <f>COUNTIF($I86:$O86,"Missed hit")</f>
        <v/>
      </c>
      <c r="X86" s="17">
        <f>IF($E$3=15,SUM(_xlfn.XLOOKUP(G86,$A$3:$A$17,$C$3:$C$17,0),_xlfn.XLOOKUP(G86,$A$18:$A$32,$C$18:$C$32,0),_xlfn.XLOOKUP(G86,$A$33:$A$47,$C$33:$C$47,0), _xlfn.XLOOKUP(G86,$A$48:$A$62,$C$48:$C$62,0), _xlfn.XLOOKUP(G86,$A$63:$A$77,$C$63:$C$77,0), _xlfn.XLOOKUP(G86,$A$78:$A$92,$C$78:$C$92,0), _xlfn.XLOOKUP(G86,$A$93:$A$107,$C$93:$C$107,0)))</f>
        <v/>
      </c>
      <c r="Y86" s="17">
        <f>COUNTIF($I86:$O86,"Not in war")</f>
        <v/>
      </c>
      <c r="AB86" s="61" t="n">
        <v>0</v>
      </c>
      <c r="AC86" s="58" t="n">
        <v>0</v>
      </c>
      <c r="AD86" s="8" t="n">
        <v>0</v>
      </c>
      <c r="AE86" s="8" t="n">
        <v>0</v>
      </c>
      <c r="AF86" s="7" t="n">
        <v>0</v>
      </c>
      <c r="AG86" s="7" t="n">
        <v>0</v>
      </c>
      <c r="AH86" s="7" t="n">
        <v>0</v>
      </c>
      <c r="AI86" s="6" t="n">
        <v>0</v>
      </c>
      <c r="AJ86" s="55" t="n">
        <v>0</v>
      </c>
      <c r="AK86" s="16" t="n">
        <v>0</v>
      </c>
      <c r="AL86" s="14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b">
        <v>0</v>
      </c>
      <c r="AS86" s="17" t="n">
        <v>0</v>
      </c>
    </row>
    <row r="87" ht="18" customFormat="1" customHeight="1" s="3">
      <c r="A87" s="30" t="n"/>
      <c r="B87" s="40" t="n"/>
      <c r="C87" s="40" t="n"/>
      <c r="D87" s="30" t="n"/>
      <c r="E87" s="34" t="n"/>
      <c r="F87" s="30" t="n"/>
      <c r="G87" s="9" t="n"/>
      <c r="H87" s="20" t="n"/>
      <c r="I87" s="8">
        <f>IFERROR(IF($E$3=15,IF(_xlfn.XLOOKUP(G87,A$3:A$17,B$3:B$17) = "Missed Hit",_xlfn.XLOOKUP(G87,A$3:A$17,B$3:B$17),_xlfn.XLOOKUP(G87,A$3:A$17,B$3:B$17) &amp; " Star " &amp; _xlfn.XLOOKUP(G87,A$3:A$17,C$3:C$17) &amp; "%"),_xlfn.XLOOKUP(G87,A$3:A$32,B$3:B$32)),"Not in war")</f>
        <v/>
      </c>
      <c r="J87" s="8">
        <f>IFERROR(IF($E$3=15,IF(_xlfn.XLOOKUP(G87,A$18:A$32,B$18:B$32) = "Missed Hit",_xlfn.XLOOKUP(G87,A$18:A$32,B$18:B$32),_xlfn.XLOOKUP(G87,A$18:A$32,B$18:B$32) &amp; " Star " &amp; _xlfn.XLOOKUP(G87,A$18:A$32,C$18:C$32) &amp; "%"),_xlfn.XLOOKUP(G87,A$33:A$62,B$33:B$62)),"Not in war")</f>
        <v/>
      </c>
      <c r="K87" s="8">
        <f>IFERROR(IF($E$3=15,IF(_xlfn.XLOOKUP(G87,A$33:A$47,B$33:B$47) = "Missed Hit",_xlfn.XLOOKUP(G87,A$33:A$47,B$33:B$47),_xlfn.XLOOKUP(G87,A$33:A$47,B$33:B$47) &amp; " Star " &amp; _xlfn.XLOOKUP(G87,A$33:A$47,C$33:C$47) &amp; "%"),_xlfn.XLOOKUP(G87,A$63:A$92,B$63:B$92)),"Not in war")</f>
        <v/>
      </c>
      <c r="L87" s="7">
        <f>IFERROR(IF($E$3=15,IF(_xlfn.XLOOKUP(G87,A$48:A$62,B$48:B$62) = "Missed Hit",_xlfn.XLOOKUP(G87,A$48:A$62,B$48:B$62),_xlfn.XLOOKUP(G87,A$48:A$62,B$48:B$62) &amp; " Star " &amp; _xlfn.XLOOKUP(G87,A$48:A$62,C$48:C$62) &amp; "%"),_xlfn.XLOOKUP(G87,A$93:A$122,B$93:B$122)),"Not in war")</f>
        <v/>
      </c>
      <c r="M87" s="7">
        <f>IFERROR(IF($E$3=15,IF(_xlfn.XLOOKUP(G87,A$63:A$77,B$63:B$77) = "Missed Hit",_xlfn.XLOOKUP(G87,A$63:A$77,B$63:B$77),_xlfn.XLOOKUP(G87,A$63:A$77,B$63:B$77) &amp; " Star " &amp; _xlfn.XLOOKUP(G87,A$63:A$77,C$63:C$77) &amp; "%"),_xlfn.XLOOKUP(G87,A$123:A$152,B$123:B$152)),"Not in war")</f>
        <v/>
      </c>
      <c r="N87" s="7">
        <f>IFERROR(IF($E$3=15,IF(_xlfn.XLOOKUP(G87,A$78:A$92,B$78:B$92) = "Missed Hit",_xlfn.XLOOKUP(G87,A$78:A$92,B$78:B$92),_xlfn.XLOOKUP(G87,A$78:A$92,B$78:B$92) &amp; " Star " &amp; _xlfn.XLOOKUP(G87,A$78:A$92,C$78:C$92) &amp; "%"),_xlfn.XLOOKUP(G87,A$153:A$182,B$153:B$182)),"Not in war")</f>
        <v/>
      </c>
      <c r="O87" s="6">
        <f>IFERROR(IF($E$3=15,IF(_xlfn.XLOOKUP(G87,A$93:A$107,B$93:B$107) = "Missed Hit",_xlfn.XLOOKUP(G87,A$93:A$107,B$93:B$107),_xlfn.XLOOKUP(G87,A$93:A$107,B$93:B$107) &amp; " Star " &amp; _xlfn.XLOOKUP(G87,A$93:A$107,C$93:C$107) &amp; "%"),_xlfn.XLOOKUP(G87,A$153:A$182,B$153:B$182)),"Not in war")</f>
        <v/>
      </c>
      <c r="Q87" s="16">
        <f>IFERROR($R87/(3*(7-$Y87)),0)</f>
        <v/>
      </c>
      <c r="R87" s="14">
        <f>3*S87+2*T87+U87</f>
        <v/>
      </c>
      <c r="S87" s="17">
        <f>COUNTIF($I87:$O87, 3 &amp; "*")</f>
        <v/>
      </c>
      <c r="T87" s="17">
        <f>COUNTIF($I87:$O87, 2 &amp; "*")</f>
        <v/>
      </c>
      <c r="U87" s="17">
        <f>COUNTIF($I87:$O87,1)</f>
        <v/>
      </c>
      <c r="V87" s="17">
        <f>COUNTIF($I87:$O87, 0 &amp; "*")</f>
        <v/>
      </c>
      <c r="W87" s="17">
        <f>COUNTIF($I87:$O87,"Missed hit")</f>
        <v/>
      </c>
      <c r="X87" s="17">
        <f>IF($E$3=15,SUM(_xlfn.XLOOKUP(G87,$A$3:$A$17,$C$3:$C$17,0),_xlfn.XLOOKUP(G87,$A$18:$A$32,$C$18:$C$32,0),_xlfn.XLOOKUP(G87,$A$33:$A$47,$C$33:$C$47,0), _xlfn.XLOOKUP(G87,$A$48:$A$62,$C$48:$C$62,0), _xlfn.XLOOKUP(G87,$A$63:$A$77,$C$63:$C$77,0), _xlfn.XLOOKUP(G87,$A$78:$A$92,$C$78:$C$92,0), _xlfn.XLOOKUP(G87,$A$93:$A$107,$C$93:$C$107,0)))</f>
        <v/>
      </c>
      <c r="Y87" s="17">
        <f>COUNTIF($I87:$O87,"Not in war")</f>
        <v/>
      </c>
      <c r="AB87" s="61" t="n">
        <v>0</v>
      </c>
      <c r="AC87" s="58" t="n">
        <v>0</v>
      </c>
      <c r="AD87" s="8" t="n">
        <v>0</v>
      </c>
      <c r="AE87" s="8" t="n">
        <v>0</v>
      </c>
      <c r="AF87" s="7" t="n">
        <v>0</v>
      </c>
      <c r="AG87" s="7" t="n">
        <v>0</v>
      </c>
      <c r="AH87" s="7" t="n">
        <v>0</v>
      </c>
      <c r="AI87" s="6" t="n">
        <v>0</v>
      </c>
      <c r="AJ87" s="55" t="n">
        <v>0</v>
      </c>
      <c r="AK87" s="16" t="n">
        <v>0</v>
      </c>
      <c r="AL87" s="14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b">
        <v>0</v>
      </c>
      <c r="AS87" s="17" t="n">
        <v>0</v>
      </c>
    </row>
    <row r="88" ht="18" customFormat="1" customHeight="1" s="3">
      <c r="A88" s="30" t="n"/>
      <c r="B88" s="40" t="n"/>
      <c r="C88" s="40" t="n"/>
      <c r="D88" s="30" t="n"/>
      <c r="E88" s="34" t="n"/>
      <c r="F88" s="30" t="n"/>
      <c r="G88" s="9" t="n"/>
      <c r="H88" s="20" t="n"/>
      <c r="I88" s="8">
        <f>IFERROR(IF($E$3=15,IF(_xlfn.XLOOKUP(G88,A$3:A$17,B$3:B$17) = "Missed Hit",_xlfn.XLOOKUP(G88,A$3:A$17,B$3:B$17),_xlfn.XLOOKUP(G88,A$3:A$17,B$3:B$17) &amp; " Star " &amp; _xlfn.XLOOKUP(G88,A$3:A$17,C$3:C$17) &amp; "%"),_xlfn.XLOOKUP(G88,A$3:A$32,B$3:B$32)),"Not in war")</f>
        <v/>
      </c>
      <c r="J88" s="8">
        <f>IFERROR(IF($E$3=15,IF(_xlfn.XLOOKUP(G88,A$18:A$32,B$18:B$32) = "Missed Hit",_xlfn.XLOOKUP(G88,A$18:A$32,B$18:B$32),_xlfn.XLOOKUP(G88,A$18:A$32,B$18:B$32) &amp; " Star " &amp; _xlfn.XLOOKUP(G88,A$18:A$32,C$18:C$32) &amp; "%"),_xlfn.XLOOKUP(G88,A$33:A$62,B$33:B$62)),"Not in war")</f>
        <v/>
      </c>
      <c r="K88" s="8">
        <f>IFERROR(IF($E$3=15,IF(_xlfn.XLOOKUP(G88,A$33:A$47,B$33:B$47) = "Missed Hit",_xlfn.XLOOKUP(G88,A$33:A$47,B$33:B$47),_xlfn.XLOOKUP(G88,A$33:A$47,B$33:B$47) &amp; " Star " &amp; _xlfn.XLOOKUP(G88,A$33:A$47,C$33:C$47) &amp; "%"),_xlfn.XLOOKUP(G88,A$63:A$92,B$63:B$92)),"Not in war")</f>
        <v/>
      </c>
      <c r="L88" s="7">
        <f>IFERROR(IF($E$3=15,IF(_xlfn.XLOOKUP(G88,A$48:A$62,B$48:B$62) = "Missed Hit",_xlfn.XLOOKUP(G88,A$48:A$62,B$48:B$62),_xlfn.XLOOKUP(G88,A$48:A$62,B$48:B$62) &amp; " Star " &amp; _xlfn.XLOOKUP(G88,A$48:A$62,C$48:C$62) &amp; "%"),_xlfn.XLOOKUP(G88,A$93:A$122,B$93:B$122)),"Not in war")</f>
        <v/>
      </c>
      <c r="M88" s="7">
        <f>IFERROR(IF($E$3=15,IF(_xlfn.XLOOKUP(G88,A$63:A$77,B$63:B$77) = "Missed Hit",_xlfn.XLOOKUP(G88,A$63:A$77,B$63:B$77),_xlfn.XLOOKUP(G88,A$63:A$77,B$63:B$77) &amp; " Star " &amp; _xlfn.XLOOKUP(G88,A$63:A$77,C$63:C$77) &amp; "%"),_xlfn.XLOOKUP(G88,A$123:A$152,B$123:B$152)),"Not in war")</f>
        <v/>
      </c>
      <c r="N88" s="7">
        <f>IFERROR(IF($E$3=15,IF(_xlfn.XLOOKUP(G88,A$78:A$92,B$78:B$92) = "Missed Hit",_xlfn.XLOOKUP(G88,A$78:A$92,B$78:B$92),_xlfn.XLOOKUP(G88,A$78:A$92,B$78:B$92) &amp; " Star " &amp; _xlfn.XLOOKUP(G88,A$78:A$92,C$78:C$92) &amp; "%"),_xlfn.XLOOKUP(G88,A$153:A$182,B$153:B$182)),"Not in war")</f>
        <v/>
      </c>
      <c r="O88" s="6">
        <f>IFERROR(IF($E$3=15,IF(_xlfn.XLOOKUP(G88,A$93:A$107,B$93:B$107) = "Missed Hit",_xlfn.XLOOKUP(G88,A$93:A$107,B$93:B$107),_xlfn.XLOOKUP(G88,A$93:A$107,B$93:B$107) &amp; " Star " &amp; _xlfn.XLOOKUP(G88,A$93:A$107,C$93:C$107) &amp; "%"),_xlfn.XLOOKUP(G88,A$153:A$182,B$153:B$182)),"Not in war")</f>
        <v/>
      </c>
      <c r="Q88" s="16">
        <f>IFERROR($R88/(3*(7-$Y88)),0)</f>
        <v/>
      </c>
      <c r="R88" s="14">
        <f>3*S88+2*T88+U88</f>
        <v/>
      </c>
      <c r="S88" s="17">
        <f>COUNTIF($I88:$O88, 3 &amp; "*")</f>
        <v/>
      </c>
      <c r="T88" s="17">
        <f>COUNTIF($I88:$O88, 2 &amp; "*")</f>
        <v/>
      </c>
      <c r="U88" s="17">
        <f>COUNTIF($I88:$O88,1)</f>
        <v/>
      </c>
      <c r="V88" s="17">
        <f>COUNTIF($I88:$O88, 0 &amp; "*")</f>
        <v/>
      </c>
      <c r="W88" s="17">
        <f>COUNTIF($I88:$O88,"Missed hit")</f>
        <v/>
      </c>
      <c r="X88" s="17">
        <f>IF($E$3=15,SUM(_xlfn.XLOOKUP(G88,$A$3:$A$17,$C$3:$C$17,0),_xlfn.XLOOKUP(G88,$A$18:$A$32,$C$18:$C$32,0),_xlfn.XLOOKUP(G88,$A$33:$A$47,$C$33:$C$47,0), _xlfn.XLOOKUP(G88,$A$48:$A$62,$C$48:$C$62,0), _xlfn.XLOOKUP(G88,$A$63:$A$77,$C$63:$C$77,0), _xlfn.XLOOKUP(G88,$A$78:$A$92,$C$78:$C$92,0), _xlfn.XLOOKUP(G88,$A$93:$A$107,$C$93:$C$107,0)))</f>
        <v/>
      </c>
      <c r="Y88" s="17">
        <f>COUNTIF($I88:$O88,"Not in war")</f>
        <v/>
      </c>
      <c r="AB88" s="61" t="n">
        <v>0</v>
      </c>
      <c r="AC88" s="58" t="n">
        <v>0</v>
      </c>
      <c r="AD88" s="8" t="n">
        <v>0</v>
      </c>
      <c r="AE88" s="8" t="n">
        <v>0</v>
      </c>
      <c r="AF88" s="7" t="n">
        <v>0</v>
      </c>
      <c r="AG88" s="7" t="n">
        <v>0</v>
      </c>
      <c r="AH88" s="7" t="n">
        <v>0</v>
      </c>
      <c r="AI88" s="6" t="n">
        <v>0</v>
      </c>
      <c r="AJ88" s="55" t="n">
        <v>0</v>
      </c>
      <c r="AK88" s="16" t="n">
        <v>0</v>
      </c>
      <c r="AL88" s="14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b">
        <v>0</v>
      </c>
      <c r="AS88" s="17" t="n">
        <v>0</v>
      </c>
    </row>
    <row r="89" ht="18" customFormat="1" customHeight="1" s="3">
      <c r="A89" s="30" t="n"/>
      <c r="B89" s="40" t="n"/>
      <c r="C89" s="40" t="n"/>
      <c r="D89" s="30" t="n"/>
      <c r="E89" s="34" t="n"/>
      <c r="F89" s="30" t="n"/>
      <c r="G89" s="9" t="n"/>
      <c r="H89" s="20" t="n"/>
      <c r="I89" s="8">
        <f>IFERROR(IF($E$3=15,IF(_xlfn.XLOOKUP(G89,A$3:A$17,B$3:B$17) = "Missed Hit",_xlfn.XLOOKUP(G89,A$3:A$17,B$3:B$17),_xlfn.XLOOKUP(G89,A$3:A$17,B$3:B$17) &amp; " Star " &amp; _xlfn.XLOOKUP(G89,A$3:A$17,C$3:C$17) &amp; "%"),_xlfn.XLOOKUP(G89,A$3:A$32,B$3:B$32)),"Not in war")</f>
        <v/>
      </c>
      <c r="J89" s="8">
        <f>IFERROR(IF($E$3=15,IF(_xlfn.XLOOKUP(G89,A$18:A$32,B$18:B$32) = "Missed Hit",_xlfn.XLOOKUP(G89,A$18:A$32,B$18:B$32),_xlfn.XLOOKUP(G89,A$18:A$32,B$18:B$32) &amp; " Star " &amp; _xlfn.XLOOKUP(G89,A$18:A$32,C$18:C$32) &amp; "%"),_xlfn.XLOOKUP(G89,A$33:A$62,B$33:B$62)),"Not in war")</f>
        <v/>
      </c>
      <c r="K89" s="8">
        <f>IFERROR(IF($E$3=15,IF(_xlfn.XLOOKUP(G89,A$33:A$47,B$33:B$47) = "Missed Hit",_xlfn.XLOOKUP(G89,A$33:A$47,B$33:B$47),_xlfn.XLOOKUP(G89,A$33:A$47,B$33:B$47) &amp; " Star " &amp; _xlfn.XLOOKUP(G89,A$33:A$47,C$33:C$47) &amp; "%"),_xlfn.XLOOKUP(G89,A$63:A$92,B$63:B$92)),"Not in war")</f>
        <v/>
      </c>
      <c r="L89" s="7">
        <f>IFERROR(IF($E$3=15,IF(_xlfn.XLOOKUP(G89,A$48:A$62,B$48:B$62) = "Missed Hit",_xlfn.XLOOKUP(G89,A$48:A$62,B$48:B$62),_xlfn.XLOOKUP(G89,A$48:A$62,B$48:B$62) &amp; " Star " &amp; _xlfn.XLOOKUP(G89,A$48:A$62,C$48:C$62) &amp; "%"),_xlfn.XLOOKUP(G89,A$93:A$122,B$93:B$122)),"Not in war")</f>
        <v/>
      </c>
      <c r="M89" s="7">
        <f>IFERROR(IF($E$3=15,IF(_xlfn.XLOOKUP(G89,A$63:A$77,B$63:B$77) = "Missed Hit",_xlfn.XLOOKUP(G89,A$63:A$77,B$63:B$77),_xlfn.XLOOKUP(G89,A$63:A$77,B$63:B$77) &amp; " Star " &amp; _xlfn.XLOOKUP(G89,A$63:A$77,C$63:C$77) &amp; "%"),_xlfn.XLOOKUP(G89,A$123:A$152,B$123:B$152)),"Not in war")</f>
        <v/>
      </c>
      <c r="N89" s="7">
        <f>IFERROR(IF($E$3=15,IF(_xlfn.XLOOKUP(G89,A$78:A$92,B$78:B$92) = "Missed Hit",_xlfn.XLOOKUP(G89,A$78:A$92,B$78:B$92),_xlfn.XLOOKUP(G89,A$78:A$92,B$78:B$92) &amp; " Star " &amp; _xlfn.XLOOKUP(G89,A$78:A$92,C$78:C$92) &amp; "%"),_xlfn.XLOOKUP(G89,A$153:A$182,B$153:B$182)),"Not in war")</f>
        <v/>
      </c>
      <c r="O89" s="6">
        <f>IFERROR(IF($E$3=15,IF(_xlfn.XLOOKUP(G89,A$93:A$107,B$93:B$107) = "Missed Hit",_xlfn.XLOOKUP(G89,A$93:A$107,B$93:B$107),_xlfn.XLOOKUP(G89,A$93:A$107,B$93:B$107) &amp; " Star " &amp; _xlfn.XLOOKUP(G89,A$93:A$107,C$93:C$107) &amp; "%"),_xlfn.XLOOKUP(G89,A$153:A$182,B$153:B$182)),"Not in war")</f>
        <v/>
      </c>
      <c r="Q89" s="16">
        <f>IFERROR($R89/(3*(7-$Y89)),0)</f>
        <v/>
      </c>
      <c r="R89" s="14">
        <f>3*S89+2*T89+U89</f>
        <v/>
      </c>
      <c r="S89" s="17">
        <f>COUNTIF($I89:$O89, 3 &amp; "*")</f>
        <v/>
      </c>
      <c r="T89" s="17">
        <f>COUNTIF($I89:$O89, 2 &amp; "*")</f>
        <v/>
      </c>
      <c r="U89" s="17">
        <f>COUNTIF($I89:$O89,1)</f>
        <v/>
      </c>
      <c r="V89" s="17">
        <f>COUNTIF($I89:$O89, 0 &amp; "*")</f>
        <v/>
      </c>
      <c r="W89" s="17">
        <f>COUNTIF($I89:$O89,"Missed hit")</f>
        <v/>
      </c>
      <c r="X89" s="17">
        <f>IF($E$3=15,SUM(_xlfn.XLOOKUP(G89,$A$3:$A$17,$C$3:$C$17,0),_xlfn.XLOOKUP(G89,$A$18:$A$32,$C$18:$C$32,0),_xlfn.XLOOKUP(G89,$A$33:$A$47,$C$33:$C$47,0), _xlfn.XLOOKUP(G89,$A$48:$A$62,$C$48:$C$62,0), _xlfn.XLOOKUP(G89,$A$63:$A$77,$C$63:$C$77,0), _xlfn.XLOOKUP(G89,$A$78:$A$92,$C$78:$C$92,0), _xlfn.XLOOKUP(G89,$A$93:$A$107,$C$93:$C$107,0)))</f>
        <v/>
      </c>
      <c r="Y89" s="17">
        <f>COUNTIF($I89:$O89,"Not in war")</f>
        <v/>
      </c>
      <c r="AB89" s="61" t="n">
        <v>0</v>
      </c>
      <c r="AC89" s="58" t="n">
        <v>0</v>
      </c>
      <c r="AD89" s="8" t="n">
        <v>0</v>
      </c>
      <c r="AE89" s="8" t="n">
        <v>0</v>
      </c>
      <c r="AF89" s="7" t="n">
        <v>0</v>
      </c>
      <c r="AG89" s="7" t="n">
        <v>0</v>
      </c>
      <c r="AH89" s="7" t="n">
        <v>0</v>
      </c>
      <c r="AI89" s="6" t="n">
        <v>0</v>
      </c>
      <c r="AJ89" s="55" t="n">
        <v>0</v>
      </c>
      <c r="AK89" s="16" t="n">
        <v>0</v>
      </c>
      <c r="AL89" s="14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b">
        <v>0</v>
      </c>
      <c r="AS89" s="17" t="n">
        <v>0</v>
      </c>
    </row>
    <row r="90" ht="18" customFormat="1" customHeight="1" s="3">
      <c r="A90" s="30" t="n"/>
      <c r="B90" s="40" t="n"/>
      <c r="C90" s="40" t="n"/>
      <c r="D90" s="30" t="n"/>
      <c r="E90" s="34" t="n"/>
      <c r="F90" s="30" t="n"/>
      <c r="G90" s="9" t="n"/>
      <c r="H90" s="20" t="n"/>
      <c r="I90" s="8">
        <f>IFERROR(IF($E$3=15,IF(_xlfn.XLOOKUP(G90,A$3:A$17,B$3:B$17) = "Missed Hit",_xlfn.XLOOKUP(G90,A$3:A$17,B$3:B$17),_xlfn.XLOOKUP(G90,A$3:A$17,B$3:B$17) &amp; " Star " &amp; _xlfn.XLOOKUP(G90,A$3:A$17,C$3:C$17) &amp; "%"),_xlfn.XLOOKUP(G90,A$3:A$32,B$3:B$32)),"Not in war")</f>
        <v/>
      </c>
      <c r="J90" s="8">
        <f>IFERROR(IF($E$3=15,IF(_xlfn.XLOOKUP(G90,A$18:A$32,B$18:B$32) = "Missed Hit",_xlfn.XLOOKUP(G90,A$18:A$32,B$18:B$32),_xlfn.XLOOKUP(G90,A$18:A$32,B$18:B$32) &amp; " Star " &amp; _xlfn.XLOOKUP(G90,A$18:A$32,C$18:C$32) &amp; "%"),_xlfn.XLOOKUP(G90,A$33:A$62,B$33:B$62)),"Not in war")</f>
        <v/>
      </c>
      <c r="K90" s="8">
        <f>IFERROR(IF($E$3=15,IF(_xlfn.XLOOKUP(G90,A$33:A$47,B$33:B$47) = "Missed Hit",_xlfn.XLOOKUP(G90,A$33:A$47,B$33:B$47),_xlfn.XLOOKUP(G90,A$33:A$47,B$33:B$47) &amp; " Star " &amp; _xlfn.XLOOKUP(G90,A$33:A$47,C$33:C$47) &amp; "%"),_xlfn.XLOOKUP(G90,A$63:A$92,B$63:B$92)),"Not in war")</f>
        <v/>
      </c>
      <c r="L90" s="7">
        <f>IFERROR(IF($E$3=15,IF(_xlfn.XLOOKUP(G90,A$48:A$62,B$48:B$62) = "Missed Hit",_xlfn.XLOOKUP(G90,A$48:A$62,B$48:B$62),_xlfn.XLOOKUP(G90,A$48:A$62,B$48:B$62) &amp; " Star " &amp; _xlfn.XLOOKUP(G90,A$48:A$62,C$48:C$62) &amp; "%"),_xlfn.XLOOKUP(G90,A$93:A$122,B$93:B$122)),"Not in war")</f>
        <v/>
      </c>
      <c r="M90" s="7">
        <f>IFERROR(IF($E$3=15,IF(_xlfn.XLOOKUP(G90,A$63:A$77,B$63:B$77) = "Missed Hit",_xlfn.XLOOKUP(G90,A$63:A$77,B$63:B$77),_xlfn.XLOOKUP(G90,A$63:A$77,B$63:B$77) &amp; " Star " &amp; _xlfn.XLOOKUP(G90,A$63:A$77,C$63:C$77) &amp; "%"),_xlfn.XLOOKUP(G90,A$123:A$152,B$123:B$152)),"Not in war")</f>
        <v/>
      </c>
      <c r="N90" s="7">
        <f>IFERROR(IF($E$3=15,IF(_xlfn.XLOOKUP(G90,A$78:A$92,B$78:B$92) = "Missed Hit",_xlfn.XLOOKUP(G90,A$78:A$92,B$78:B$92),_xlfn.XLOOKUP(G90,A$78:A$92,B$78:B$92) &amp; " Star " &amp; _xlfn.XLOOKUP(G90,A$78:A$92,C$78:C$92) &amp; "%"),_xlfn.XLOOKUP(G90,A$153:A$182,B$153:B$182)),"Not in war")</f>
        <v/>
      </c>
      <c r="O90" s="6">
        <f>IFERROR(IF($E$3=15,IF(_xlfn.XLOOKUP(G90,A$93:A$107,B$93:B$107) = "Missed Hit",_xlfn.XLOOKUP(G90,A$93:A$107,B$93:B$107),_xlfn.XLOOKUP(G90,A$93:A$107,B$93:B$107) &amp; " Star " &amp; _xlfn.XLOOKUP(G90,A$93:A$107,C$93:C$107) &amp; "%"),_xlfn.XLOOKUP(G90,A$153:A$182,B$153:B$182)),"Not in war")</f>
        <v/>
      </c>
      <c r="Q90" s="16">
        <f>IFERROR($R90/(3*(7-$Y90)),0)</f>
        <v/>
      </c>
      <c r="R90" s="14">
        <f>3*S90+2*T90+U90</f>
        <v/>
      </c>
      <c r="S90" s="17">
        <f>COUNTIF($I90:$O90, 3 &amp; "*")</f>
        <v/>
      </c>
      <c r="T90" s="17">
        <f>COUNTIF($I90:$O90, 2 &amp; "*")</f>
        <v/>
      </c>
      <c r="U90" s="17">
        <f>COUNTIF($I90:$O90,1)</f>
        <v/>
      </c>
      <c r="V90" s="17">
        <f>COUNTIF($I90:$O90, 0 &amp; "*")</f>
        <v/>
      </c>
      <c r="W90" s="17">
        <f>COUNTIF($I90:$O90,"Missed hit")</f>
        <v/>
      </c>
      <c r="X90" s="17">
        <f>IF($E$3=15,SUM(_xlfn.XLOOKUP(G90,$A$3:$A$17,$C$3:$C$17,0),_xlfn.XLOOKUP(G90,$A$18:$A$32,$C$18:$C$32,0),_xlfn.XLOOKUP(G90,$A$33:$A$47,$C$33:$C$47,0), _xlfn.XLOOKUP(G90,$A$48:$A$62,$C$48:$C$62,0), _xlfn.XLOOKUP(G90,$A$63:$A$77,$C$63:$C$77,0), _xlfn.XLOOKUP(G90,$A$78:$A$92,$C$78:$C$92,0), _xlfn.XLOOKUP(G90,$A$93:$A$107,$C$93:$C$107,0)))</f>
        <v/>
      </c>
      <c r="Y90" s="17">
        <f>COUNTIF($I90:$O90,"Not in war")</f>
        <v/>
      </c>
      <c r="AB90" s="61" t="n">
        <v>0</v>
      </c>
      <c r="AC90" s="58" t="n">
        <v>0</v>
      </c>
      <c r="AD90" s="8" t="n">
        <v>0</v>
      </c>
      <c r="AE90" s="8" t="n">
        <v>0</v>
      </c>
      <c r="AF90" s="7" t="n">
        <v>0</v>
      </c>
      <c r="AG90" s="7" t="n">
        <v>0</v>
      </c>
      <c r="AH90" s="7" t="n">
        <v>0</v>
      </c>
      <c r="AI90" s="6" t="n">
        <v>0</v>
      </c>
      <c r="AJ90" s="55" t="n">
        <v>0</v>
      </c>
      <c r="AK90" s="16" t="n">
        <v>0</v>
      </c>
      <c r="AL90" s="14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b">
        <v>0</v>
      </c>
      <c r="AS90" s="17" t="n">
        <v>0</v>
      </c>
    </row>
    <row r="91" ht="18" customFormat="1" customHeight="1" s="3">
      <c r="A91" s="30" t="n"/>
      <c r="B91" s="40" t="n"/>
      <c r="C91" s="40" t="n"/>
      <c r="D91" s="30" t="n"/>
      <c r="E91" s="34" t="n"/>
      <c r="F91" s="30" t="n"/>
      <c r="G91" s="9" t="n"/>
      <c r="H91" s="20" t="n"/>
      <c r="I91" s="8">
        <f>IFERROR(IF($E$3=15,IF(_xlfn.XLOOKUP(G91,A$3:A$17,B$3:B$17) = "Missed Hit",_xlfn.XLOOKUP(G91,A$3:A$17,B$3:B$17),_xlfn.XLOOKUP(G91,A$3:A$17,B$3:B$17) &amp; " Star " &amp; _xlfn.XLOOKUP(G91,A$3:A$17,C$3:C$17) &amp; "%"),_xlfn.XLOOKUP(G91,A$3:A$32,B$3:B$32)),"Not in war")</f>
        <v/>
      </c>
      <c r="J91" s="8">
        <f>IFERROR(IF($E$3=15,IF(_xlfn.XLOOKUP(G91,A$18:A$32,B$18:B$32) = "Missed Hit",_xlfn.XLOOKUP(G91,A$18:A$32,B$18:B$32),_xlfn.XLOOKUP(G91,A$18:A$32,B$18:B$32) &amp; " Star " &amp; _xlfn.XLOOKUP(G91,A$18:A$32,C$18:C$32) &amp; "%"),_xlfn.XLOOKUP(G91,A$33:A$62,B$33:B$62)),"Not in war")</f>
        <v/>
      </c>
      <c r="K91" s="8">
        <f>IFERROR(IF($E$3=15,IF(_xlfn.XLOOKUP(G91,A$33:A$47,B$33:B$47) = "Missed Hit",_xlfn.XLOOKUP(G91,A$33:A$47,B$33:B$47),_xlfn.XLOOKUP(G91,A$33:A$47,B$33:B$47) &amp; " Star " &amp; _xlfn.XLOOKUP(G91,A$33:A$47,C$33:C$47) &amp; "%"),_xlfn.XLOOKUP(G91,A$63:A$92,B$63:B$92)),"Not in war")</f>
        <v/>
      </c>
      <c r="L91" s="7">
        <f>IFERROR(IF($E$3=15,IF(_xlfn.XLOOKUP(G91,A$48:A$62,B$48:B$62) = "Missed Hit",_xlfn.XLOOKUP(G91,A$48:A$62,B$48:B$62),_xlfn.XLOOKUP(G91,A$48:A$62,B$48:B$62) &amp; " Star " &amp; _xlfn.XLOOKUP(G91,A$48:A$62,C$48:C$62) &amp; "%"),_xlfn.XLOOKUP(G91,A$93:A$122,B$93:B$122)),"Not in war")</f>
        <v/>
      </c>
      <c r="M91" s="7">
        <f>IFERROR(IF($E$3=15,IF(_xlfn.XLOOKUP(G91,A$63:A$77,B$63:B$77) = "Missed Hit",_xlfn.XLOOKUP(G91,A$63:A$77,B$63:B$77),_xlfn.XLOOKUP(G91,A$63:A$77,B$63:B$77) &amp; " Star " &amp; _xlfn.XLOOKUP(G91,A$63:A$77,C$63:C$77) &amp; "%"),_xlfn.XLOOKUP(G91,A$123:A$152,B$123:B$152)),"Not in war")</f>
        <v/>
      </c>
      <c r="N91" s="7">
        <f>IFERROR(IF($E$3=15,IF(_xlfn.XLOOKUP(G91,A$78:A$92,B$78:B$92) = "Missed Hit",_xlfn.XLOOKUP(G91,A$78:A$92,B$78:B$92),_xlfn.XLOOKUP(G91,A$78:A$92,B$78:B$92) &amp; " Star " &amp; _xlfn.XLOOKUP(G91,A$78:A$92,C$78:C$92) &amp; "%"),_xlfn.XLOOKUP(G91,A$153:A$182,B$153:B$182)),"Not in war")</f>
        <v/>
      </c>
      <c r="O91" s="6">
        <f>IFERROR(IF($E$3=15,IF(_xlfn.XLOOKUP(G91,A$93:A$107,B$93:B$107) = "Missed Hit",_xlfn.XLOOKUP(G91,A$93:A$107,B$93:B$107),_xlfn.XLOOKUP(G91,A$93:A$107,B$93:B$107) &amp; " Star " &amp; _xlfn.XLOOKUP(G91,A$93:A$107,C$93:C$107) &amp; "%"),_xlfn.XLOOKUP(G91,A$153:A$182,B$153:B$182)),"Not in war")</f>
        <v/>
      </c>
      <c r="Q91" s="16">
        <f>IFERROR($R91/(3*(7-$Y91)),0)</f>
        <v/>
      </c>
      <c r="R91" s="14">
        <f>3*S91+2*T91+U91</f>
        <v/>
      </c>
      <c r="S91" s="17">
        <f>COUNTIF($I91:$O91, 3 &amp; "*")</f>
        <v/>
      </c>
      <c r="T91" s="17">
        <f>COUNTIF($I91:$O91, 2 &amp; "*")</f>
        <v/>
      </c>
      <c r="U91" s="17">
        <f>COUNTIF($I91:$O91,1)</f>
        <v/>
      </c>
      <c r="V91" s="17">
        <f>COUNTIF($I91:$O91, 0 &amp; "*")</f>
        <v/>
      </c>
      <c r="W91" s="17">
        <f>COUNTIF($I91:$O91,"Missed hit")</f>
        <v/>
      </c>
      <c r="X91" s="17">
        <f>IF($E$3=15,SUM(_xlfn.XLOOKUP(G91,$A$3:$A$17,$C$3:$C$17,0),_xlfn.XLOOKUP(G91,$A$18:$A$32,$C$18:$C$32,0),_xlfn.XLOOKUP(G91,$A$33:$A$47,$C$33:$C$47,0), _xlfn.XLOOKUP(G91,$A$48:$A$62,$C$48:$C$62,0), _xlfn.XLOOKUP(G91,$A$63:$A$77,$C$63:$C$77,0), _xlfn.XLOOKUP(G91,$A$78:$A$92,$C$78:$C$92,0), _xlfn.XLOOKUP(G91,$A$93:$A$107,$C$93:$C$107,0)))</f>
        <v/>
      </c>
      <c r="Y91" s="17">
        <f>COUNTIF($I91:$O91,"Not in war")</f>
        <v/>
      </c>
      <c r="AB91" s="61" t="n">
        <v>0</v>
      </c>
      <c r="AC91" s="58" t="n">
        <v>0</v>
      </c>
      <c r="AD91" s="8" t="n">
        <v>0</v>
      </c>
      <c r="AE91" s="8" t="n">
        <v>0</v>
      </c>
      <c r="AF91" s="7" t="n">
        <v>0</v>
      </c>
      <c r="AG91" s="7" t="n">
        <v>0</v>
      </c>
      <c r="AH91" s="7" t="n">
        <v>0</v>
      </c>
      <c r="AI91" s="6" t="n">
        <v>0</v>
      </c>
      <c r="AJ91" s="55" t="n">
        <v>0</v>
      </c>
      <c r="AK91" s="16" t="n">
        <v>0</v>
      </c>
      <c r="AL91" s="14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b">
        <v>0</v>
      </c>
      <c r="AS91" s="17" t="n">
        <v>0</v>
      </c>
    </row>
    <row r="92" ht="18" customFormat="1" customHeight="1" s="3">
      <c r="A92" s="30" t="n"/>
      <c r="B92" s="40" t="n"/>
      <c r="C92" s="40" t="n"/>
      <c r="D92" s="30" t="n"/>
      <c r="E92" s="34" t="n"/>
      <c r="F92" s="30" t="n"/>
      <c r="G92" s="9" t="n"/>
      <c r="H92" s="20" t="n"/>
      <c r="I92" s="8">
        <f>IFERROR(IF($E$3=15,IF(_xlfn.XLOOKUP(G92,A$3:A$17,B$3:B$17) = "Missed Hit",_xlfn.XLOOKUP(G92,A$3:A$17,B$3:B$17),_xlfn.XLOOKUP(G92,A$3:A$17,B$3:B$17) &amp; " Star " &amp; _xlfn.XLOOKUP(G92,A$3:A$17,C$3:C$17) &amp; "%"),_xlfn.XLOOKUP(G92,A$3:A$32,B$3:B$32)),"Not in war")</f>
        <v/>
      </c>
      <c r="J92" s="8">
        <f>IFERROR(IF($E$3=15,IF(_xlfn.XLOOKUP(G92,A$18:A$32,B$18:B$32) = "Missed Hit",_xlfn.XLOOKUP(G92,A$18:A$32,B$18:B$32),_xlfn.XLOOKUP(G92,A$18:A$32,B$18:B$32) &amp; " Star " &amp; _xlfn.XLOOKUP(G92,A$18:A$32,C$18:C$32) &amp; "%"),_xlfn.XLOOKUP(G92,A$33:A$62,B$33:B$62)),"Not in war")</f>
        <v/>
      </c>
      <c r="K92" s="8">
        <f>IFERROR(IF($E$3=15,IF(_xlfn.XLOOKUP(G92,A$33:A$47,B$33:B$47) = "Missed Hit",_xlfn.XLOOKUP(G92,A$33:A$47,B$33:B$47),_xlfn.XLOOKUP(G92,A$33:A$47,B$33:B$47) &amp; " Star " &amp; _xlfn.XLOOKUP(G92,A$33:A$47,C$33:C$47) &amp; "%"),_xlfn.XLOOKUP(G92,A$63:A$92,B$63:B$92)),"Not in war")</f>
        <v/>
      </c>
      <c r="L92" s="7">
        <f>IFERROR(IF($E$3=15,IF(_xlfn.XLOOKUP(G92,A$48:A$62,B$48:B$62) = "Missed Hit",_xlfn.XLOOKUP(G92,A$48:A$62,B$48:B$62),_xlfn.XLOOKUP(G92,A$48:A$62,B$48:B$62) &amp; " Star " &amp; _xlfn.XLOOKUP(G92,A$48:A$62,C$48:C$62) &amp; "%"),_xlfn.XLOOKUP(G92,A$93:A$122,B$93:B$122)),"Not in war")</f>
        <v/>
      </c>
      <c r="M92" s="7">
        <f>IFERROR(IF($E$3=15,IF(_xlfn.XLOOKUP(G92,A$63:A$77,B$63:B$77) = "Missed Hit",_xlfn.XLOOKUP(G92,A$63:A$77,B$63:B$77),_xlfn.XLOOKUP(G92,A$63:A$77,B$63:B$77) &amp; " Star " &amp; _xlfn.XLOOKUP(G92,A$63:A$77,C$63:C$77) &amp; "%"),_xlfn.XLOOKUP(G92,A$123:A$152,B$123:B$152)),"Not in war")</f>
        <v/>
      </c>
      <c r="N92" s="7">
        <f>IFERROR(IF($E$3=15,IF(_xlfn.XLOOKUP(G92,A$78:A$92,B$78:B$92) = "Missed Hit",_xlfn.XLOOKUP(G92,A$78:A$92,B$78:B$92),_xlfn.XLOOKUP(G92,A$78:A$92,B$78:B$92) &amp; " Star " &amp; _xlfn.XLOOKUP(G92,A$78:A$92,C$78:C$92) &amp; "%"),_xlfn.XLOOKUP(G92,A$153:A$182,B$153:B$182)),"Not in war")</f>
        <v/>
      </c>
      <c r="O92" s="6">
        <f>IFERROR(IF($E$3=15,IF(_xlfn.XLOOKUP(G92,A$93:A$107,B$93:B$107) = "Missed Hit",_xlfn.XLOOKUP(G92,A$93:A$107,B$93:B$107),_xlfn.XLOOKUP(G92,A$93:A$107,B$93:B$107) &amp; " Star " &amp; _xlfn.XLOOKUP(G92,A$93:A$107,C$93:C$107) &amp; "%"),_xlfn.XLOOKUP(G92,A$153:A$182,B$153:B$182)),"Not in war")</f>
        <v/>
      </c>
      <c r="Q92" s="16">
        <f>IFERROR($R92/(3*(7-$Y92)),0)</f>
        <v/>
      </c>
      <c r="R92" s="14">
        <f>3*S92+2*T92+U92</f>
        <v/>
      </c>
      <c r="S92" s="17">
        <f>COUNTIF($I92:$O92, 3 &amp; "*")</f>
        <v/>
      </c>
      <c r="T92" s="17">
        <f>COUNTIF($I92:$O92, 2 &amp; "*")</f>
        <v/>
      </c>
      <c r="U92" s="17">
        <f>COUNTIF($I92:$O92,1)</f>
        <v/>
      </c>
      <c r="V92" s="17">
        <f>COUNTIF($I92:$O92, 0 &amp; "*")</f>
        <v/>
      </c>
      <c r="W92" s="17">
        <f>COUNTIF($I92:$O92,"Missed hit")</f>
        <v/>
      </c>
      <c r="X92" s="17">
        <f>IF($E$3=15,SUM(_xlfn.XLOOKUP(G92,$A$3:$A$17,$C$3:$C$17,0),_xlfn.XLOOKUP(G92,$A$18:$A$32,$C$18:$C$32,0),_xlfn.XLOOKUP(G92,$A$33:$A$47,$C$33:$C$47,0), _xlfn.XLOOKUP(G92,$A$48:$A$62,$C$48:$C$62,0), _xlfn.XLOOKUP(G92,$A$63:$A$77,$C$63:$C$77,0), _xlfn.XLOOKUP(G92,$A$78:$A$92,$C$78:$C$92,0), _xlfn.XLOOKUP(G92,$A$93:$A$107,$C$93:$C$107,0)))</f>
        <v/>
      </c>
      <c r="Y92" s="17">
        <f>COUNTIF($I92:$O92,"Not in war")</f>
        <v/>
      </c>
      <c r="AB92" s="61" t="n">
        <v>0</v>
      </c>
      <c r="AC92" s="58" t="n">
        <v>0</v>
      </c>
      <c r="AD92" s="8" t="n">
        <v>0</v>
      </c>
      <c r="AE92" s="8" t="n">
        <v>0</v>
      </c>
      <c r="AF92" s="7" t="n">
        <v>0</v>
      </c>
      <c r="AG92" s="7" t="n">
        <v>0</v>
      </c>
      <c r="AH92" s="7" t="n">
        <v>0</v>
      </c>
      <c r="AI92" s="6" t="n">
        <v>0</v>
      </c>
      <c r="AJ92" s="55" t="n">
        <v>0</v>
      </c>
      <c r="AK92" s="16" t="n">
        <v>0</v>
      </c>
      <c r="AL92" s="14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b">
        <v>0</v>
      </c>
      <c r="AS92" s="17" t="n">
        <v>0</v>
      </c>
    </row>
    <row r="93" ht="17.25" customFormat="1" customHeight="1" s="3">
      <c r="A93" s="30" t="n"/>
      <c r="B93" s="39" t="n"/>
      <c r="C93" s="40" t="n"/>
      <c r="D93" s="30" t="n"/>
      <c r="E93" s="31" t="n"/>
      <c r="F93" s="30" t="n"/>
      <c r="G93" s="9" t="n"/>
      <c r="H93" s="20" t="n"/>
      <c r="I93" s="8">
        <f>IFERROR(IF($E$3=15,IF(_xlfn.XLOOKUP(G93,A$3:A$17,B$3:B$17) = "Missed Hit",_xlfn.XLOOKUP(G93,A$3:A$17,B$3:B$17),_xlfn.XLOOKUP(G93,A$3:A$17,B$3:B$17) &amp; " Star " &amp; _xlfn.XLOOKUP(G93,A$3:A$17,C$3:C$17) &amp; "%"),_xlfn.XLOOKUP(G93,A$3:A$32,B$3:B$32)),"Not in war")</f>
        <v/>
      </c>
      <c r="J93" s="8">
        <f>IFERROR(IF($E$3=15,IF(_xlfn.XLOOKUP(G93,A$18:A$32,B$18:B$32) = "Missed Hit",_xlfn.XLOOKUP(G93,A$18:A$32,B$18:B$32),_xlfn.XLOOKUP(G93,A$18:A$32,B$18:B$32) &amp; " Star " &amp; _xlfn.XLOOKUP(G93,A$18:A$32,C$18:C$32) &amp; "%"),_xlfn.XLOOKUP(G93,A$33:A$62,B$33:B$62)),"Not in war")</f>
        <v/>
      </c>
      <c r="K93" s="8">
        <f>IFERROR(IF($E$3=15,IF(_xlfn.XLOOKUP(G93,A$33:A$47,B$33:B$47) = "Missed Hit",_xlfn.XLOOKUP(G93,A$33:A$47,B$33:B$47),_xlfn.XLOOKUP(G93,A$33:A$47,B$33:B$47) &amp; " Star " &amp; _xlfn.XLOOKUP(G93,A$33:A$47,C$33:C$47) &amp; "%"),_xlfn.XLOOKUP(G93,A$63:A$92,B$63:B$92)),"Not in war")</f>
        <v/>
      </c>
      <c r="L93" s="7">
        <f>IFERROR(IF($E$3=15,IF(_xlfn.XLOOKUP(G93,A$48:A$62,B$48:B$62) = "Missed Hit",_xlfn.XLOOKUP(G93,A$48:A$62,B$48:B$62),_xlfn.XLOOKUP(G93,A$48:A$62,B$48:B$62) &amp; " Star " &amp; _xlfn.XLOOKUP(G93,A$48:A$62,C$48:C$62) &amp; "%"),_xlfn.XLOOKUP(G93,A$93:A$122,B$93:B$122)),"Not in war")</f>
        <v/>
      </c>
      <c r="M93" s="7">
        <f>IFERROR(IF($E$3=15,IF(_xlfn.XLOOKUP(G93,A$63:A$77,B$63:B$77) = "Missed Hit",_xlfn.XLOOKUP(G93,A$63:A$77,B$63:B$77),_xlfn.XLOOKUP(G93,A$63:A$77,B$63:B$77) &amp; " Star " &amp; _xlfn.XLOOKUP(G93,A$63:A$77,C$63:C$77) &amp; "%"),_xlfn.XLOOKUP(G93,A$123:A$152,B$123:B$152)),"Not in war")</f>
        <v/>
      </c>
      <c r="N93" s="7">
        <f>IFERROR(IF($E$3=15,IF(_xlfn.XLOOKUP(G93,A$78:A$92,B$78:B$92) = "Missed Hit",_xlfn.XLOOKUP(G93,A$78:A$92,B$78:B$92),_xlfn.XLOOKUP(G93,A$78:A$92,B$78:B$92) &amp; " Star " &amp; _xlfn.XLOOKUP(G93,A$78:A$92,C$78:C$92) &amp; "%"),_xlfn.XLOOKUP(G93,A$153:A$182,B$153:B$182)),"Not in war")</f>
        <v/>
      </c>
      <c r="O93" s="6">
        <f>IFERROR(IF($E$3=15,IF(_xlfn.XLOOKUP(G93,A$93:A$107,B$93:B$107) = "Missed Hit",_xlfn.XLOOKUP(G93,A$93:A$107,B$93:B$107),_xlfn.XLOOKUP(G93,A$93:A$107,B$93:B$107) &amp; " Star " &amp; _xlfn.XLOOKUP(G93,A$93:A$107,C$93:C$107) &amp; "%"),_xlfn.XLOOKUP(G93,A$153:A$182,B$153:B$182)),"Not in war")</f>
        <v/>
      </c>
      <c r="Q93" s="16">
        <f>IFERROR($R93/(3*(7-$Y93)),0)</f>
        <v/>
      </c>
      <c r="R93" s="14">
        <f>3*S93+2*T93+U93</f>
        <v/>
      </c>
      <c r="S93" s="17">
        <f>COUNTIF($I93:$O93, 3 &amp; "*")</f>
        <v/>
      </c>
      <c r="T93" s="17">
        <f>COUNTIF($I93:$O93, 2 &amp; "*")</f>
        <v/>
      </c>
      <c r="U93" s="17">
        <f>COUNTIF($I93:$O93,1)</f>
        <v/>
      </c>
      <c r="V93" s="17">
        <f>COUNTIF($I93:$O93, 0 &amp; "*")</f>
        <v/>
      </c>
      <c r="W93" s="17">
        <f>COUNTIF($I93:$O93,"Missed hit")</f>
        <v/>
      </c>
      <c r="X93" s="17">
        <f>IF($E$3=15,SUM(_xlfn.XLOOKUP(G93,$A$3:$A$17,$C$3:$C$17,0),_xlfn.XLOOKUP(G93,$A$18:$A$32,$C$18:$C$32,0),_xlfn.XLOOKUP(G93,$A$33:$A$47,$C$33:$C$47,0), _xlfn.XLOOKUP(G93,$A$48:$A$62,$C$48:$C$62,0), _xlfn.XLOOKUP(G93,$A$63:$A$77,$C$63:$C$77,0), _xlfn.XLOOKUP(G93,$A$78:$A$92,$C$78:$C$92,0), _xlfn.XLOOKUP(G93,$A$93:$A$107,$C$93:$C$107,0)))</f>
        <v/>
      </c>
      <c r="Y93" s="17">
        <f>COUNTIF($I93:$O93,"Not in war")</f>
        <v/>
      </c>
      <c r="AB93" s="61" t="n">
        <v>0</v>
      </c>
      <c r="AC93" s="58" t="n">
        <v>0</v>
      </c>
      <c r="AD93" s="8" t="n">
        <v>0</v>
      </c>
      <c r="AE93" s="8" t="n">
        <v>0</v>
      </c>
      <c r="AF93" s="7" t="n">
        <v>0</v>
      </c>
      <c r="AG93" s="7" t="n">
        <v>0</v>
      </c>
      <c r="AH93" s="7" t="n">
        <v>0</v>
      </c>
      <c r="AI93" s="6" t="n">
        <v>0</v>
      </c>
      <c r="AJ93" s="55" t="n">
        <v>0</v>
      </c>
      <c r="AK93" s="16" t="n">
        <v>0</v>
      </c>
      <c r="AL93" s="14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b">
        <v>0</v>
      </c>
      <c r="AS93" s="17" t="n">
        <v>0</v>
      </c>
    </row>
    <row r="94" ht="17.25" customFormat="1" customHeight="1" s="3">
      <c r="A94" s="30" t="n"/>
      <c r="B94" s="39" t="n"/>
      <c r="C94" s="40" t="n"/>
      <c r="D94" s="30" t="n"/>
      <c r="E94" s="31" t="n"/>
      <c r="F94" s="30" t="n"/>
      <c r="G94" s="9" t="n"/>
      <c r="H94" s="20" t="n"/>
      <c r="I94" s="8">
        <f>IFERROR(IF($E$3=15,IF(_xlfn.XLOOKUP(G94,A$3:A$17,B$3:B$17) = "Missed Hit",_xlfn.XLOOKUP(G94,A$3:A$17,B$3:B$17),_xlfn.XLOOKUP(G94,A$3:A$17,B$3:B$17) &amp; " Star " &amp; _xlfn.XLOOKUP(G94,A$3:A$17,C$3:C$17) &amp; "%"),_xlfn.XLOOKUP(G94,A$3:A$32,B$3:B$32)),"Not in war")</f>
        <v/>
      </c>
      <c r="J94" s="8">
        <f>IFERROR(IF($E$3=15,IF(_xlfn.XLOOKUP(G94,A$18:A$32,B$18:B$32) = "Missed Hit",_xlfn.XLOOKUP(G94,A$18:A$32,B$18:B$32),_xlfn.XLOOKUP(G94,A$18:A$32,B$18:B$32) &amp; " Star " &amp; _xlfn.XLOOKUP(G94,A$18:A$32,C$18:C$32) &amp; "%"),_xlfn.XLOOKUP(G94,A$33:A$62,B$33:B$62)),"Not in war")</f>
        <v/>
      </c>
      <c r="K94" s="8">
        <f>IFERROR(IF($E$3=15,IF(_xlfn.XLOOKUP(G94,A$33:A$47,B$33:B$47) = "Missed Hit",_xlfn.XLOOKUP(G94,A$33:A$47,B$33:B$47),_xlfn.XLOOKUP(G94,A$33:A$47,B$33:B$47) &amp; " Star " &amp; _xlfn.XLOOKUP(G94,A$33:A$47,C$33:C$47) &amp; "%"),_xlfn.XLOOKUP(G94,A$63:A$92,B$63:B$92)),"Not in war")</f>
        <v/>
      </c>
      <c r="L94" s="7">
        <f>IFERROR(IF($E$3=15,IF(_xlfn.XLOOKUP(G94,A$48:A$62,B$48:B$62) = "Missed Hit",_xlfn.XLOOKUP(G94,A$48:A$62,B$48:B$62),_xlfn.XLOOKUP(G94,A$48:A$62,B$48:B$62) &amp; " Star " &amp; _xlfn.XLOOKUP(G94,A$48:A$62,C$48:C$62) &amp; "%"),_xlfn.XLOOKUP(G94,A$93:A$122,B$93:B$122)),"Not in war")</f>
        <v/>
      </c>
      <c r="M94" s="7">
        <f>IFERROR(IF($E$3=15,IF(_xlfn.XLOOKUP(G94,A$63:A$77,B$63:B$77) = "Missed Hit",_xlfn.XLOOKUP(G94,A$63:A$77,B$63:B$77),_xlfn.XLOOKUP(G94,A$63:A$77,B$63:B$77) &amp; " Star " &amp; _xlfn.XLOOKUP(G94,A$63:A$77,C$63:C$77) &amp; "%"),_xlfn.XLOOKUP(G94,A$123:A$152,B$123:B$152)),"Not in war")</f>
        <v/>
      </c>
      <c r="N94" s="7">
        <f>IFERROR(IF($E$3=15,IF(_xlfn.XLOOKUP(G94,A$78:A$92,B$78:B$92) = "Missed Hit",_xlfn.XLOOKUP(G94,A$78:A$92,B$78:B$92),_xlfn.XLOOKUP(G94,A$78:A$92,B$78:B$92) &amp; " Star " &amp; _xlfn.XLOOKUP(G94,A$78:A$92,C$78:C$92) &amp; "%"),_xlfn.XLOOKUP(G94,A$153:A$182,B$153:B$182)),"Not in war")</f>
        <v/>
      </c>
      <c r="O94" s="6">
        <f>IFERROR(IF($E$3=15,IF(_xlfn.XLOOKUP(G94,A$93:A$107,B$93:B$107) = "Missed Hit",_xlfn.XLOOKUP(G94,A$93:A$107,B$93:B$107),_xlfn.XLOOKUP(G94,A$93:A$107,B$93:B$107) &amp; " Star " &amp; _xlfn.XLOOKUP(G94,A$93:A$107,C$93:C$107) &amp; "%"),_xlfn.XLOOKUP(G94,A$153:A$182,B$153:B$182)),"Not in war")</f>
        <v/>
      </c>
      <c r="Q94" s="16">
        <f>IFERROR($R94/(3*(7-$Y94)),0)</f>
        <v/>
      </c>
      <c r="R94" s="14">
        <f>3*S94+2*T94+U94</f>
        <v/>
      </c>
      <c r="S94" s="17">
        <f>COUNTIF($I94:$O94, 3 &amp; "*")</f>
        <v/>
      </c>
      <c r="T94" s="17">
        <f>COUNTIF($I94:$O94, 2 &amp; "*")</f>
        <v/>
      </c>
      <c r="U94" s="17">
        <f>COUNTIF($I94:$O94,1)</f>
        <v/>
      </c>
      <c r="V94" s="17">
        <f>COUNTIF($I94:$O94, 0 &amp; "*")</f>
        <v/>
      </c>
      <c r="W94" s="17">
        <f>COUNTIF($I94:$O94,"Missed hit")</f>
        <v/>
      </c>
      <c r="X94" s="17">
        <f>IF($E$3=15,SUM(_xlfn.XLOOKUP(G94,$A$3:$A$17,$C$3:$C$17,0),_xlfn.XLOOKUP(G94,$A$18:$A$32,$C$18:$C$32,0),_xlfn.XLOOKUP(G94,$A$33:$A$47,$C$33:$C$47,0), _xlfn.XLOOKUP(G94,$A$48:$A$62,$C$48:$C$62,0), _xlfn.XLOOKUP(G94,$A$63:$A$77,$C$63:$C$77,0), _xlfn.XLOOKUP(G94,$A$78:$A$92,$C$78:$C$92,0), _xlfn.XLOOKUP(G94,$A$93:$A$107,$C$93:$C$107,0)))</f>
        <v/>
      </c>
      <c r="Y94" s="17">
        <f>COUNTIF($I94:$O94,"Not in war")</f>
        <v/>
      </c>
      <c r="AB94" s="61" t="n">
        <v>0</v>
      </c>
      <c r="AC94" s="58" t="n">
        <v>0</v>
      </c>
      <c r="AD94" s="8" t="n">
        <v>0</v>
      </c>
      <c r="AE94" s="8" t="n">
        <v>0</v>
      </c>
      <c r="AF94" s="7" t="n">
        <v>0</v>
      </c>
      <c r="AG94" s="7" t="n">
        <v>0</v>
      </c>
      <c r="AH94" s="7" t="n">
        <v>0</v>
      </c>
      <c r="AI94" s="6" t="n">
        <v>0</v>
      </c>
      <c r="AJ94" s="55" t="n">
        <v>0</v>
      </c>
      <c r="AK94" s="16" t="n">
        <v>0</v>
      </c>
      <c r="AL94" s="14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b">
        <v>0</v>
      </c>
      <c r="AS94" s="17" t="n">
        <v>0</v>
      </c>
    </row>
    <row r="95" ht="17.25" customFormat="1" customHeight="1" s="3">
      <c r="A95" s="30" t="n"/>
      <c r="B95" s="39" t="n"/>
      <c r="C95" s="40" t="n"/>
      <c r="D95" s="30" t="n"/>
      <c r="E95" s="31" t="n"/>
      <c r="F95" s="30" t="n"/>
      <c r="G95" s="9" t="n"/>
      <c r="H95" s="20" t="n"/>
      <c r="I95" s="8">
        <f>IFERROR(IF($E$3=15,IF(_xlfn.XLOOKUP(G95,A$3:A$17,B$3:B$17) = "Missed Hit",_xlfn.XLOOKUP(G95,A$3:A$17,B$3:B$17),_xlfn.XLOOKUP(G95,A$3:A$17,B$3:B$17) &amp; " Star " &amp; _xlfn.XLOOKUP(G95,A$3:A$17,C$3:C$17) &amp; "%"),_xlfn.XLOOKUP(G95,A$3:A$32,B$3:B$32)),"Not in war")</f>
        <v/>
      </c>
      <c r="J95" s="8">
        <f>IFERROR(IF($E$3=15,IF(_xlfn.XLOOKUP(G95,A$18:A$32,B$18:B$32) = "Missed Hit",_xlfn.XLOOKUP(G95,A$18:A$32,B$18:B$32),_xlfn.XLOOKUP(G95,A$18:A$32,B$18:B$32) &amp; " Star " &amp; _xlfn.XLOOKUP(G95,A$18:A$32,C$18:C$32) &amp; "%"),_xlfn.XLOOKUP(G95,A$33:A$62,B$33:B$62)),"Not in war")</f>
        <v/>
      </c>
      <c r="K95" s="8">
        <f>IFERROR(IF($E$3=15,IF(_xlfn.XLOOKUP(G95,A$33:A$47,B$33:B$47) = "Missed Hit",_xlfn.XLOOKUP(G95,A$33:A$47,B$33:B$47),_xlfn.XLOOKUP(G95,A$33:A$47,B$33:B$47) &amp; " Star " &amp; _xlfn.XLOOKUP(G95,A$33:A$47,C$33:C$47) &amp; "%"),_xlfn.XLOOKUP(G95,A$63:A$92,B$63:B$92)),"Not in war")</f>
        <v/>
      </c>
      <c r="L95" s="7">
        <f>IFERROR(IF($E$3=15,IF(_xlfn.XLOOKUP(G95,A$48:A$62,B$48:B$62) = "Missed Hit",_xlfn.XLOOKUP(G95,A$48:A$62,B$48:B$62),_xlfn.XLOOKUP(G95,A$48:A$62,B$48:B$62) &amp; " Star " &amp; _xlfn.XLOOKUP(G95,A$48:A$62,C$48:C$62) &amp; "%"),_xlfn.XLOOKUP(G95,A$93:A$122,B$93:B$122)),"Not in war")</f>
        <v/>
      </c>
      <c r="M95" s="7">
        <f>IFERROR(IF($E$3=15,IF(_xlfn.XLOOKUP(G95,A$63:A$77,B$63:B$77) = "Missed Hit",_xlfn.XLOOKUP(G95,A$63:A$77,B$63:B$77),_xlfn.XLOOKUP(G95,A$63:A$77,B$63:B$77) &amp; " Star " &amp; _xlfn.XLOOKUP(G95,A$63:A$77,C$63:C$77) &amp; "%"),_xlfn.XLOOKUP(G95,A$123:A$152,B$123:B$152)),"Not in war")</f>
        <v/>
      </c>
      <c r="N95" s="7">
        <f>IFERROR(IF($E$3=15,IF(_xlfn.XLOOKUP(G95,A$78:A$92,B$78:B$92) = "Missed Hit",_xlfn.XLOOKUP(G95,A$78:A$92,B$78:B$92),_xlfn.XLOOKUP(G95,A$78:A$92,B$78:B$92) &amp; " Star " &amp; _xlfn.XLOOKUP(G95,A$78:A$92,C$78:C$92) &amp; "%"),_xlfn.XLOOKUP(G95,A$153:A$182,B$153:B$182)),"Not in war")</f>
        <v/>
      </c>
      <c r="O95" s="6">
        <f>IFERROR(IF($E$3=15,IF(_xlfn.XLOOKUP(G95,A$93:A$107,B$93:B$107) = "Missed Hit",_xlfn.XLOOKUP(G95,A$93:A$107,B$93:B$107),_xlfn.XLOOKUP(G95,A$93:A$107,B$93:B$107) &amp; " Star " &amp; _xlfn.XLOOKUP(G95,A$93:A$107,C$93:C$107) &amp; "%"),_xlfn.XLOOKUP(G95,A$153:A$182,B$153:B$182)),"Not in war")</f>
        <v/>
      </c>
      <c r="Q95" s="16">
        <f>IFERROR($R95/(3*(7-$Y95)),0)</f>
        <v/>
      </c>
      <c r="R95" s="14">
        <f>3*S95+2*T95+U95</f>
        <v/>
      </c>
      <c r="S95" s="17">
        <f>COUNTIF($I95:$O95, 3 &amp; "*")</f>
        <v/>
      </c>
      <c r="T95" s="17">
        <f>COUNTIF($I95:$O95, 2 &amp; "*")</f>
        <v/>
      </c>
      <c r="U95" s="17">
        <f>COUNTIF($I95:$O95,1)</f>
        <v/>
      </c>
      <c r="V95" s="17">
        <f>COUNTIF($I95:$O95, 0 &amp; "*")</f>
        <v/>
      </c>
      <c r="W95" s="17">
        <f>COUNTIF($I95:$O95,"Missed hit")</f>
        <v/>
      </c>
      <c r="X95" s="17">
        <f>IF($E$3=15,SUM(_xlfn.XLOOKUP(G95,$A$3:$A$17,$C$3:$C$17,0),_xlfn.XLOOKUP(G95,$A$18:$A$32,$C$18:$C$32,0),_xlfn.XLOOKUP(G95,$A$33:$A$47,$C$33:$C$47,0), _xlfn.XLOOKUP(G95,$A$48:$A$62,$C$48:$C$62,0), _xlfn.XLOOKUP(G95,$A$63:$A$77,$C$63:$C$77,0), _xlfn.XLOOKUP(G95,$A$78:$A$92,$C$78:$C$92,0), _xlfn.XLOOKUP(G95,$A$93:$A$107,$C$93:$C$107,0)))</f>
        <v/>
      </c>
      <c r="Y95" s="17">
        <f>COUNTIF($I95:$O95,"Not in war")</f>
        <v/>
      </c>
      <c r="AB95" s="61" t="n">
        <v>0</v>
      </c>
      <c r="AC95" s="58" t="n">
        <v>0</v>
      </c>
      <c r="AD95" s="8" t="n">
        <v>0</v>
      </c>
      <c r="AE95" s="8" t="n">
        <v>0</v>
      </c>
      <c r="AF95" s="7" t="n">
        <v>0</v>
      </c>
      <c r="AG95" s="7" t="n">
        <v>0</v>
      </c>
      <c r="AH95" s="7" t="n">
        <v>0</v>
      </c>
      <c r="AI95" s="6" t="n">
        <v>0</v>
      </c>
      <c r="AJ95" s="55" t="n">
        <v>0</v>
      </c>
      <c r="AK95" s="16" t="n">
        <v>0</v>
      </c>
      <c r="AL95" s="14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b">
        <v>0</v>
      </c>
      <c r="AS95" s="17" t="n">
        <v>0</v>
      </c>
    </row>
    <row r="96" ht="17.25" customFormat="1" customHeight="1" s="3">
      <c r="A96" s="30" t="n"/>
      <c r="B96" s="39" t="n"/>
      <c r="C96" s="40" t="n"/>
      <c r="D96" s="30" t="n"/>
      <c r="E96" s="31" t="n"/>
      <c r="F96" s="30" t="n"/>
      <c r="G96" s="9" t="n"/>
      <c r="H96" s="20" t="n"/>
      <c r="I96" s="8">
        <f>IFERROR(IF($E$3=15,IF(_xlfn.XLOOKUP(G96,A$3:A$17,B$3:B$17) = "Missed Hit",_xlfn.XLOOKUP(G96,A$3:A$17,B$3:B$17),_xlfn.XLOOKUP(G96,A$3:A$17,B$3:B$17) &amp; " Star " &amp; _xlfn.XLOOKUP(G96,A$3:A$17,C$3:C$17) &amp; "%"),_xlfn.XLOOKUP(G96,A$3:A$32,B$3:B$32)),"Not in war")</f>
        <v/>
      </c>
      <c r="J96" s="8">
        <f>IFERROR(IF($E$3=15,IF(_xlfn.XLOOKUP(G96,A$18:A$32,B$18:B$32) = "Missed Hit",_xlfn.XLOOKUP(G96,A$18:A$32,B$18:B$32),_xlfn.XLOOKUP(G96,A$18:A$32,B$18:B$32) &amp; " Star " &amp; _xlfn.XLOOKUP(G96,A$18:A$32,C$18:C$32) &amp; "%"),_xlfn.XLOOKUP(G96,A$33:A$62,B$33:B$62)),"Not in war")</f>
        <v/>
      </c>
      <c r="K96" s="8">
        <f>IFERROR(IF($E$3=15,IF(_xlfn.XLOOKUP(G96,A$33:A$47,B$33:B$47) = "Missed Hit",_xlfn.XLOOKUP(G96,A$33:A$47,B$33:B$47),_xlfn.XLOOKUP(G96,A$33:A$47,B$33:B$47) &amp; " Star " &amp; _xlfn.XLOOKUP(G96,A$33:A$47,C$33:C$47) &amp; "%"),_xlfn.XLOOKUP(G96,A$63:A$92,B$63:B$92)),"Not in war")</f>
        <v/>
      </c>
      <c r="L96" s="7">
        <f>IFERROR(IF($E$3=15,IF(_xlfn.XLOOKUP(G96,A$48:A$62,B$48:B$62) = "Missed Hit",_xlfn.XLOOKUP(G96,A$48:A$62,B$48:B$62),_xlfn.XLOOKUP(G96,A$48:A$62,B$48:B$62) &amp; " Star " &amp; _xlfn.XLOOKUP(G96,A$48:A$62,C$48:C$62) &amp; "%"),_xlfn.XLOOKUP(G96,A$93:A$122,B$93:B$122)),"Not in war")</f>
        <v/>
      </c>
      <c r="M96" s="7">
        <f>IFERROR(IF($E$3=15,IF(_xlfn.XLOOKUP(G96,A$63:A$77,B$63:B$77) = "Missed Hit",_xlfn.XLOOKUP(G96,A$63:A$77,B$63:B$77),_xlfn.XLOOKUP(G96,A$63:A$77,B$63:B$77) &amp; " Star " &amp; _xlfn.XLOOKUP(G96,A$63:A$77,C$63:C$77) &amp; "%"),_xlfn.XLOOKUP(G96,A$123:A$152,B$123:B$152)),"Not in war")</f>
        <v/>
      </c>
      <c r="N96" s="7">
        <f>IFERROR(IF($E$3=15,IF(_xlfn.XLOOKUP(G96,A$78:A$92,B$78:B$92) = "Missed Hit",_xlfn.XLOOKUP(G96,A$78:A$92,B$78:B$92),_xlfn.XLOOKUP(G96,A$78:A$92,B$78:B$92) &amp; " Star " &amp; _xlfn.XLOOKUP(G96,A$78:A$92,C$78:C$92) &amp; "%"),_xlfn.XLOOKUP(G96,A$153:A$182,B$153:B$182)),"Not in war")</f>
        <v/>
      </c>
      <c r="O96" s="6">
        <f>IFERROR(IF($E$3=15,IF(_xlfn.XLOOKUP(G96,A$93:A$107,B$93:B$107) = "Missed Hit",_xlfn.XLOOKUP(G96,A$93:A$107,B$93:B$107),_xlfn.XLOOKUP(G96,A$93:A$107,B$93:B$107) &amp; " Star " &amp; _xlfn.XLOOKUP(G96,A$93:A$107,C$93:C$107) &amp; "%"),_xlfn.XLOOKUP(G96,A$153:A$182,B$153:B$182)),"Not in war")</f>
        <v/>
      </c>
      <c r="Q96" s="16">
        <f>IFERROR($R96/(3*(7-$Y96)),0)</f>
        <v/>
      </c>
      <c r="R96" s="14">
        <f>3*S96+2*T96+U96</f>
        <v/>
      </c>
      <c r="S96" s="17">
        <f>COUNTIF($I96:$O96, 3 &amp; "*")</f>
        <v/>
      </c>
      <c r="T96" s="17">
        <f>COUNTIF($I96:$O96, 2 &amp; "*")</f>
        <v/>
      </c>
      <c r="U96" s="17">
        <f>COUNTIF($I96:$O96,1)</f>
        <v/>
      </c>
      <c r="V96" s="17">
        <f>COUNTIF($I96:$O96, 0 &amp; "*")</f>
        <v/>
      </c>
      <c r="W96" s="17">
        <f>COUNTIF($I96:$O96,"Missed hit")</f>
        <v/>
      </c>
      <c r="X96" s="17">
        <f>IF($E$3=15,SUM(_xlfn.XLOOKUP(G96,$A$3:$A$17,$C$3:$C$17,0),_xlfn.XLOOKUP(G96,$A$18:$A$32,$C$18:$C$32,0),_xlfn.XLOOKUP(G96,$A$33:$A$47,$C$33:$C$47,0), _xlfn.XLOOKUP(G96,$A$48:$A$62,$C$48:$C$62,0), _xlfn.XLOOKUP(G96,$A$63:$A$77,$C$63:$C$77,0), _xlfn.XLOOKUP(G96,$A$78:$A$92,$C$78:$C$92,0), _xlfn.XLOOKUP(G96,$A$93:$A$107,$C$93:$C$107,0)))</f>
        <v/>
      </c>
      <c r="Y96" s="17">
        <f>COUNTIF($I96:$O96,"Not in war")</f>
        <v/>
      </c>
      <c r="AB96" s="61" t="n">
        <v>0</v>
      </c>
      <c r="AC96" s="58" t="n">
        <v>0</v>
      </c>
      <c r="AD96" s="8" t="n">
        <v>0</v>
      </c>
      <c r="AE96" s="8" t="n">
        <v>0</v>
      </c>
      <c r="AF96" s="7" t="n">
        <v>0</v>
      </c>
      <c r="AG96" s="7" t="n">
        <v>0</v>
      </c>
      <c r="AH96" s="7" t="n">
        <v>0</v>
      </c>
      <c r="AI96" s="6" t="n">
        <v>0</v>
      </c>
      <c r="AJ96" s="55" t="n">
        <v>0</v>
      </c>
      <c r="AK96" s="16" t="n">
        <v>0</v>
      </c>
      <c r="AL96" s="14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b">
        <v>0</v>
      </c>
      <c r="AS96" s="17" t="n">
        <v>0</v>
      </c>
    </row>
    <row r="97" ht="17.25" customFormat="1" customHeight="1" s="3">
      <c r="A97" s="30" t="n"/>
      <c r="B97" s="39" t="n"/>
      <c r="C97" s="40" t="n"/>
      <c r="D97" s="30" t="n"/>
      <c r="E97" s="31" t="n"/>
      <c r="F97" s="30" t="n"/>
      <c r="G97" s="9" t="n"/>
      <c r="H97" s="20" t="n"/>
      <c r="I97" s="8">
        <f>IFERROR(IF($E$3=15,IF(_xlfn.XLOOKUP(G97,A$3:A$17,B$3:B$17) = "Missed Hit",_xlfn.XLOOKUP(G97,A$3:A$17,B$3:B$17),_xlfn.XLOOKUP(G97,A$3:A$17,B$3:B$17) &amp; " Star " &amp; _xlfn.XLOOKUP(G97,A$3:A$17,C$3:C$17) &amp; "%"),_xlfn.XLOOKUP(G97,A$3:A$32,B$3:B$32)),"Not in war")</f>
        <v/>
      </c>
      <c r="J97" s="8">
        <f>IFERROR(IF($E$3=15,IF(_xlfn.XLOOKUP(G97,A$18:A$32,B$18:B$32) = "Missed Hit",_xlfn.XLOOKUP(G97,A$18:A$32,B$18:B$32),_xlfn.XLOOKUP(G97,A$18:A$32,B$18:B$32) &amp; " Star " &amp; _xlfn.XLOOKUP(G97,A$18:A$32,C$18:C$32) &amp; "%"),_xlfn.XLOOKUP(G97,A$33:A$62,B$33:B$62)),"Not in war")</f>
        <v/>
      </c>
      <c r="K97" s="8">
        <f>IFERROR(IF($E$3=15,IF(_xlfn.XLOOKUP(G97,A$33:A$47,B$33:B$47) = "Missed Hit",_xlfn.XLOOKUP(G97,A$33:A$47,B$33:B$47),_xlfn.XLOOKUP(G97,A$33:A$47,B$33:B$47) &amp; " Star " &amp; _xlfn.XLOOKUP(G97,A$33:A$47,C$33:C$47) &amp; "%"),_xlfn.XLOOKUP(G97,A$63:A$92,B$63:B$92)),"Not in war")</f>
        <v/>
      </c>
      <c r="L97" s="7">
        <f>IFERROR(IF($E$3=15,IF(_xlfn.XLOOKUP(G97,A$48:A$62,B$48:B$62) = "Missed Hit",_xlfn.XLOOKUP(G97,A$48:A$62,B$48:B$62),_xlfn.XLOOKUP(G97,A$48:A$62,B$48:B$62) &amp; " Star " &amp; _xlfn.XLOOKUP(G97,A$48:A$62,C$48:C$62) &amp; "%"),_xlfn.XLOOKUP(G97,A$93:A$122,B$93:B$122)),"Not in war")</f>
        <v/>
      </c>
      <c r="M97" s="7">
        <f>IFERROR(IF($E$3=15,IF(_xlfn.XLOOKUP(G97,A$63:A$77,B$63:B$77) = "Missed Hit",_xlfn.XLOOKUP(G97,A$63:A$77,B$63:B$77),_xlfn.XLOOKUP(G97,A$63:A$77,B$63:B$77) &amp; " Star " &amp; _xlfn.XLOOKUP(G97,A$63:A$77,C$63:C$77) &amp; "%"),_xlfn.XLOOKUP(G97,A$123:A$152,B$123:B$152)),"Not in war")</f>
        <v/>
      </c>
      <c r="N97" s="7">
        <f>IFERROR(IF($E$3=15,IF(_xlfn.XLOOKUP(G97,A$78:A$92,B$78:B$92) = "Missed Hit",_xlfn.XLOOKUP(G97,A$78:A$92,B$78:B$92),_xlfn.XLOOKUP(G97,A$78:A$92,B$78:B$92) &amp; " Star " &amp; _xlfn.XLOOKUP(G97,A$78:A$92,C$78:C$92) &amp; "%"),_xlfn.XLOOKUP(G97,A$153:A$182,B$153:B$182)),"Not in war")</f>
        <v/>
      </c>
      <c r="O97" s="6">
        <f>IFERROR(IF($E$3=15,IF(_xlfn.XLOOKUP(G97,A$93:A$107,B$93:B$107) = "Missed Hit",_xlfn.XLOOKUP(G97,A$93:A$107,B$93:B$107),_xlfn.XLOOKUP(G97,A$93:A$107,B$93:B$107) &amp; " Star " &amp; _xlfn.XLOOKUP(G97,A$93:A$107,C$93:C$107) &amp; "%"),_xlfn.XLOOKUP(G97,A$153:A$182,B$153:B$182)),"Not in war")</f>
        <v/>
      </c>
      <c r="Q97" s="16">
        <f>IFERROR($R97/(3*(7-$Y97)),0)</f>
        <v/>
      </c>
      <c r="R97" s="14">
        <f>3*S97+2*T97+U97</f>
        <v/>
      </c>
      <c r="S97" s="17">
        <f>COUNTIF($I97:$O97, 3 &amp; "*")</f>
        <v/>
      </c>
      <c r="T97" s="17">
        <f>COUNTIF($I97:$O97, 2 &amp; "*")</f>
        <v/>
      </c>
      <c r="U97" s="17">
        <f>COUNTIF($I97:$O97,1)</f>
        <v/>
      </c>
      <c r="V97" s="17">
        <f>COUNTIF($I97:$O97, 0 &amp; "*")</f>
        <v/>
      </c>
      <c r="W97" s="17">
        <f>COUNTIF($I97:$O97,"Missed hit")</f>
        <v/>
      </c>
      <c r="X97" s="17">
        <f>IF($E$3=15,SUM(_xlfn.XLOOKUP(G97,$A$3:$A$17,$C$3:$C$17,0),_xlfn.XLOOKUP(G97,$A$18:$A$32,$C$18:$C$32,0),_xlfn.XLOOKUP(G97,$A$33:$A$47,$C$33:$C$47,0), _xlfn.XLOOKUP(G97,$A$48:$A$62,$C$48:$C$62,0), _xlfn.XLOOKUP(G97,$A$63:$A$77,$C$63:$C$77,0), _xlfn.XLOOKUP(G97,$A$78:$A$92,$C$78:$C$92,0), _xlfn.XLOOKUP(G97,$A$93:$A$107,$C$93:$C$107,0)))</f>
        <v/>
      </c>
      <c r="Y97" s="17">
        <f>COUNTIF($I97:$O97,"Not in war")</f>
        <v/>
      </c>
      <c r="AB97" s="61" t="n">
        <v>0</v>
      </c>
      <c r="AC97" s="58" t="n">
        <v>0</v>
      </c>
      <c r="AD97" s="8" t="n">
        <v>0</v>
      </c>
      <c r="AE97" s="8" t="n">
        <v>0</v>
      </c>
      <c r="AF97" s="7" t="n">
        <v>0</v>
      </c>
      <c r="AG97" s="7" t="n">
        <v>0</v>
      </c>
      <c r="AH97" s="7" t="n">
        <v>0</v>
      </c>
      <c r="AI97" s="6" t="n">
        <v>0</v>
      </c>
      <c r="AJ97" s="55" t="n">
        <v>0</v>
      </c>
      <c r="AK97" s="16" t="n">
        <v>0</v>
      </c>
      <c r="AL97" s="14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b">
        <v>0</v>
      </c>
      <c r="AS97" s="17" t="n">
        <v>0</v>
      </c>
    </row>
    <row r="98" ht="17.25" customFormat="1" customHeight="1" s="3">
      <c r="A98" s="30" t="n"/>
      <c r="B98" s="39" t="n"/>
      <c r="C98" s="40" t="n"/>
      <c r="D98" s="30" t="n"/>
      <c r="E98" s="31" t="n"/>
      <c r="F98" s="30" t="n"/>
      <c r="G98" s="9" t="n"/>
      <c r="H98" s="20" t="n"/>
      <c r="I98" s="8">
        <f>IFERROR(IF($E$3=15,IF(_xlfn.XLOOKUP(G98,A$3:A$17,B$3:B$17) = "Missed Hit",_xlfn.XLOOKUP(G98,A$3:A$17,B$3:B$17),_xlfn.XLOOKUP(G98,A$3:A$17,B$3:B$17) &amp; " Star " &amp; _xlfn.XLOOKUP(G98,A$3:A$17,C$3:C$17) &amp; "%"),_xlfn.XLOOKUP(G98,A$3:A$32,B$3:B$32)),"Not in war")</f>
        <v/>
      </c>
      <c r="J98" s="8">
        <f>IFERROR(IF($E$3=15,IF(_xlfn.XLOOKUP(G98,A$18:A$32,B$18:B$32) = "Missed Hit",_xlfn.XLOOKUP(G98,A$18:A$32,B$18:B$32),_xlfn.XLOOKUP(G98,A$18:A$32,B$18:B$32) &amp; " Star " &amp; _xlfn.XLOOKUP(G98,A$18:A$32,C$18:C$32) &amp; "%"),_xlfn.XLOOKUP(G98,A$33:A$62,B$33:B$62)),"Not in war")</f>
        <v/>
      </c>
      <c r="K98" s="8">
        <f>IFERROR(IF($E$3=15,IF(_xlfn.XLOOKUP(G98,A$33:A$47,B$33:B$47) = "Missed Hit",_xlfn.XLOOKUP(G98,A$33:A$47,B$33:B$47),_xlfn.XLOOKUP(G98,A$33:A$47,B$33:B$47) &amp; " Star " &amp; _xlfn.XLOOKUP(G98,A$33:A$47,C$33:C$47) &amp; "%"),_xlfn.XLOOKUP(G98,A$63:A$92,B$63:B$92)),"Not in war")</f>
        <v/>
      </c>
      <c r="L98" s="7">
        <f>IFERROR(IF($E$3=15,IF(_xlfn.XLOOKUP(G98,A$48:A$62,B$48:B$62) = "Missed Hit",_xlfn.XLOOKUP(G98,A$48:A$62,B$48:B$62),_xlfn.XLOOKUP(G98,A$48:A$62,B$48:B$62) &amp; " Star " &amp; _xlfn.XLOOKUP(G98,A$48:A$62,C$48:C$62) &amp; "%"),_xlfn.XLOOKUP(G98,A$93:A$122,B$93:B$122)),"Not in war")</f>
        <v/>
      </c>
      <c r="M98" s="7">
        <f>IFERROR(IF($E$3=15,IF(_xlfn.XLOOKUP(G98,A$63:A$77,B$63:B$77) = "Missed Hit",_xlfn.XLOOKUP(G98,A$63:A$77,B$63:B$77),_xlfn.XLOOKUP(G98,A$63:A$77,B$63:B$77) &amp; " Star " &amp; _xlfn.XLOOKUP(G98,A$63:A$77,C$63:C$77) &amp; "%"),_xlfn.XLOOKUP(G98,A$123:A$152,B$123:B$152)),"Not in war")</f>
        <v/>
      </c>
      <c r="N98" s="7">
        <f>IFERROR(IF($E$3=15,IF(_xlfn.XLOOKUP(G98,A$78:A$92,B$78:B$92) = "Missed Hit",_xlfn.XLOOKUP(G98,A$78:A$92,B$78:B$92),_xlfn.XLOOKUP(G98,A$78:A$92,B$78:B$92) &amp; " Star " &amp; _xlfn.XLOOKUP(G98,A$78:A$92,C$78:C$92) &amp; "%"),_xlfn.XLOOKUP(G98,A$153:A$182,B$153:B$182)),"Not in war")</f>
        <v/>
      </c>
      <c r="O98" s="6">
        <f>IFERROR(IF($E$3=15,IF(_xlfn.XLOOKUP(G98,A$93:A$107,B$93:B$107) = "Missed Hit",_xlfn.XLOOKUP(G98,A$93:A$107,B$93:B$107),_xlfn.XLOOKUP(G98,A$93:A$107,B$93:B$107) &amp; " Star " &amp; _xlfn.XLOOKUP(G98,A$93:A$107,C$93:C$107) &amp; "%"),_xlfn.XLOOKUP(G98,A$153:A$182,B$153:B$182)),"Not in war")</f>
        <v/>
      </c>
      <c r="Q98" s="16">
        <f>IFERROR($R98/(3*(7-$Y98)),0)</f>
        <v/>
      </c>
      <c r="R98" s="14">
        <f>3*S98+2*T98+U98</f>
        <v/>
      </c>
      <c r="S98" s="17">
        <f>COUNTIF($I98:$O98, 3 &amp; "*")</f>
        <v/>
      </c>
      <c r="T98" s="17">
        <f>COUNTIF($I98:$O98, 2 &amp; "*")</f>
        <v/>
      </c>
      <c r="U98" s="17">
        <f>COUNTIF($I98:$O98,1)</f>
        <v/>
      </c>
      <c r="V98" s="17">
        <f>COUNTIF($I98:$O98, 0 &amp; "*")</f>
        <v/>
      </c>
      <c r="W98" s="17">
        <f>COUNTIF($I98:$O98,"Missed hit")</f>
        <v/>
      </c>
      <c r="X98" s="17">
        <f>IF($E$3=15,SUM(_xlfn.XLOOKUP(G98,$A$3:$A$17,$C$3:$C$17,0),_xlfn.XLOOKUP(G98,$A$18:$A$32,$C$18:$C$32,0),_xlfn.XLOOKUP(G98,$A$33:$A$47,$C$33:$C$47,0), _xlfn.XLOOKUP(G98,$A$48:$A$62,$C$48:$C$62,0), _xlfn.XLOOKUP(G98,$A$63:$A$77,$C$63:$C$77,0), _xlfn.XLOOKUP(G98,$A$78:$A$92,$C$78:$C$92,0), _xlfn.XLOOKUP(G98,$A$93:$A$107,$C$93:$C$107,0)))</f>
        <v/>
      </c>
      <c r="Y98" s="17">
        <f>COUNTIF($I98:$O98,"Not in war")</f>
        <v/>
      </c>
      <c r="AB98" s="61" t="n">
        <v>0</v>
      </c>
      <c r="AC98" s="58" t="n">
        <v>0</v>
      </c>
      <c r="AD98" s="8" t="n">
        <v>0</v>
      </c>
      <c r="AE98" s="8" t="n">
        <v>0</v>
      </c>
      <c r="AF98" s="7" t="n">
        <v>0</v>
      </c>
      <c r="AG98" s="7" t="n">
        <v>0</v>
      </c>
      <c r="AH98" s="7" t="n">
        <v>0</v>
      </c>
      <c r="AI98" s="6" t="n">
        <v>0</v>
      </c>
      <c r="AJ98" s="55" t="n">
        <v>0</v>
      </c>
      <c r="AK98" s="16" t="n">
        <v>0</v>
      </c>
      <c r="AL98" s="14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b">
        <v>0</v>
      </c>
      <c r="AS98" s="17" t="n">
        <v>0</v>
      </c>
    </row>
    <row r="99" ht="17.25" customFormat="1" customHeight="1" s="3">
      <c r="A99" s="30" t="n"/>
      <c r="B99" s="39" t="n"/>
      <c r="C99" s="40" t="n"/>
      <c r="D99" s="30" t="n"/>
      <c r="E99" s="31" t="n"/>
      <c r="F99" s="30" t="n"/>
      <c r="G99" s="9" t="n"/>
      <c r="H99" s="20" t="n"/>
      <c r="I99" s="8">
        <f>IFERROR(IF($E$3=15,IF(_xlfn.XLOOKUP(G99,A$3:A$17,B$3:B$17) = "Missed Hit",_xlfn.XLOOKUP(G99,A$3:A$17,B$3:B$17),_xlfn.XLOOKUP(G99,A$3:A$17,B$3:B$17) &amp; " Star " &amp; _xlfn.XLOOKUP(G99,A$3:A$17,C$3:C$17) &amp; "%"),_xlfn.XLOOKUP(G99,A$3:A$32,B$3:B$32)),"Not in war")</f>
        <v/>
      </c>
      <c r="J99" s="8">
        <f>IFERROR(IF($E$3=15,IF(_xlfn.XLOOKUP(G99,A$18:A$32,B$18:B$32) = "Missed Hit",_xlfn.XLOOKUP(G99,A$18:A$32,B$18:B$32),_xlfn.XLOOKUP(G99,A$18:A$32,B$18:B$32) &amp; " Star " &amp; _xlfn.XLOOKUP(G99,A$18:A$32,C$18:C$32) &amp; "%"),_xlfn.XLOOKUP(G99,A$33:A$62,B$33:B$62)),"Not in war")</f>
        <v/>
      </c>
      <c r="K99" s="8">
        <f>IFERROR(IF($E$3=15,IF(_xlfn.XLOOKUP(G99,A$33:A$47,B$33:B$47) = "Missed Hit",_xlfn.XLOOKUP(G99,A$33:A$47,B$33:B$47),_xlfn.XLOOKUP(G99,A$33:A$47,B$33:B$47) &amp; " Star " &amp; _xlfn.XLOOKUP(G99,A$33:A$47,C$33:C$47) &amp; "%"),_xlfn.XLOOKUP(G99,A$63:A$92,B$63:B$92)),"Not in war")</f>
        <v/>
      </c>
      <c r="L99" s="7">
        <f>IFERROR(IF($E$3=15,IF(_xlfn.XLOOKUP(G99,A$48:A$62,B$48:B$62) = "Missed Hit",_xlfn.XLOOKUP(G99,A$48:A$62,B$48:B$62),_xlfn.XLOOKUP(G99,A$48:A$62,B$48:B$62) &amp; " Star " &amp; _xlfn.XLOOKUP(G99,A$48:A$62,C$48:C$62) &amp; "%"),_xlfn.XLOOKUP(G99,A$93:A$122,B$93:B$122)),"Not in war")</f>
        <v/>
      </c>
      <c r="M99" s="7">
        <f>IFERROR(IF($E$3=15,IF(_xlfn.XLOOKUP(G99,A$63:A$77,B$63:B$77) = "Missed Hit",_xlfn.XLOOKUP(G99,A$63:A$77,B$63:B$77),_xlfn.XLOOKUP(G99,A$63:A$77,B$63:B$77) &amp; " Star " &amp; _xlfn.XLOOKUP(G99,A$63:A$77,C$63:C$77) &amp; "%"),_xlfn.XLOOKUP(G99,A$123:A$152,B$123:B$152)),"Not in war")</f>
        <v/>
      </c>
      <c r="N99" s="7">
        <f>IFERROR(IF($E$3=15,IF(_xlfn.XLOOKUP(G99,A$78:A$92,B$78:B$92) = "Missed Hit",_xlfn.XLOOKUP(G99,A$78:A$92,B$78:B$92),_xlfn.XLOOKUP(G99,A$78:A$92,B$78:B$92) &amp; " Star " &amp; _xlfn.XLOOKUP(G99,A$78:A$92,C$78:C$92) &amp; "%"),_xlfn.XLOOKUP(G99,A$153:A$182,B$153:B$182)),"Not in war")</f>
        <v/>
      </c>
      <c r="O99" s="6">
        <f>IFERROR(IF($E$3=15,IF(_xlfn.XLOOKUP(G99,A$93:A$107,B$93:B$107) = "Missed Hit",_xlfn.XLOOKUP(G99,A$93:A$107,B$93:B$107),_xlfn.XLOOKUP(G99,A$93:A$107,B$93:B$107) &amp; " Star " &amp; _xlfn.XLOOKUP(G99,A$93:A$107,C$93:C$107) &amp; "%"),_xlfn.XLOOKUP(G99,A$153:A$182,B$153:B$182)),"Not in war")</f>
        <v/>
      </c>
      <c r="Q99" s="16">
        <f>IFERROR($R99/(3*(7-$Y99)),0)</f>
        <v/>
      </c>
      <c r="R99" s="14">
        <f>3*S99+2*T99+U99</f>
        <v/>
      </c>
      <c r="S99" s="17">
        <f>COUNTIF($I99:$O99, 3 &amp; "*")</f>
        <v/>
      </c>
      <c r="T99" s="17">
        <f>COUNTIF($I99:$O99, 2 &amp; "*")</f>
        <v/>
      </c>
      <c r="U99" s="17">
        <f>COUNTIF($I99:$O99,1)</f>
        <v/>
      </c>
      <c r="V99" s="17">
        <f>COUNTIF($I99:$O99, 0 &amp; "*")</f>
        <v/>
      </c>
      <c r="W99" s="17">
        <f>COUNTIF($I99:$O99,"Missed hit")</f>
        <v/>
      </c>
      <c r="X99" s="17">
        <f>IF($E$3=15,SUM(_xlfn.XLOOKUP(G99,$A$3:$A$17,$C$3:$C$17,0),_xlfn.XLOOKUP(G99,$A$18:$A$32,$C$18:$C$32,0),_xlfn.XLOOKUP(G99,$A$33:$A$47,$C$33:$C$47,0), _xlfn.XLOOKUP(G99,$A$48:$A$62,$C$48:$C$62,0), _xlfn.XLOOKUP(G99,$A$63:$A$77,$C$63:$C$77,0), _xlfn.XLOOKUP(G99,$A$78:$A$92,$C$78:$C$92,0), _xlfn.XLOOKUP(G99,$A$93:$A$107,$C$93:$C$107,0)))</f>
        <v/>
      </c>
      <c r="Y99" s="17">
        <f>COUNTIF($I99:$O99,"Not in war")</f>
        <v/>
      </c>
      <c r="AB99" s="61" t="n">
        <v>0</v>
      </c>
      <c r="AC99" s="58" t="n">
        <v>0</v>
      </c>
      <c r="AD99" s="8" t="n">
        <v>0</v>
      </c>
      <c r="AE99" s="8" t="n">
        <v>0</v>
      </c>
      <c r="AF99" s="7" t="n">
        <v>0</v>
      </c>
      <c r="AG99" s="7" t="n">
        <v>0</v>
      </c>
      <c r="AH99" s="7" t="n">
        <v>0</v>
      </c>
      <c r="AI99" s="6" t="n">
        <v>0</v>
      </c>
      <c r="AJ99" s="55" t="n">
        <v>0</v>
      </c>
      <c r="AK99" s="16" t="n">
        <v>0</v>
      </c>
      <c r="AL99" s="14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b">
        <v>0</v>
      </c>
      <c r="AS99" s="17" t="n">
        <v>0</v>
      </c>
    </row>
    <row r="100" ht="17.25" customFormat="1" customHeight="1" s="3" thickBot="1">
      <c r="A100" s="30" t="n"/>
      <c r="B100" s="39" t="n"/>
      <c r="C100" s="40" t="n"/>
      <c r="D100" s="30" t="n"/>
      <c r="E100" s="31" t="n"/>
      <c r="F100" s="30" t="n"/>
      <c r="G100" s="9" t="n"/>
      <c r="H100" s="20" t="n"/>
      <c r="I100" s="8">
        <f>IFERROR(IF($E$3=15,IF(_xlfn.XLOOKUP(G100,A$3:A$17,B$3:B$17) = "Missed Hit",_xlfn.XLOOKUP(G100,A$3:A$17,B$3:B$17),_xlfn.XLOOKUP(G100,A$3:A$17,B$3:B$17) &amp; " Star " &amp; _xlfn.XLOOKUP(G100,A$3:A$17,C$3:C$17) &amp; "%"),_xlfn.XLOOKUP(G100,A$3:A$32,B$3:B$32)),"Not in war")</f>
        <v/>
      </c>
      <c r="J100" s="8">
        <f>IFERROR(IF($E$3=15,IF(_xlfn.XLOOKUP(G100,A$18:A$32,B$18:B$32) = "Missed Hit",_xlfn.XLOOKUP(G100,A$18:A$32,B$18:B$32),_xlfn.XLOOKUP(G100,A$18:A$32,B$18:B$32) &amp; " Star " &amp; _xlfn.XLOOKUP(G100,A$18:A$32,C$18:C$32) &amp; "%"),_xlfn.XLOOKUP(G100,A$33:A$62,B$33:B$62)),"Not in war")</f>
        <v/>
      </c>
      <c r="K100" s="8">
        <f>IFERROR(IF($E$3=15,IF(_xlfn.XLOOKUP(G100,A$33:A$47,B$33:B$47) = "Missed Hit",_xlfn.XLOOKUP(G100,A$33:A$47,B$33:B$47),_xlfn.XLOOKUP(G100,A$33:A$47,B$33:B$47) &amp; " Star " &amp; _xlfn.XLOOKUP(G100,A$33:A$47,C$33:C$47) &amp; "%"),_xlfn.XLOOKUP(G100,A$63:A$92,B$63:B$92)),"Not in war")</f>
        <v/>
      </c>
      <c r="L100" s="7">
        <f>IFERROR(IF($E$3=15,IF(_xlfn.XLOOKUP(G100,A$48:A$62,B$48:B$62) = "Missed Hit",_xlfn.XLOOKUP(G100,A$48:A$62,B$48:B$62),_xlfn.XLOOKUP(G100,A$48:A$62,B$48:B$62) &amp; " Star " &amp; _xlfn.XLOOKUP(G100,A$48:A$62,C$48:C$62) &amp; "%"),_xlfn.XLOOKUP(G100,A$93:A$122,B$93:B$122)),"Not in war")</f>
        <v/>
      </c>
      <c r="M100" s="7">
        <f>IFERROR(IF($E$3=15,IF(_xlfn.XLOOKUP(G100,A$63:A$77,B$63:B$77) = "Missed Hit",_xlfn.XLOOKUP(G100,A$63:A$77,B$63:B$77),_xlfn.XLOOKUP(G100,A$63:A$77,B$63:B$77) &amp; " Star " &amp; _xlfn.XLOOKUP(G100,A$63:A$77,C$63:C$77) &amp; "%"),_xlfn.XLOOKUP(G100,A$123:A$152,B$123:B$152)),"Not in war")</f>
        <v/>
      </c>
      <c r="N100" s="7">
        <f>IFERROR(IF($E$3=15,IF(_xlfn.XLOOKUP(G100,A$78:A$92,B$78:B$92) = "Missed Hit",_xlfn.XLOOKUP(G100,A$78:A$92,B$78:B$92),_xlfn.XLOOKUP(G100,A$78:A$92,B$78:B$92) &amp; " Star " &amp; _xlfn.XLOOKUP(G100,A$78:A$92,C$78:C$92) &amp; "%"),_xlfn.XLOOKUP(G100,A$153:A$182,B$153:B$182)),"Not in war")</f>
        <v/>
      </c>
      <c r="O100" s="6">
        <f>IFERROR(IF($E$3=15,IF(_xlfn.XLOOKUP(G100,A$93:A$107,B$93:B$107) = "Missed Hit",_xlfn.XLOOKUP(G100,A$93:A$107,B$93:B$107),_xlfn.XLOOKUP(G100,A$93:A$107,B$93:B$107) &amp; " Star " &amp; _xlfn.XLOOKUP(G100,A$93:A$107,C$93:C$107) &amp; "%"),_xlfn.XLOOKUP(G100,A$153:A$182,B$153:B$182)),"Not in war")</f>
        <v/>
      </c>
      <c r="Q100" s="16">
        <f>IFERROR($R100/(3*(7-$Y100)),0)</f>
        <v/>
      </c>
      <c r="R100" s="14">
        <f>3*S100+2*T100+U100</f>
        <v/>
      </c>
      <c r="S100" s="17">
        <f>COUNTIF($I100:$O100, 3 &amp; "*")</f>
        <v/>
      </c>
      <c r="T100" s="17">
        <f>COUNTIF($I100:$O100, 2 &amp; "*")</f>
        <v/>
      </c>
      <c r="U100" s="17">
        <f>COUNTIF($I100:$O100,1)</f>
        <v/>
      </c>
      <c r="V100" s="17">
        <f>COUNTIF($I100:$O100, 0 &amp; "*")</f>
        <v/>
      </c>
      <c r="W100" s="17">
        <f>COUNTIF($I100:$O100,"Missed hit")</f>
        <v/>
      </c>
      <c r="X100" s="17">
        <f>IF($E$3=15,SUM(_xlfn.XLOOKUP(G100,$A$3:$A$17,$C$3:$C$17,0),_xlfn.XLOOKUP(G100,$A$18:$A$32,$C$18:$C$32,0),_xlfn.XLOOKUP(G100,$A$33:$A$47,$C$33:$C$47,0), _xlfn.XLOOKUP(G100,$A$48:$A$62,$C$48:$C$62,0), _xlfn.XLOOKUP(G100,$A$63:$A$77,$C$63:$C$77,0), _xlfn.XLOOKUP(G100,$A$78:$A$92,$C$78:$C$92,0), _xlfn.XLOOKUP(G100,$A$93:$A$107,$C$93:$C$107,0)))</f>
        <v/>
      </c>
      <c r="Y100" s="17">
        <f>COUNTIF($I100:$O100,"Not in war")</f>
        <v/>
      </c>
      <c r="AB100" s="61" t="n">
        <v>0</v>
      </c>
      <c r="AC100" s="58" t="n">
        <v>0</v>
      </c>
      <c r="AD100" s="8" t="n">
        <v>0</v>
      </c>
      <c r="AE100" s="8" t="n">
        <v>0</v>
      </c>
      <c r="AF100" s="7" t="n">
        <v>0</v>
      </c>
      <c r="AG100" s="7" t="n">
        <v>0</v>
      </c>
      <c r="AH100" s="7" t="n">
        <v>0</v>
      </c>
      <c r="AI100" s="6" t="n">
        <v>0</v>
      </c>
      <c r="AJ100" s="55" t="n">
        <v>0</v>
      </c>
      <c r="AK100" s="16" t="n">
        <v>0</v>
      </c>
      <c r="AL100" s="14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b">
        <v>0</v>
      </c>
      <c r="AS100" s="17" t="n">
        <v>0</v>
      </c>
    </row>
    <row r="101" ht="17.25" customHeight="1" thickBot="1">
      <c r="B101" s="39" t="n"/>
      <c r="C101" s="40" t="n"/>
      <c r="Q101" s="49" t="inlineStr">
        <is>
          <t>AVG</t>
        </is>
      </c>
      <c r="R101" s="51" t="inlineStr">
        <is>
          <t>Total:</t>
        </is>
      </c>
      <c r="S101" s="28">
        <f>SUM(S3:S18)</f>
        <v/>
      </c>
      <c r="T101" s="18">
        <f>SUM(T3:T18)</f>
        <v/>
      </c>
      <c r="U101" s="18">
        <f>SUM(U3:U18)</f>
        <v/>
      </c>
      <c r="V101" s="18">
        <f>SUM(V3:V18)</f>
        <v/>
      </c>
      <c r="W101" s="47">
        <f>SUM(W3:W18)</f>
        <v/>
      </c>
      <c r="X101" s="99" t="inlineStr">
        <is>
          <t>-</t>
        </is>
      </c>
      <c r="Y101" s="15" t="n"/>
      <c r="AK101" s="49" t="inlineStr">
        <is>
          <t>AVG</t>
        </is>
      </c>
      <c r="AL101" s="100" t="inlineStr">
        <is>
          <t>Total:</t>
        </is>
      </c>
      <c r="AM101" s="28">
        <f>SUM(AM3:AM18)</f>
        <v/>
      </c>
      <c r="AN101" s="18">
        <f>SUM(AN3:AN18)</f>
        <v/>
      </c>
      <c r="AO101" s="18">
        <f>SUM(AO3:AO18)</f>
        <v/>
      </c>
      <c r="AP101" s="18">
        <f>SUM(AP3:AP18)</f>
        <v/>
      </c>
      <c r="AQ101" s="47">
        <f>SUM(AQ3:AQ18)</f>
        <v/>
      </c>
      <c r="AR101" s="95" t="inlineStr">
        <is>
          <t>-</t>
        </is>
      </c>
      <c r="AS101" s="96" t="n"/>
    </row>
    <row r="102" ht="17.25" customHeight="1" thickBot="1">
      <c r="B102" s="39" t="n"/>
      <c r="C102" s="40" t="n"/>
      <c r="Q102" s="50">
        <f t="array" ref="Q102">SUMPRODUCT(Q3:Q100,7-Y3:Y100)/(E3*7)</f>
        <v/>
      </c>
      <c r="R102" s="52" t="n"/>
      <c r="S102" s="29">
        <f>S$101/SUM($S$101:$W$101)</f>
        <v/>
      </c>
      <c r="T102" s="19">
        <f>T$101/SUM($S$101:$W$101)</f>
        <v/>
      </c>
      <c r="U102" s="19">
        <f>U$101/SUM($S$101:$W$101)</f>
        <v/>
      </c>
      <c r="V102" s="19">
        <f>V$101/SUM($S$101:$W$101)</f>
        <v/>
      </c>
      <c r="W102" s="48">
        <f>W$101/SUM($S$101:$W$101)</f>
        <v/>
      </c>
      <c r="X102" s="98" t="n"/>
      <c r="Y102" s="15" t="n"/>
      <c r="AK102" s="50">
        <f t="array" ref="AK102">SUMPRODUCT(AK3:AK100,7-AS3:AS100)/(E3*7)</f>
        <v/>
      </c>
      <c r="AL102" s="97" t="n"/>
      <c r="AM102" s="29">
        <f>AM$101/SUM($S$101:$W$101)</f>
        <v/>
      </c>
      <c r="AN102" s="19">
        <f>AN$101/SUM($S$101:$W$101)</f>
        <v/>
      </c>
      <c r="AO102" s="19">
        <f>AO$101/SUM($S$101:$W$101)</f>
        <v/>
      </c>
      <c r="AP102" s="19">
        <f>AP$101/SUM($S$101:$W$101)</f>
        <v/>
      </c>
      <c r="AQ102" s="48">
        <f>AQ$101/SUM($S$101:$W$101)</f>
        <v/>
      </c>
      <c r="AR102" s="97" t="n"/>
      <c r="AS102" s="98" t="n"/>
    </row>
    <row r="103" ht="17.25" customHeight="1">
      <c r="B103" s="39" t="n"/>
      <c r="C103" s="40" t="n"/>
    </row>
    <row r="104" ht="17.25" customHeight="1">
      <c r="B104" s="39" t="n"/>
      <c r="C104" s="40" t="n"/>
    </row>
    <row r="105" ht="17.25" customHeight="1">
      <c r="B105" s="39" t="n"/>
      <c r="C105" s="40" t="n"/>
    </row>
    <row r="106" ht="17.25" customHeight="1">
      <c r="B106" s="39" t="n"/>
      <c r="C106" s="40" t="n"/>
    </row>
    <row r="107" ht="17.25" customHeight="1">
      <c r="B107" s="39" t="n"/>
      <c r="C107" s="40" t="n"/>
    </row>
    <row r="108" ht="17.25" customHeight="1">
      <c r="A108" s="37" t="n"/>
      <c r="B108" s="40" t="n"/>
      <c r="C108" s="40" t="n"/>
      <c r="D108" s="37" t="n"/>
    </row>
    <row r="109" ht="17.25" customHeight="1">
      <c r="A109" s="37" t="n"/>
      <c r="B109" s="40" t="n"/>
      <c r="C109" s="40" t="n"/>
      <c r="D109" s="37" t="n"/>
    </row>
    <row r="110" ht="17.25" customHeight="1">
      <c r="A110" s="37" t="n"/>
      <c r="B110" s="40" t="n"/>
      <c r="C110" s="40" t="n"/>
      <c r="D110" s="37" t="n"/>
    </row>
    <row r="111" ht="17.25" customHeight="1">
      <c r="A111" s="37" t="n"/>
      <c r="B111" s="40" t="n"/>
      <c r="C111" s="40" t="n"/>
      <c r="D111" s="37" t="n"/>
    </row>
    <row r="112" ht="17.25" customHeight="1">
      <c r="A112" s="37" t="n"/>
      <c r="B112" s="40" t="n"/>
      <c r="C112" s="40" t="n"/>
      <c r="D112" s="37" t="n"/>
    </row>
    <row r="113" ht="17.25" customHeight="1">
      <c r="A113" s="37" t="n"/>
      <c r="B113" s="40" t="n"/>
      <c r="C113" s="40" t="n"/>
      <c r="D113" s="37" t="n"/>
    </row>
    <row r="114" ht="17.25" customHeight="1">
      <c r="A114" s="37" t="n"/>
      <c r="B114" s="40" t="n"/>
      <c r="C114" s="40" t="n"/>
      <c r="D114" s="37" t="n"/>
    </row>
    <row r="115" ht="17.25" customHeight="1">
      <c r="A115" s="37" t="n"/>
      <c r="B115" s="40" t="n"/>
      <c r="C115" s="40" t="n"/>
      <c r="D115" s="37" t="n"/>
    </row>
    <row r="116" ht="17.25" customHeight="1">
      <c r="A116" s="37" t="n"/>
      <c r="B116" s="40" t="n"/>
      <c r="C116" s="40" t="n"/>
      <c r="D116" s="37" t="n"/>
    </row>
    <row r="117" ht="17.25" customHeight="1">
      <c r="A117" s="37" t="n"/>
      <c r="B117" s="40" t="n"/>
      <c r="C117" s="40" t="n"/>
      <c r="D117" s="37" t="n"/>
    </row>
    <row r="118" ht="17.25" customHeight="1">
      <c r="A118" s="37" t="n"/>
      <c r="B118" s="40" t="n"/>
      <c r="C118" s="40" t="n"/>
      <c r="D118" s="37" t="n"/>
    </row>
    <row r="119" ht="17.25" customHeight="1">
      <c r="A119" s="37" t="n"/>
      <c r="B119" s="40" t="n"/>
      <c r="C119" s="40" t="n"/>
      <c r="D119" s="37" t="n"/>
    </row>
    <row r="120" ht="17.25" customHeight="1">
      <c r="A120" s="37" t="n"/>
      <c r="B120" s="39" t="n"/>
      <c r="C120" s="40" t="n"/>
      <c r="D120" s="37" t="n"/>
    </row>
    <row r="121" ht="17.25" customHeight="1">
      <c r="A121" s="37" t="n"/>
      <c r="B121" s="40" t="n"/>
      <c r="C121" s="40" t="n"/>
      <c r="D121" s="37" t="n"/>
    </row>
    <row r="122" ht="17.25" customHeight="1">
      <c r="A122" s="37" t="n"/>
      <c r="B122" s="40" t="n"/>
      <c r="C122" s="40" t="n"/>
      <c r="D122" s="37" t="n"/>
    </row>
    <row r="123" ht="17.25" customHeight="1">
      <c r="A123" s="37" t="n"/>
      <c r="B123" s="40" t="n"/>
      <c r="C123" s="40" t="n"/>
      <c r="D123" s="37" t="n"/>
    </row>
    <row r="124" ht="17.25" customHeight="1">
      <c r="A124" s="37" t="n"/>
      <c r="B124" s="40" t="n"/>
      <c r="C124" s="40" t="n"/>
      <c r="D124" s="37" t="n"/>
    </row>
    <row r="125" ht="17.25" customHeight="1">
      <c r="A125" s="37" t="n"/>
      <c r="B125" s="40" t="n"/>
      <c r="C125" s="40" t="n"/>
      <c r="D125" s="37" t="n"/>
    </row>
    <row r="126" ht="17.25" customHeight="1">
      <c r="A126" s="37" t="n"/>
      <c r="B126" s="40" t="n"/>
      <c r="C126" s="40" t="n"/>
      <c r="D126" s="37" t="n"/>
    </row>
    <row r="127" ht="17.25" customHeight="1">
      <c r="A127" s="37" t="n"/>
      <c r="B127" s="40" t="n"/>
      <c r="C127" s="40" t="n"/>
      <c r="D127" s="37" t="n"/>
    </row>
    <row r="128" ht="17.25" customHeight="1">
      <c r="A128" s="37" t="n"/>
      <c r="B128" s="40" t="n"/>
      <c r="C128" s="40" t="n"/>
      <c r="D128" s="37" t="n"/>
    </row>
    <row r="129" ht="17.25" customHeight="1">
      <c r="A129" s="37" t="n"/>
      <c r="B129" s="40" t="n"/>
      <c r="C129" s="40" t="n"/>
      <c r="D129" s="37" t="n"/>
    </row>
    <row r="130" ht="17.25" customHeight="1">
      <c r="A130" s="37" t="n"/>
      <c r="B130" s="40" t="n"/>
      <c r="C130" s="40" t="n"/>
      <c r="D130" s="37" t="n"/>
    </row>
    <row r="131" ht="17.25" customHeight="1">
      <c r="A131" s="37" t="n"/>
      <c r="B131" s="40" t="n"/>
      <c r="C131" s="40" t="n"/>
      <c r="D131" s="37" t="n"/>
    </row>
    <row r="132" ht="17.25" customHeight="1">
      <c r="A132" s="37" t="n"/>
      <c r="B132" s="40" t="n"/>
      <c r="C132" s="40" t="n"/>
      <c r="D132" s="37" t="n"/>
    </row>
    <row r="133" ht="17.25" customHeight="1">
      <c r="A133" s="37" t="n"/>
      <c r="B133" s="39" t="n"/>
      <c r="C133" s="40" t="n"/>
      <c r="D133" s="37" t="n"/>
    </row>
    <row r="134" ht="17.25" customHeight="1">
      <c r="A134" s="37" t="n"/>
      <c r="B134" s="40" t="n"/>
      <c r="C134" s="40" t="n"/>
      <c r="D134" s="37" t="n"/>
    </row>
    <row r="135" ht="17.25" customHeight="1">
      <c r="A135" s="37" t="n"/>
      <c r="B135" s="39" t="n"/>
      <c r="C135" s="40" t="n"/>
      <c r="D135" s="37" t="n"/>
    </row>
    <row r="136" ht="17.25" customHeight="1">
      <c r="A136" s="37" t="n"/>
      <c r="B136" s="40" t="n"/>
      <c r="C136" s="40" t="n"/>
      <c r="D136" s="37" t="n"/>
    </row>
    <row r="137" ht="17.25" customHeight="1">
      <c r="A137" s="37" t="n"/>
      <c r="B137" s="40" t="n"/>
      <c r="C137" s="40" t="n"/>
      <c r="D137" s="37" t="n"/>
    </row>
    <row r="138" ht="17.25" customHeight="1">
      <c r="A138" s="37" t="n"/>
      <c r="B138" s="40" t="n"/>
      <c r="C138" s="40" t="n"/>
      <c r="D138" s="37" t="n"/>
    </row>
    <row r="139" ht="17.25" customHeight="1">
      <c r="A139" s="37" t="n"/>
      <c r="B139" s="40" t="n"/>
      <c r="C139" s="40" t="n"/>
      <c r="D139" s="37" t="n"/>
    </row>
    <row r="140" ht="17.25" customHeight="1">
      <c r="A140" s="37" t="n"/>
      <c r="B140" s="40" t="n"/>
      <c r="C140" s="40" t="n"/>
      <c r="D140" s="37" t="n"/>
    </row>
    <row r="141" ht="17.25" customHeight="1">
      <c r="A141" s="37" t="n"/>
      <c r="B141" s="40" t="n"/>
      <c r="C141" s="40" t="n"/>
      <c r="D141" s="37" t="n"/>
    </row>
    <row r="142" ht="17.25" customHeight="1">
      <c r="A142" s="37" t="n"/>
      <c r="B142" s="40" t="n"/>
      <c r="C142" s="40" t="n"/>
      <c r="D142" s="37" t="n"/>
    </row>
    <row r="143" ht="17.25" customHeight="1">
      <c r="A143" s="37" t="n"/>
      <c r="B143" s="40" t="n"/>
      <c r="C143" s="40" t="n"/>
      <c r="D143" s="37" t="n"/>
    </row>
    <row r="144" ht="17.25" customHeight="1">
      <c r="A144" s="37" t="n"/>
      <c r="B144" s="40" t="n"/>
      <c r="C144" s="40" t="n"/>
      <c r="D144" s="37" t="n"/>
    </row>
    <row r="145" ht="17.25" customHeight="1">
      <c r="A145" s="37" t="n"/>
      <c r="B145" s="40" t="n"/>
      <c r="C145" s="40" t="n"/>
      <c r="D145" s="37" t="n"/>
    </row>
    <row r="146" ht="17.25" customHeight="1">
      <c r="A146" s="37" t="n"/>
      <c r="B146" s="40" t="n"/>
      <c r="C146" s="40" t="n"/>
      <c r="D146" s="37" t="n"/>
    </row>
    <row r="147" ht="17.25" customHeight="1">
      <c r="A147" s="37" t="n"/>
      <c r="B147" s="40" t="n"/>
      <c r="C147" s="40" t="n"/>
      <c r="D147" s="37" t="n"/>
    </row>
    <row r="148" ht="17.25" customHeight="1">
      <c r="A148" s="37" t="n"/>
      <c r="B148" s="40" t="n"/>
      <c r="C148" s="40" t="n"/>
      <c r="D148" s="37" t="n"/>
    </row>
    <row r="149" ht="17.25" customHeight="1">
      <c r="A149" s="37" t="n"/>
      <c r="B149" s="40" t="n"/>
      <c r="C149" s="40" t="n"/>
      <c r="D149" s="37" t="n"/>
    </row>
    <row r="150" ht="17.25" customHeight="1">
      <c r="A150" s="37" t="n"/>
      <c r="B150" s="40" t="n"/>
      <c r="C150" s="40" t="n"/>
      <c r="D150" s="37" t="n"/>
    </row>
    <row r="151" ht="17.25" customHeight="1">
      <c r="A151" s="37" t="n"/>
      <c r="B151" s="40" t="n"/>
      <c r="C151" s="40" t="n"/>
      <c r="D151" s="37" t="n"/>
    </row>
    <row r="152" ht="17.25" customHeight="1">
      <c r="A152" s="37" t="n"/>
      <c r="B152" s="40" t="n"/>
      <c r="C152" s="40" t="n"/>
      <c r="D152" s="37" t="n"/>
    </row>
    <row r="153" ht="17.25" customHeight="1">
      <c r="A153" s="37" t="n"/>
      <c r="B153" s="40" t="n"/>
      <c r="C153" s="40" t="n"/>
      <c r="D153" s="37" t="n"/>
    </row>
    <row r="154" ht="17.25" customHeight="1">
      <c r="A154" s="37" t="n"/>
      <c r="B154" s="39" t="n"/>
      <c r="C154" s="40" t="n"/>
      <c r="D154" s="37" t="n"/>
    </row>
    <row r="155" ht="17.25" customHeight="1">
      <c r="A155" s="37" t="n"/>
      <c r="B155" s="40" t="n"/>
      <c r="C155" s="40" t="n"/>
      <c r="D155" s="37" t="n"/>
    </row>
    <row r="156" ht="17.25" customHeight="1">
      <c r="A156" s="37" t="n"/>
      <c r="B156" s="40" t="n"/>
      <c r="C156" s="40" t="n"/>
      <c r="D156" s="37" t="n"/>
    </row>
    <row r="157" ht="17.25" customHeight="1">
      <c r="A157" s="37" t="n"/>
      <c r="B157" s="40" t="n"/>
      <c r="C157" s="40" t="n"/>
      <c r="D157" s="37" t="n"/>
    </row>
    <row r="158" ht="17.25" customHeight="1">
      <c r="A158" s="37" t="n"/>
      <c r="B158" s="40" t="n"/>
      <c r="C158" s="40" t="n"/>
      <c r="D158" s="37" t="n"/>
    </row>
    <row r="159" ht="17.25" customHeight="1">
      <c r="A159" s="37" t="n"/>
      <c r="B159" s="40" t="n"/>
      <c r="C159" s="40" t="n"/>
      <c r="D159" s="37" t="n"/>
    </row>
    <row r="160" ht="17.25" customHeight="1">
      <c r="A160" s="37" t="n"/>
      <c r="B160" s="39" t="n"/>
      <c r="C160" s="40" t="n"/>
      <c r="D160" s="37" t="n"/>
    </row>
    <row r="161" ht="17.25" customHeight="1">
      <c r="A161" s="37" t="n"/>
      <c r="B161" s="40" t="n"/>
      <c r="C161" s="40" t="n"/>
      <c r="D161" s="37" t="n"/>
    </row>
    <row r="162" ht="17.25" customHeight="1">
      <c r="A162" s="37" t="n"/>
      <c r="B162" s="40" t="n"/>
      <c r="C162" s="40" t="n"/>
      <c r="D162" s="37" t="n"/>
    </row>
    <row r="163" ht="17.25" customHeight="1">
      <c r="A163" s="37" t="n"/>
      <c r="B163" s="40" t="n"/>
      <c r="C163" s="40" t="n"/>
      <c r="D163" s="37" t="n"/>
    </row>
    <row r="164" ht="17.25" customHeight="1">
      <c r="A164" s="37" t="n"/>
      <c r="B164" s="40" t="n"/>
      <c r="C164" s="40" t="n"/>
      <c r="D164" s="37" t="n"/>
    </row>
    <row r="165" ht="17.25" customHeight="1">
      <c r="A165" s="37" t="n"/>
      <c r="B165" s="40" t="n"/>
      <c r="C165" s="40" t="n"/>
      <c r="D165" s="37" t="n"/>
    </row>
    <row r="166" ht="17.25" customHeight="1">
      <c r="A166" s="37" t="n"/>
      <c r="B166" s="40" t="n"/>
      <c r="C166" s="40" t="n"/>
      <c r="D166" s="37" t="n"/>
    </row>
    <row r="167" ht="17.25" customHeight="1">
      <c r="A167" s="37" t="n"/>
      <c r="B167" s="40" t="n"/>
      <c r="C167" s="40" t="n"/>
      <c r="D167" s="37" t="n"/>
    </row>
    <row r="168" ht="17.25" customHeight="1">
      <c r="A168" s="37" t="n"/>
      <c r="B168" s="39" t="n"/>
      <c r="C168" s="40" t="n"/>
      <c r="D168" s="37" t="n"/>
    </row>
    <row r="169" ht="17.25" customHeight="1">
      <c r="A169" s="37" t="n"/>
      <c r="B169" s="39" t="n"/>
      <c r="C169" s="40" t="n"/>
      <c r="D169" s="37" t="n"/>
    </row>
    <row r="170" ht="17.25" customHeight="1">
      <c r="A170" s="37" t="n"/>
      <c r="B170" s="39" t="n"/>
      <c r="C170" s="40" t="n"/>
      <c r="D170" s="37" t="n"/>
    </row>
    <row r="171" ht="17.25" customHeight="1">
      <c r="A171" s="37" t="n"/>
      <c r="B171" s="39" t="n"/>
      <c r="C171" s="40" t="n"/>
      <c r="D171" s="37" t="n"/>
    </row>
    <row r="172" ht="17.25" customHeight="1">
      <c r="A172" s="37" t="n"/>
      <c r="B172" s="39" t="n"/>
      <c r="C172" s="40" t="n"/>
      <c r="D172" s="37" t="n"/>
    </row>
    <row r="173" ht="17.25" customHeight="1">
      <c r="A173" s="37" t="n"/>
      <c r="B173" s="39" t="n"/>
      <c r="C173" s="40" t="n"/>
      <c r="D173" s="37" t="n"/>
    </row>
    <row r="174" ht="17.25" customHeight="1">
      <c r="A174" s="37" t="n"/>
      <c r="B174" s="39" t="n"/>
      <c r="C174" s="40" t="n"/>
      <c r="D174" s="37" t="n"/>
    </row>
    <row r="175" ht="17.25" customHeight="1">
      <c r="A175" s="37" t="n"/>
      <c r="B175" s="39" t="n"/>
      <c r="C175" s="40" t="n"/>
      <c r="D175" s="37" t="n"/>
    </row>
    <row r="176" ht="17.25" customHeight="1">
      <c r="A176" s="37" t="n"/>
      <c r="B176" s="39" t="n"/>
      <c r="C176" s="40" t="n"/>
      <c r="D176" s="37" t="n"/>
    </row>
    <row r="177" ht="17.25" customHeight="1">
      <c r="A177" s="37" t="n"/>
      <c r="B177" s="39" t="n"/>
      <c r="C177" s="40" t="n"/>
      <c r="D177" s="37" t="n"/>
    </row>
    <row r="178" ht="17.25" customHeight="1">
      <c r="A178" s="37" t="n"/>
      <c r="B178" s="39" t="n"/>
      <c r="C178" s="40" t="n"/>
      <c r="D178" s="37" t="n"/>
    </row>
    <row r="179" ht="17.25" customHeight="1">
      <c r="A179" s="37" t="n"/>
      <c r="B179" s="39" t="n"/>
      <c r="C179" s="40" t="n"/>
      <c r="D179" s="37" t="n"/>
    </row>
    <row r="180" ht="17.25" customHeight="1">
      <c r="A180" s="37" t="n"/>
      <c r="B180" s="39" t="n"/>
      <c r="C180" s="40" t="n"/>
      <c r="D180" s="37" t="n"/>
    </row>
    <row r="181" ht="17.25" customHeight="1">
      <c r="A181" s="37" t="n"/>
      <c r="B181" s="39" t="n"/>
      <c r="C181" s="40" t="n"/>
      <c r="D181" s="37" t="n"/>
    </row>
    <row r="182" ht="17.25" customHeight="1">
      <c r="A182" s="37" t="n"/>
      <c r="B182" s="39" t="n"/>
      <c r="C182" s="40" t="n"/>
      <c r="D182" s="37" t="n"/>
    </row>
    <row r="183" ht="17.25" customHeight="1">
      <c r="A183" s="37" t="n"/>
      <c r="B183" s="40" t="n"/>
      <c r="C183" s="40" t="n"/>
      <c r="D183" s="37" t="n"/>
    </row>
    <row r="184" ht="17.25" customHeight="1">
      <c r="A184" s="37" t="n"/>
      <c r="B184" s="40" t="n"/>
      <c r="C184" s="40" t="n"/>
      <c r="D184" s="37" t="n"/>
    </row>
    <row r="185" ht="17.25" customHeight="1">
      <c r="A185" s="37" t="n"/>
      <c r="B185" s="40" t="n"/>
      <c r="C185" s="40" t="n"/>
      <c r="D185" s="37" t="n"/>
    </row>
    <row r="186" ht="17.25" customHeight="1">
      <c r="A186" s="37" t="n"/>
      <c r="B186" s="40" t="n"/>
      <c r="C186" s="40" t="n"/>
      <c r="D186" s="37" t="n"/>
    </row>
    <row r="187" ht="17.25" customHeight="1">
      <c r="A187" s="37" t="n"/>
      <c r="B187" s="40" t="n"/>
      <c r="C187" s="40" t="n"/>
      <c r="D187" s="37" t="n"/>
    </row>
    <row r="188" ht="17.25" customHeight="1">
      <c r="A188" s="37" t="n"/>
      <c r="B188" s="40" t="n"/>
      <c r="C188" s="40" t="n"/>
      <c r="D188" s="37" t="n"/>
    </row>
    <row r="189" ht="17.25" customHeight="1">
      <c r="A189" s="37" t="n"/>
      <c r="B189" s="40" t="n"/>
      <c r="C189" s="40" t="n"/>
      <c r="D189" s="37" t="n"/>
    </row>
    <row r="190" ht="17.25" customHeight="1">
      <c r="A190" s="37" t="n"/>
      <c r="B190" s="40" t="n"/>
      <c r="C190" s="40" t="n"/>
      <c r="D190" s="37" t="n"/>
    </row>
    <row r="191" ht="17.25" customHeight="1">
      <c r="A191" s="37" t="n"/>
      <c r="B191" s="40" t="n"/>
      <c r="C191" s="40" t="n"/>
      <c r="D191" s="37" t="n"/>
    </row>
    <row r="192" ht="17.25" customHeight="1">
      <c r="A192" s="37" t="n"/>
      <c r="B192" s="40" t="n"/>
      <c r="C192" s="40" t="n"/>
      <c r="D192" s="37" t="n"/>
    </row>
    <row r="193" ht="17.25" customHeight="1">
      <c r="A193" s="37" t="n"/>
      <c r="B193" s="40" t="n"/>
      <c r="C193" s="40" t="n"/>
      <c r="D193" s="37" t="n"/>
    </row>
    <row r="194" ht="17.25" customHeight="1">
      <c r="A194" s="37" t="n"/>
      <c r="B194" s="40" t="n"/>
      <c r="C194" s="40" t="n"/>
      <c r="D194" s="37" t="n"/>
    </row>
    <row r="195" ht="17.25" customHeight="1">
      <c r="A195" s="37" t="n"/>
      <c r="B195" s="40" t="n"/>
      <c r="C195" s="40" t="n"/>
      <c r="D195" s="37" t="n"/>
    </row>
    <row r="196" ht="17.25" customHeight="1">
      <c r="A196" s="37" t="n"/>
      <c r="B196" s="40" t="n"/>
      <c r="C196" s="40" t="n"/>
      <c r="D196" s="37" t="n"/>
    </row>
    <row r="197" ht="17.25" customHeight="1">
      <c r="A197" s="37" t="n"/>
      <c r="B197" s="40" t="n"/>
      <c r="C197" s="40" t="n"/>
      <c r="D197" s="37" t="n"/>
    </row>
    <row r="198" ht="17.25" customHeight="1">
      <c r="A198" s="37" t="n"/>
      <c r="B198" s="40" t="n"/>
      <c r="C198" s="40" t="n"/>
      <c r="D198" s="37" t="n"/>
    </row>
    <row r="199" ht="17.25" customHeight="1">
      <c r="A199" s="37" t="n"/>
      <c r="B199" s="40" t="n"/>
      <c r="C199" s="40" t="n"/>
      <c r="D199" s="37" t="n"/>
    </row>
    <row r="200" ht="17.25" customHeight="1">
      <c r="A200" s="37" t="n"/>
      <c r="B200" s="40" t="n"/>
      <c r="C200" s="40" t="n"/>
      <c r="D200" s="37" t="n"/>
    </row>
    <row r="201" ht="17.25" customHeight="1">
      <c r="A201" s="37" t="n"/>
      <c r="B201" s="40" t="n"/>
      <c r="C201" s="40" t="n"/>
      <c r="D201" s="37" t="n"/>
    </row>
    <row r="202" ht="17.25" customHeight="1">
      <c r="A202" s="37" t="n"/>
      <c r="B202" s="40" t="n"/>
      <c r="C202" s="40" t="n"/>
      <c r="D202" s="37" t="n"/>
    </row>
    <row r="203" ht="17.25" customHeight="1">
      <c r="A203" s="37" t="n"/>
      <c r="B203" s="40" t="n"/>
      <c r="C203" s="40" t="n"/>
      <c r="D203" s="37" t="n"/>
    </row>
    <row r="204" ht="17.25" customHeight="1">
      <c r="A204" s="37" t="n"/>
      <c r="B204" s="40" t="n"/>
      <c r="C204" s="40" t="n"/>
      <c r="D204" s="37" t="n"/>
    </row>
    <row r="205" ht="17.25" customHeight="1">
      <c r="A205" s="37" t="n"/>
      <c r="B205" s="40" t="n"/>
      <c r="C205" s="40" t="n"/>
      <c r="D205" s="37" t="n"/>
    </row>
    <row r="206" ht="17.25" customHeight="1">
      <c r="A206" s="37" t="n"/>
      <c r="B206" s="40" t="n"/>
      <c r="C206" s="40" t="n"/>
      <c r="D206" s="37" t="n"/>
    </row>
    <row r="207" ht="17.25" customHeight="1">
      <c r="A207" s="37" t="n"/>
      <c r="B207" s="40" t="n"/>
      <c r="C207" s="40" t="n"/>
      <c r="D207" s="37" t="n"/>
    </row>
    <row r="208" ht="17.25" customHeight="1">
      <c r="A208" s="37" t="n"/>
      <c r="B208" s="40" t="n"/>
      <c r="C208" s="40" t="n"/>
      <c r="D208" s="37" t="n"/>
    </row>
    <row r="209" ht="17.25" customHeight="1">
      <c r="A209" s="37" t="n"/>
      <c r="B209" s="40" t="n"/>
      <c r="C209" s="40" t="n"/>
      <c r="D209" s="37" t="n"/>
    </row>
    <row r="210" ht="17.25" customHeight="1">
      <c r="A210" s="37" t="n"/>
      <c r="B210" s="39" t="n"/>
      <c r="C210" s="40" t="n"/>
      <c r="D210" s="37" t="n"/>
    </row>
    <row r="211" ht="17.25" customHeight="1">
      <c r="A211" s="37" t="n"/>
      <c r="B211" s="40" t="n"/>
      <c r="C211" s="40" t="n"/>
      <c r="D211" s="37" t="n"/>
    </row>
    <row r="212" ht="17.25" customHeight="1">
      <c r="A212" s="37" t="n"/>
      <c r="B212" s="40" t="n"/>
      <c r="C212" s="40" t="n"/>
      <c r="D212" s="37" t="n"/>
    </row>
    <row r="213" ht="17.25" customHeight="1">
      <c r="A213" s="37" t="n"/>
      <c r="B213" s="40" t="n"/>
      <c r="C213" s="40" t="n"/>
      <c r="D213" s="37" t="n"/>
    </row>
    <row r="214" ht="17.25" customHeight="1">
      <c r="A214" s="37" t="n"/>
      <c r="B214" s="40" t="n"/>
      <c r="C214" s="40" t="n"/>
      <c r="D214" s="37" t="n"/>
    </row>
    <row r="215" ht="17.25" customHeight="1">
      <c r="A215" s="37" t="n"/>
      <c r="B215" s="40" t="n"/>
      <c r="C215" s="40" t="n"/>
      <c r="D215" s="37" t="n"/>
    </row>
    <row r="216" ht="17.25" customHeight="1">
      <c r="A216" s="37" t="n"/>
      <c r="B216" s="40" t="n"/>
      <c r="C216" s="40" t="n"/>
      <c r="D216" s="37" t="n"/>
    </row>
    <row r="217" ht="17.25" customHeight="1">
      <c r="A217" s="37" t="n"/>
      <c r="B217" s="40" t="n"/>
      <c r="C217" s="40" t="n"/>
      <c r="D217" s="37" t="n"/>
    </row>
    <row r="218" ht="17.25" customHeight="1">
      <c r="A218" s="37" t="n"/>
      <c r="B218" s="40" t="n"/>
      <c r="C218" s="40" t="n"/>
      <c r="D218" s="37" t="n"/>
    </row>
    <row r="219" ht="17.25" customHeight="1">
      <c r="A219" s="37" t="n"/>
      <c r="B219" s="40" t="n"/>
      <c r="C219" s="40" t="n"/>
      <c r="D219" s="37" t="n"/>
    </row>
    <row r="220" ht="17.25" customHeight="1">
      <c r="A220" s="37" t="n"/>
      <c r="B220" s="40" t="n"/>
      <c r="C220" s="40" t="n"/>
      <c r="D220" s="37" t="n"/>
    </row>
    <row r="221" ht="17.25" customHeight="1">
      <c r="A221" s="37" t="n"/>
      <c r="B221" s="40" t="n"/>
      <c r="C221" s="40" t="n"/>
      <c r="D221" s="37" t="n"/>
    </row>
    <row r="222" ht="17.25" customHeight="1">
      <c r="A222" s="37" t="n"/>
      <c r="B222" s="40" t="n"/>
      <c r="C222" s="40" t="n"/>
      <c r="D222" s="37" t="n"/>
    </row>
    <row r="223" ht="17.25" customHeight="1">
      <c r="A223" s="37" t="n"/>
      <c r="B223" s="39" t="n"/>
      <c r="C223" s="40" t="n"/>
      <c r="D223" s="37" t="n"/>
    </row>
    <row r="224" ht="17.25" customHeight="1">
      <c r="A224" s="37" t="n"/>
      <c r="B224" s="40" t="n"/>
      <c r="C224" s="40" t="n"/>
      <c r="D224" s="37" t="n"/>
    </row>
    <row r="225" ht="17.25" customHeight="1">
      <c r="A225" s="37" t="n"/>
      <c r="B225" s="39" t="n"/>
      <c r="C225" s="40" t="n"/>
      <c r="D225" s="37" t="n"/>
    </row>
    <row r="226" ht="17.25" customHeight="1">
      <c r="A226" s="37" t="n"/>
      <c r="B226" s="40" t="n"/>
      <c r="C226" s="40" t="n"/>
      <c r="D226" s="37" t="n"/>
    </row>
    <row r="227" ht="17.25" customHeight="1">
      <c r="A227" s="37" t="n"/>
      <c r="B227" s="40" t="n"/>
      <c r="C227" s="40" t="n"/>
      <c r="D227" s="37" t="n"/>
    </row>
    <row r="228" ht="17.25" customHeight="1">
      <c r="A228" s="37" t="n"/>
      <c r="B228" s="40" t="n"/>
      <c r="C228" s="40" t="n"/>
      <c r="D228" s="37" t="n"/>
    </row>
    <row r="229" ht="17.25" customHeight="1">
      <c r="A229" s="37" t="n"/>
      <c r="B229" s="40" t="n"/>
      <c r="C229" s="40" t="n"/>
      <c r="D229" s="37" t="n"/>
    </row>
    <row r="230" ht="17.25" customHeight="1">
      <c r="A230" s="37" t="n"/>
      <c r="B230" s="40" t="n"/>
      <c r="C230" s="40" t="n"/>
      <c r="D230" s="37" t="n"/>
    </row>
    <row r="231" ht="17.25" customHeight="1">
      <c r="A231" s="37" t="n"/>
      <c r="B231" s="40" t="n"/>
      <c r="C231" s="40" t="n"/>
      <c r="D231" s="37" t="n"/>
    </row>
    <row r="232" ht="17.25" customHeight="1">
      <c r="A232" s="37" t="n"/>
      <c r="B232" s="40" t="n"/>
      <c r="C232" s="40" t="n"/>
      <c r="D232" s="37" t="n"/>
    </row>
    <row r="233" ht="17.25" customHeight="1">
      <c r="A233" s="37" t="n"/>
      <c r="B233" s="40" t="n"/>
      <c r="C233" s="40" t="n"/>
      <c r="D233" s="37" t="n"/>
    </row>
    <row r="234" ht="17.25" customHeight="1">
      <c r="A234" s="37" t="n"/>
      <c r="B234" s="40" t="n"/>
      <c r="C234" s="40" t="n"/>
      <c r="D234" s="37" t="n"/>
    </row>
    <row r="235" ht="17.25" customHeight="1">
      <c r="A235" s="37" t="n"/>
      <c r="B235" s="40" t="n"/>
      <c r="C235" s="40" t="n"/>
      <c r="D235" s="37" t="n"/>
    </row>
    <row r="236" ht="17.25" customHeight="1">
      <c r="A236" s="37" t="n"/>
      <c r="B236" s="40" t="n"/>
      <c r="C236" s="40" t="n"/>
      <c r="D236" s="37" t="n"/>
    </row>
    <row r="237" ht="17.25" customHeight="1">
      <c r="A237" s="37" t="n"/>
      <c r="B237" s="40" t="n"/>
      <c r="C237" s="40" t="n"/>
      <c r="D237" s="37" t="n"/>
    </row>
    <row r="238" ht="17.25" customHeight="1">
      <c r="A238" s="37" t="n"/>
      <c r="B238" s="40" t="n"/>
      <c r="C238" s="40" t="n"/>
      <c r="D238" s="37" t="n"/>
    </row>
    <row r="239" ht="17.25" customHeight="1">
      <c r="A239" s="37" t="n"/>
      <c r="B239" s="40" t="n"/>
      <c r="C239" s="40" t="n"/>
      <c r="D239" s="37" t="n"/>
    </row>
    <row r="240" ht="17.25" customHeight="1">
      <c r="A240" s="37" t="n"/>
      <c r="B240" s="40" t="n"/>
      <c r="C240" s="40" t="n"/>
      <c r="D240" s="37" t="n"/>
    </row>
    <row r="241" ht="17.25" customHeight="1">
      <c r="A241" s="37" t="n"/>
      <c r="B241" s="40" t="n"/>
      <c r="C241" s="40" t="n"/>
      <c r="D241" s="37" t="n"/>
    </row>
    <row r="242" ht="17.25" customHeight="1">
      <c r="A242" s="37" t="n"/>
      <c r="B242" s="40" t="n"/>
      <c r="C242" s="40" t="n"/>
      <c r="D242" s="37" t="n"/>
    </row>
    <row r="243" ht="17.25" customHeight="1">
      <c r="A243" s="37" t="n"/>
      <c r="B243" s="40" t="n"/>
      <c r="C243" s="40" t="n"/>
      <c r="D243" s="37" t="n"/>
    </row>
    <row r="244" ht="17.25" customHeight="1">
      <c r="A244" s="37" t="n"/>
      <c r="B244" s="39" t="n"/>
      <c r="C244" s="40" t="n"/>
      <c r="D244" s="37" t="n"/>
    </row>
    <row r="245" ht="17.25" customHeight="1">
      <c r="A245" s="37" t="n"/>
      <c r="B245" s="40" t="n"/>
      <c r="C245" s="40" t="n"/>
      <c r="D245" s="37" t="n"/>
    </row>
    <row r="246" ht="17.25" customHeight="1">
      <c r="A246" s="37" t="n"/>
      <c r="B246" s="40" t="n"/>
      <c r="C246" s="40" t="n"/>
      <c r="D246" s="37" t="n"/>
    </row>
    <row r="247" ht="17.25" customHeight="1">
      <c r="A247" s="37" t="n"/>
      <c r="B247" s="40" t="n"/>
      <c r="C247" s="40" t="n"/>
      <c r="D247" s="37" t="n"/>
    </row>
    <row r="248" ht="17.25" customHeight="1">
      <c r="A248" s="37" t="n"/>
      <c r="B248" s="40" t="n"/>
      <c r="C248" s="40" t="n"/>
      <c r="D248" s="37" t="n"/>
    </row>
    <row r="249" ht="17.25" customHeight="1">
      <c r="A249" s="37" t="n"/>
      <c r="B249" s="40" t="n"/>
      <c r="C249" s="40" t="n"/>
      <c r="D249" s="37" t="n"/>
    </row>
    <row r="250" ht="17.25" customHeight="1">
      <c r="A250" s="37" t="n"/>
      <c r="B250" s="39" t="n"/>
      <c r="C250" s="40" t="n"/>
      <c r="D250" s="37" t="n"/>
    </row>
    <row r="251" ht="17.25" customHeight="1">
      <c r="A251" s="37" t="n"/>
      <c r="B251" s="40" t="n"/>
      <c r="C251" s="40" t="n"/>
      <c r="D251" s="37" t="n"/>
    </row>
    <row r="252" ht="17.25" customHeight="1">
      <c r="A252" s="37" t="n"/>
      <c r="B252" s="40" t="n"/>
      <c r="C252" s="40" t="n"/>
      <c r="D252" s="37" t="n"/>
    </row>
    <row r="253" ht="17.25" customHeight="1">
      <c r="A253" s="37" t="n"/>
      <c r="B253" s="40" t="n"/>
      <c r="C253" s="40" t="n"/>
      <c r="D253" s="37" t="n"/>
    </row>
    <row r="254" ht="17.25" customHeight="1">
      <c r="A254" s="37" t="n"/>
      <c r="B254" s="40" t="n"/>
      <c r="C254" s="40" t="n"/>
      <c r="D254" s="37" t="n"/>
    </row>
    <row r="255" ht="17.25" customHeight="1">
      <c r="A255" s="37" t="n"/>
      <c r="B255" s="40" t="n"/>
      <c r="C255" s="40" t="n"/>
      <c r="D255" s="37" t="n"/>
    </row>
    <row r="256" ht="17.25" customHeight="1">
      <c r="A256" s="37" t="n"/>
      <c r="B256" s="40" t="n"/>
      <c r="C256" s="40" t="n"/>
      <c r="D256" s="37" t="n"/>
    </row>
    <row r="257" ht="17.25" customHeight="1">
      <c r="A257" s="37" t="n"/>
      <c r="B257" s="40" t="n"/>
      <c r="C257" s="40" t="n"/>
      <c r="D257" s="37" t="n"/>
    </row>
    <row r="258" ht="17.25" customHeight="1">
      <c r="A258" s="37" t="n"/>
      <c r="B258" s="39" t="n"/>
      <c r="C258" s="40" t="n"/>
      <c r="D258" s="37" t="n"/>
    </row>
    <row r="259" ht="17.25" customHeight="1">
      <c r="A259" s="37" t="n"/>
      <c r="B259" s="39" t="n"/>
      <c r="C259" s="40" t="n"/>
      <c r="D259" s="37" t="n"/>
    </row>
    <row r="260" ht="17.25" customHeight="1">
      <c r="A260" s="37" t="n"/>
      <c r="B260" s="39" t="n"/>
      <c r="C260" s="40" t="n"/>
      <c r="D260" s="37" t="n"/>
    </row>
    <row r="261" ht="17.25" customHeight="1">
      <c r="A261" s="37" t="n"/>
      <c r="B261" s="39" t="n"/>
      <c r="C261" s="40" t="n"/>
      <c r="D261" s="37" t="n"/>
    </row>
    <row r="262" ht="17.25" customHeight="1">
      <c r="A262" s="37" t="n"/>
      <c r="B262" s="39" t="n"/>
      <c r="C262" s="40" t="n"/>
      <c r="D262" s="37" t="n"/>
    </row>
    <row r="263" ht="17.25" customHeight="1">
      <c r="A263" s="37" t="n"/>
      <c r="B263" s="39" t="n"/>
      <c r="C263" s="40" t="n"/>
      <c r="D263" s="37" t="n"/>
    </row>
    <row r="264" ht="17.25" customHeight="1">
      <c r="A264" s="37" t="n"/>
      <c r="B264" s="39" t="n"/>
      <c r="C264" s="40" t="n"/>
      <c r="D264" s="37" t="n"/>
    </row>
    <row r="265" ht="17.25" customHeight="1">
      <c r="A265" s="37" t="n"/>
      <c r="B265" s="39" t="n"/>
      <c r="C265" s="40" t="n"/>
      <c r="D265" s="37" t="n"/>
    </row>
    <row r="266" ht="17.25" customHeight="1">
      <c r="A266" s="37" t="n"/>
      <c r="B266" s="39" t="n"/>
      <c r="C266" s="40" t="n"/>
      <c r="D266" s="37" t="n"/>
    </row>
    <row r="267" ht="17.25" customHeight="1">
      <c r="A267" s="37" t="n"/>
      <c r="B267" s="39" t="n"/>
      <c r="C267" s="40" t="n"/>
      <c r="D267" s="37" t="n"/>
    </row>
    <row r="268" ht="17.25" customHeight="1">
      <c r="A268" s="37" t="n"/>
      <c r="B268" s="39" t="n"/>
      <c r="C268" s="40" t="n"/>
      <c r="D268" s="37" t="n"/>
    </row>
    <row r="269" ht="17.25" customHeight="1">
      <c r="A269" s="37" t="n"/>
      <c r="B269" s="39" t="n"/>
      <c r="C269" s="40" t="n"/>
      <c r="D269" s="37" t="n"/>
    </row>
    <row r="270" ht="17.25" customHeight="1">
      <c r="A270" s="37" t="n"/>
      <c r="B270" s="39" t="n"/>
      <c r="C270" s="40" t="n"/>
      <c r="D270" s="37" t="n"/>
    </row>
    <row r="271" ht="17.25" customHeight="1">
      <c r="A271" s="37" t="n"/>
      <c r="B271" s="39" t="n"/>
      <c r="C271" s="40" t="n"/>
      <c r="D271" s="37" t="n"/>
    </row>
    <row r="272" ht="17.25" customHeight="1">
      <c r="A272" s="37" t="n"/>
      <c r="B272" s="39" t="n"/>
      <c r="C272" s="40" t="n"/>
      <c r="D272" s="37" t="n"/>
    </row>
    <row r="273">
      <c r="A273" s="37" t="n"/>
      <c r="B273" s="41" t="n"/>
      <c r="C273" s="41" t="n"/>
      <c r="D273" s="37" t="n"/>
    </row>
    <row r="274">
      <c r="A274" s="37" t="n"/>
      <c r="B274" s="41" t="n"/>
      <c r="C274" s="41" t="n"/>
      <c r="D274" s="37" t="n"/>
    </row>
    <row r="275">
      <c r="A275" s="37" t="n"/>
      <c r="B275" s="41" t="n"/>
      <c r="C275" s="41" t="n"/>
      <c r="D275" s="37" t="n"/>
    </row>
    <row r="276">
      <c r="A276" s="37" t="n"/>
      <c r="B276" s="41" t="n"/>
      <c r="C276" s="41" t="n"/>
      <c r="D276" s="37" t="n"/>
    </row>
    <row r="277">
      <c r="A277" s="37" t="n"/>
      <c r="B277" s="41" t="n"/>
      <c r="C277" s="41" t="n"/>
      <c r="D277" s="37" t="n"/>
    </row>
    <row r="278">
      <c r="A278" s="37" t="n"/>
      <c r="B278" s="41" t="n"/>
      <c r="C278" s="41" t="n"/>
      <c r="D278" s="37" t="n"/>
    </row>
    <row r="279">
      <c r="A279" s="37" t="n"/>
      <c r="B279" s="41" t="n"/>
      <c r="C279" s="41" t="n"/>
      <c r="D279" s="37" t="n"/>
    </row>
    <row r="280">
      <c r="A280" s="37" t="n"/>
      <c r="B280" s="41" t="n"/>
      <c r="C280" s="41" t="n"/>
      <c r="D280" s="37" t="n"/>
    </row>
    <row r="281">
      <c r="A281" s="37" t="n"/>
      <c r="B281" s="41" t="n"/>
      <c r="C281" s="41" t="n"/>
      <c r="D281" s="37" t="n"/>
    </row>
    <row r="282">
      <c r="A282" s="37" t="n"/>
      <c r="B282" s="41" t="n"/>
      <c r="C282" s="41" t="n"/>
      <c r="D282" s="37" t="n"/>
    </row>
    <row r="283">
      <c r="A283" s="37" t="n"/>
      <c r="B283" s="41" t="n"/>
      <c r="C283" s="41" t="n"/>
      <c r="D283" s="37" t="n"/>
    </row>
    <row r="284">
      <c r="A284" s="37" t="n"/>
      <c r="B284" s="41" t="n"/>
      <c r="C284" s="41" t="n"/>
      <c r="D284" s="37" t="n"/>
    </row>
    <row r="285">
      <c r="A285" s="37" t="n"/>
      <c r="B285" s="41" t="n"/>
      <c r="C285" s="41" t="n"/>
      <c r="D285" s="37" t="n"/>
    </row>
    <row r="286">
      <c r="A286" s="37" t="n"/>
      <c r="B286" s="41" t="n"/>
      <c r="C286" s="41" t="n"/>
      <c r="D286" s="37" t="n"/>
    </row>
    <row r="287">
      <c r="A287" s="37" t="n"/>
      <c r="B287" s="41" t="n"/>
      <c r="C287" s="41" t="n"/>
      <c r="D287" s="37" t="n"/>
    </row>
    <row r="288">
      <c r="A288" s="37" t="n"/>
      <c r="B288" s="41" t="n"/>
      <c r="C288" s="41" t="n"/>
      <c r="D288" s="37" t="n"/>
    </row>
    <row r="289">
      <c r="A289" s="37" t="n"/>
      <c r="B289" s="41" t="n"/>
      <c r="C289" s="41" t="n"/>
      <c r="D289" s="37" t="n"/>
    </row>
    <row r="290">
      <c r="A290" s="37" t="n"/>
      <c r="B290" s="41" t="n"/>
      <c r="C290" s="41" t="n"/>
      <c r="D290" s="37" t="n"/>
    </row>
    <row r="291">
      <c r="A291" s="37" t="n"/>
      <c r="B291" s="41" t="n"/>
      <c r="C291" s="41" t="n"/>
      <c r="D291" s="37" t="n"/>
    </row>
    <row r="292">
      <c r="A292" s="37" t="n"/>
      <c r="B292" s="41" t="n"/>
      <c r="C292" s="41" t="n"/>
      <c r="D292" s="37" t="n"/>
    </row>
    <row r="293">
      <c r="A293" s="37" t="n"/>
      <c r="B293" s="41" t="n"/>
      <c r="C293" s="41" t="n"/>
      <c r="D293" s="37" t="n"/>
    </row>
    <row r="294">
      <c r="A294" s="37" t="n"/>
      <c r="B294" s="41" t="n"/>
      <c r="C294" s="41" t="n"/>
      <c r="D294" s="37" t="n"/>
    </row>
    <row r="295">
      <c r="A295" s="37" t="n"/>
      <c r="B295" s="41" t="n"/>
      <c r="C295" s="41" t="n"/>
      <c r="D295" s="37" t="n"/>
    </row>
    <row r="296">
      <c r="A296" s="37" t="n"/>
      <c r="B296" s="41" t="n"/>
      <c r="C296" s="41" t="n"/>
      <c r="D296" s="37" t="n"/>
    </row>
    <row r="297">
      <c r="A297" s="37" t="n"/>
      <c r="B297" s="41" t="n"/>
      <c r="C297" s="41" t="n"/>
      <c r="D297" s="37" t="n"/>
    </row>
    <row r="298">
      <c r="A298" s="37" t="n"/>
      <c r="B298" s="41" t="n"/>
      <c r="C298" s="41" t="n"/>
      <c r="D298" s="37" t="n"/>
    </row>
    <row r="299">
      <c r="A299" s="37" t="n"/>
      <c r="B299" s="41" t="n"/>
      <c r="C299" s="41" t="n"/>
      <c r="D299" s="37" t="n"/>
    </row>
    <row r="300">
      <c r="A300" s="37" t="n"/>
      <c r="B300" s="41" t="n"/>
      <c r="C300" s="41" t="n"/>
      <c r="D300" s="37" t="n"/>
    </row>
    <row r="301">
      <c r="A301" s="37" t="n"/>
      <c r="B301" s="41" t="n"/>
      <c r="C301" s="41" t="n"/>
      <c r="D301" s="37" t="n"/>
    </row>
    <row r="302">
      <c r="A302" s="37" t="n"/>
      <c r="B302" s="41" t="n"/>
      <c r="C302" s="41" t="n"/>
      <c r="D302" s="37" t="n"/>
    </row>
    <row r="303">
      <c r="A303" s="37" t="n"/>
      <c r="B303" s="41" t="n"/>
      <c r="C303" s="41" t="n"/>
      <c r="D303" s="37" t="n"/>
    </row>
    <row r="304">
      <c r="A304" s="37" t="n"/>
      <c r="B304" s="41" t="n"/>
      <c r="C304" s="41" t="n"/>
      <c r="D304" s="37" t="n"/>
    </row>
    <row r="305">
      <c r="A305" s="37" t="n"/>
      <c r="B305" s="41" t="n"/>
      <c r="C305" s="41" t="n"/>
      <c r="D305" s="37" t="n"/>
    </row>
    <row r="306">
      <c r="A306" s="37" t="n"/>
      <c r="B306" s="41" t="n"/>
      <c r="C306" s="41" t="n"/>
      <c r="D306" s="37" t="n"/>
    </row>
    <row r="307">
      <c r="A307" s="37" t="n"/>
      <c r="B307" s="41" t="n"/>
      <c r="C307" s="41" t="n"/>
      <c r="D307" s="37" t="n"/>
    </row>
    <row r="308">
      <c r="A308" s="37" t="n"/>
      <c r="B308" s="41" t="n"/>
      <c r="C308" s="41" t="n"/>
      <c r="D308" s="37" t="n"/>
    </row>
    <row r="309">
      <c r="A309" s="37" t="n"/>
      <c r="B309" s="41" t="n"/>
      <c r="C309" s="41" t="n"/>
      <c r="D309" s="37" t="n"/>
    </row>
    <row r="310">
      <c r="A310" s="37" t="n"/>
      <c r="B310" s="41" t="n"/>
      <c r="C310" s="41" t="n"/>
      <c r="D310" s="37" t="n"/>
    </row>
    <row r="311">
      <c r="A311" s="37" t="n"/>
      <c r="B311" s="41" t="n"/>
      <c r="C311" s="41" t="n"/>
      <c r="D311" s="37" t="n"/>
    </row>
    <row r="312">
      <c r="A312" s="37" t="n"/>
      <c r="B312" s="41" t="n"/>
      <c r="C312" s="41" t="n"/>
      <c r="D312" s="37" t="n"/>
    </row>
    <row r="313">
      <c r="A313" s="37" t="n"/>
      <c r="B313" s="41" t="n"/>
      <c r="C313" s="41" t="n"/>
      <c r="D313" s="37" t="n"/>
    </row>
    <row r="314">
      <c r="A314" s="37" t="n"/>
      <c r="B314" s="41" t="n"/>
      <c r="C314" s="41" t="n"/>
      <c r="D314" s="37" t="n"/>
    </row>
    <row r="315">
      <c r="A315" s="37" t="n"/>
      <c r="B315" s="41" t="n"/>
      <c r="C315" s="41" t="n"/>
      <c r="D315" s="37" t="n"/>
    </row>
    <row r="316">
      <c r="A316" s="37" t="n"/>
      <c r="B316" s="41" t="n"/>
      <c r="C316" s="41" t="n"/>
      <c r="D316" s="37" t="n"/>
    </row>
    <row r="317">
      <c r="A317" s="37" t="n"/>
      <c r="B317" s="41" t="n"/>
      <c r="C317" s="41" t="n"/>
      <c r="D317" s="37" t="n"/>
    </row>
    <row r="318">
      <c r="A318" s="37" t="n"/>
      <c r="B318" s="41" t="n"/>
      <c r="C318" s="41" t="n"/>
      <c r="D318" s="37" t="n"/>
    </row>
    <row r="319">
      <c r="A319" s="37" t="n"/>
      <c r="B319" s="41" t="n"/>
      <c r="C319" s="41" t="n"/>
      <c r="D319" s="37" t="n"/>
    </row>
    <row r="320">
      <c r="A320" s="37" t="n"/>
      <c r="B320" s="41" t="n"/>
      <c r="C320" s="41" t="n"/>
      <c r="D320" s="37" t="n"/>
    </row>
    <row r="321">
      <c r="A321" s="37" t="n"/>
      <c r="B321" s="41" t="n"/>
      <c r="C321" s="41" t="n"/>
      <c r="D321" s="37" t="n"/>
    </row>
    <row r="322">
      <c r="A322" s="37" t="n"/>
      <c r="B322" s="41" t="n"/>
      <c r="C322" s="41" t="n"/>
      <c r="D322" s="37" t="n"/>
    </row>
    <row r="323">
      <c r="A323" s="37" t="n"/>
      <c r="B323" s="41" t="n"/>
      <c r="C323" s="41" t="n"/>
      <c r="D323" s="37" t="n"/>
    </row>
    <row r="324">
      <c r="A324" s="37" t="n"/>
      <c r="B324" s="41" t="n"/>
      <c r="C324" s="41" t="n"/>
      <c r="D324" s="37" t="n"/>
    </row>
    <row r="325">
      <c r="A325" s="37" t="n"/>
      <c r="B325" s="41" t="n"/>
      <c r="C325" s="41" t="n"/>
      <c r="D325" s="37" t="n"/>
    </row>
    <row r="326">
      <c r="A326" s="37" t="n"/>
      <c r="B326" s="41" t="n"/>
      <c r="C326" s="41" t="n"/>
      <c r="D326" s="37" t="n"/>
    </row>
    <row r="327">
      <c r="A327" s="37" t="n"/>
      <c r="B327" s="41" t="n"/>
      <c r="C327" s="41" t="n"/>
      <c r="D327" s="37" t="n"/>
    </row>
    <row r="328">
      <c r="A328" s="37" t="n"/>
      <c r="B328" s="41" t="n"/>
      <c r="C328" s="41" t="n"/>
      <c r="D328" s="37" t="n"/>
    </row>
    <row r="329">
      <c r="A329" s="37" t="n"/>
      <c r="B329" s="41" t="n"/>
      <c r="C329" s="41" t="n"/>
      <c r="D329" s="37" t="n"/>
    </row>
    <row r="330">
      <c r="A330" s="37" t="n"/>
      <c r="B330" s="41" t="n"/>
      <c r="C330" s="41" t="n"/>
      <c r="D330" s="37" t="n"/>
    </row>
    <row r="331">
      <c r="A331" s="37" t="n"/>
      <c r="B331" s="41" t="n"/>
      <c r="C331" s="41" t="n"/>
      <c r="D331" s="37" t="n"/>
    </row>
    <row r="332">
      <c r="A332" s="37" t="n"/>
      <c r="B332" s="41" t="n"/>
      <c r="C332" s="41" t="n"/>
      <c r="D332" s="37" t="n"/>
    </row>
    <row r="333">
      <c r="A333" s="37" t="n"/>
      <c r="B333" s="41" t="n"/>
      <c r="C333" s="41" t="n"/>
      <c r="D333" s="37" t="n"/>
    </row>
    <row r="334">
      <c r="A334" s="37" t="n"/>
      <c r="B334" s="41" t="n"/>
      <c r="C334" s="41" t="n"/>
      <c r="D334" s="37" t="n"/>
    </row>
    <row r="335">
      <c r="A335" s="37" t="n"/>
      <c r="B335" s="41" t="n"/>
      <c r="C335" s="41" t="n"/>
      <c r="D335" s="37" t="n"/>
    </row>
    <row r="336">
      <c r="A336" s="37" t="n"/>
      <c r="B336" s="41" t="n"/>
      <c r="C336" s="41" t="n"/>
      <c r="D336" s="37" t="n"/>
    </row>
    <row r="337">
      <c r="A337" s="37" t="n"/>
      <c r="B337" s="41" t="n"/>
      <c r="C337" s="41" t="n"/>
      <c r="D337" s="37" t="n"/>
    </row>
    <row r="338">
      <c r="A338" s="37" t="n"/>
      <c r="B338" s="41" t="n"/>
      <c r="C338" s="41" t="n"/>
      <c r="D338" s="37" t="n"/>
    </row>
    <row r="339">
      <c r="A339" s="37" t="n"/>
      <c r="B339" s="41" t="n"/>
      <c r="C339" s="41" t="n"/>
      <c r="D339" s="37" t="n"/>
    </row>
    <row r="340">
      <c r="A340" s="37" t="n"/>
      <c r="B340" s="41" t="n"/>
      <c r="C340" s="41" t="n"/>
      <c r="D340" s="37" t="n"/>
    </row>
    <row r="341">
      <c r="A341" s="37" t="n"/>
      <c r="B341" s="41" t="n"/>
      <c r="C341" s="41" t="n"/>
      <c r="D341" s="37" t="n"/>
    </row>
    <row r="342">
      <c r="A342" s="37" t="n"/>
      <c r="B342" s="41" t="n"/>
      <c r="C342" s="41" t="n"/>
      <c r="D342" s="37" t="n"/>
    </row>
    <row r="343">
      <c r="A343" s="37" t="n"/>
      <c r="B343" s="41" t="n"/>
      <c r="C343" s="41" t="n"/>
      <c r="D343" s="37" t="n"/>
    </row>
    <row r="344">
      <c r="A344" s="37" t="n"/>
      <c r="B344" s="41" t="n"/>
      <c r="C344" s="41" t="n"/>
      <c r="D344" s="37" t="n"/>
    </row>
    <row r="345">
      <c r="A345" s="37" t="n"/>
      <c r="B345" s="41" t="n"/>
      <c r="C345" s="41" t="n"/>
      <c r="D345" s="37" t="n"/>
    </row>
    <row r="346">
      <c r="A346" s="37" t="n"/>
      <c r="B346" s="41" t="n"/>
      <c r="C346" s="41" t="n"/>
      <c r="D346" s="37" t="n"/>
    </row>
    <row r="347">
      <c r="A347" s="37" t="n"/>
      <c r="B347" s="41" t="n"/>
      <c r="C347" s="41" t="n"/>
      <c r="D347" s="37" t="n"/>
    </row>
    <row r="348">
      <c r="A348" s="37" t="n"/>
      <c r="B348" s="41" t="n"/>
      <c r="C348" s="41" t="n"/>
      <c r="D348" s="37" t="n"/>
    </row>
    <row r="349">
      <c r="A349" s="37" t="n"/>
      <c r="B349" s="41" t="n"/>
      <c r="C349" s="41" t="n"/>
      <c r="D349" s="37" t="n"/>
    </row>
    <row r="350">
      <c r="A350" s="37" t="n"/>
      <c r="B350" s="41" t="n"/>
      <c r="C350" s="41" t="n"/>
      <c r="D350" s="37" t="n"/>
    </row>
    <row r="351">
      <c r="A351" s="37" t="n"/>
      <c r="B351" s="41" t="n"/>
      <c r="C351" s="41" t="n"/>
      <c r="D351" s="37" t="n"/>
    </row>
    <row r="352">
      <c r="A352" s="37" t="n"/>
      <c r="B352" s="41" t="n"/>
      <c r="C352" s="41" t="n"/>
      <c r="D352" s="37" t="n"/>
    </row>
    <row r="353">
      <c r="A353" s="37" t="n"/>
      <c r="B353" s="41" t="n"/>
      <c r="C353" s="41" t="n"/>
      <c r="D353" s="37" t="n"/>
    </row>
    <row r="354">
      <c r="A354" s="37" t="n"/>
      <c r="B354" s="41" t="n"/>
      <c r="C354" s="41" t="n"/>
      <c r="D354" s="37" t="n"/>
    </row>
    <row r="355">
      <c r="A355" s="37" t="n"/>
      <c r="B355" s="41" t="n"/>
      <c r="C355" s="41" t="n"/>
      <c r="D355" s="37" t="n"/>
    </row>
    <row r="356">
      <c r="A356" s="37" t="n"/>
      <c r="B356" s="41" t="n"/>
      <c r="C356" s="41" t="n"/>
      <c r="D356" s="37" t="n"/>
    </row>
    <row r="357">
      <c r="A357" s="37" t="n"/>
      <c r="B357" s="41" t="n"/>
      <c r="C357" s="41" t="n"/>
      <c r="D357" s="37" t="n"/>
    </row>
    <row r="358">
      <c r="A358" s="37" t="n"/>
      <c r="B358" s="41" t="n"/>
      <c r="C358" s="41" t="n"/>
      <c r="D358" s="37" t="n"/>
    </row>
    <row r="359">
      <c r="A359" s="37" t="n"/>
      <c r="B359" s="41" t="n"/>
      <c r="C359" s="41" t="n"/>
      <c r="D359" s="37" t="n"/>
    </row>
    <row r="360">
      <c r="A360" s="37" t="n"/>
      <c r="B360" s="41" t="n"/>
      <c r="C360" s="41" t="n"/>
      <c r="D360" s="37" t="n"/>
    </row>
    <row r="361">
      <c r="A361" s="37" t="n"/>
      <c r="B361" s="41" t="n"/>
      <c r="C361" s="41" t="n"/>
      <c r="D361" s="37" t="n"/>
    </row>
    <row r="362">
      <c r="A362" s="37" t="n"/>
      <c r="B362" s="41" t="n"/>
      <c r="C362" s="41" t="n"/>
      <c r="D362" s="37" t="n"/>
    </row>
    <row r="363">
      <c r="A363" s="37" t="n"/>
      <c r="B363" s="41" t="n"/>
      <c r="C363" s="41" t="n"/>
      <c r="D363" s="37" t="n"/>
    </row>
    <row r="364">
      <c r="A364" s="37" t="n"/>
      <c r="B364" s="41" t="n"/>
      <c r="C364" s="41" t="n"/>
      <c r="D364" s="37" t="n"/>
    </row>
    <row r="365">
      <c r="A365" s="37" t="n"/>
      <c r="B365" s="41" t="n"/>
      <c r="C365" s="41" t="n"/>
      <c r="D365" s="37" t="n"/>
    </row>
    <row r="366">
      <c r="A366" s="37" t="n"/>
      <c r="B366" s="41" t="n"/>
      <c r="C366" s="41" t="n"/>
      <c r="D366" s="37" t="n"/>
    </row>
    <row r="367">
      <c r="A367" s="37" t="n"/>
      <c r="B367" s="41" t="n"/>
      <c r="C367" s="41" t="n"/>
      <c r="D367" s="37" t="n"/>
    </row>
    <row r="368">
      <c r="A368" s="37" t="n"/>
      <c r="B368" s="41" t="n"/>
      <c r="C368" s="41" t="n"/>
      <c r="D368" s="37" t="n"/>
    </row>
    <row r="369">
      <c r="A369" s="37" t="n"/>
      <c r="B369" s="41" t="n"/>
      <c r="C369" s="41" t="n"/>
      <c r="D369" s="37" t="n"/>
    </row>
    <row r="370">
      <c r="A370" s="37" t="n"/>
      <c r="B370" s="41" t="n"/>
      <c r="C370" s="41" t="n"/>
      <c r="D370" s="37" t="n"/>
    </row>
    <row r="371">
      <c r="A371" s="37" t="n"/>
      <c r="B371" s="41" t="n"/>
      <c r="C371" s="41" t="n"/>
      <c r="D371" s="37" t="n"/>
    </row>
    <row r="372">
      <c r="A372" s="37" t="n"/>
      <c r="B372" s="41" t="n"/>
      <c r="C372" s="41" t="n"/>
      <c r="D372" s="37" t="n"/>
    </row>
    <row r="373">
      <c r="A373" s="37" t="n"/>
      <c r="B373" s="41" t="n"/>
      <c r="C373" s="41" t="n"/>
      <c r="D373" s="37" t="n"/>
    </row>
    <row r="374">
      <c r="A374" s="37" t="n"/>
      <c r="B374" s="41" t="n"/>
      <c r="C374" s="41" t="n"/>
      <c r="D374" s="37" t="n"/>
    </row>
    <row r="375">
      <c r="A375" s="37" t="n"/>
      <c r="B375" s="41" t="n"/>
      <c r="C375" s="41" t="n"/>
      <c r="D375" s="37" t="n"/>
    </row>
    <row r="376">
      <c r="A376" s="37" t="n"/>
      <c r="B376" s="41" t="n"/>
      <c r="C376" s="41" t="n"/>
      <c r="D376" s="37" t="n"/>
    </row>
    <row r="377">
      <c r="A377" s="37" t="n"/>
      <c r="B377" s="41" t="n"/>
      <c r="C377" s="41" t="n"/>
      <c r="D377" s="37" t="n"/>
    </row>
    <row r="378">
      <c r="A378" s="37" t="n"/>
      <c r="B378" s="41" t="n"/>
      <c r="C378" s="41" t="n"/>
      <c r="D378" s="37" t="n"/>
    </row>
    <row r="379">
      <c r="A379" s="37" t="n"/>
      <c r="B379" s="41" t="n"/>
      <c r="C379" s="41" t="n"/>
      <c r="D379" s="37" t="n"/>
    </row>
    <row r="380">
      <c r="A380" s="37" t="n"/>
      <c r="B380" s="41" t="n"/>
      <c r="C380" s="41" t="n"/>
      <c r="D380" s="37" t="n"/>
    </row>
    <row r="381">
      <c r="A381" s="37" t="n"/>
      <c r="B381" s="41" t="n"/>
      <c r="C381" s="41" t="n"/>
      <c r="D381" s="37" t="n"/>
    </row>
    <row r="382">
      <c r="A382" s="37" t="n"/>
      <c r="B382" s="41" t="n"/>
      <c r="C382" s="41" t="n"/>
      <c r="D382" s="37" t="n"/>
    </row>
    <row r="383">
      <c r="A383" s="37" t="n"/>
      <c r="B383" s="41" t="n"/>
      <c r="C383" s="41" t="n"/>
      <c r="D383" s="37" t="n"/>
    </row>
    <row r="384">
      <c r="A384" s="37" t="n"/>
      <c r="B384" s="41" t="n"/>
      <c r="C384" s="41" t="n"/>
      <c r="D384" s="37" t="n"/>
    </row>
    <row r="385">
      <c r="A385" s="37" t="n"/>
      <c r="B385" s="41" t="n"/>
      <c r="C385" s="41" t="n"/>
      <c r="D385" s="37" t="n"/>
    </row>
    <row r="386">
      <c r="A386" s="37" t="n"/>
      <c r="B386" s="41" t="n"/>
      <c r="C386" s="41" t="n"/>
      <c r="D386" s="37" t="n"/>
    </row>
    <row r="387">
      <c r="A387" s="37" t="n"/>
      <c r="B387" s="41" t="n"/>
      <c r="C387" s="41" t="n"/>
      <c r="D387" s="37" t="n"/>
    </row>
    <row r="388">
      <c r="A388" s="37" t="n"/>
      <c r="B388" s="41" t="n"/>
      <c r="C388" s="41" t="n"/>
      <c r="D388" s="37" t="n"/>
    </row>
    <row r="389">
      <c r="A389" s="37" t="n"/>
      <c r="B389" s="41" t="n"/>
      <c r="C389" s="41" t="n"/>
      <c r="D389" s="37" t="n"/>
    </row>
    <row r="390">
      <c r="A390" s="37" t="n"/>
      <c r="B390" s="41" t="n"/>
      <c r="C390" s="41" t="n"/>
      <c r="D390" s="37" t="n"/>
    </row>
    <row r="391">
      <c r="A391" s="37" t="n"/>
      <c r="B391" s="41" t="n"/>
      <c r="C391" s="41" t="n"/>
      <c r="D391" s="37" t="n"/>
    </row>
    <row r="392">
      <c r="A392" s="37" t="n"/>
      <c r="B392" s="41" t="n"/>
      <c r="C392" s="41" t="n"/>
      <c r="D392" s="37" t="n"/>
    </row>
    <row r="393">
      <c r="A393" s="37" t="n"/>
      <c r="B393" s="41" t="n"/>
      <c r="C393" s="41" t="n"/>
      <c r="D393" s="37" t="n"/>
    </row>
    <row r="394">
      <c r="A394" s="37" t="n"/>
      <c r="B394" s="41" t="n"/>
      <c r="C394" s="41" t="n"/>
      <c r="D394" s="37" t="n"/>
    </row>
    <row r="395">
      <c r="A395" s="37" t="n"/>
      <c r="B395" s="41" t="n"/>
      <c r="C395" s="41" t="n"/>
      <c r="D395" s="37" t="n"/>
    </row>
    <row r="396">
      <c r="A396" s="37" t="n"/>
      <c r="B396" s="41" t="n"/>
      <c r="C396" s="41" t="n"/>
      <c r="D396" s="37" t="n"/>
    </row>
    <row r="397">
      <c r="A397" s="37" t="n"/>
      <c r="B397" s="41" t="n"/>
      <c r="C397" s="41" t="n"/>
      <c r="D397" s="37" t="n"/>
    </row>
    <row r="398">
      <c r="A398" s="37" t="n"/>
      <c r="B398" s="41" t="n"/>
      <c r="C398" s="41" t="n"/>
      <c r="D398" s="37" t="n"/>
    </row>
    <row r="399">
      <c r="A399" s="37" t="n"/>
      <c r="B399" s="41" t="n"/>
      <c r="C399" s="41" t="n"/>
      <c r="D399" s="37" t="n"/>
    </row>
    <row r="400">
      <c r="A400" s="37" t="n"/>
      <c r="B400" s="41" t="n"/>
      <c r="C400" s="41" t="n"/>
      <c r="D400" s="37" t="n"/>
    </row>
    <row r="401">
      <c r="A401" s="37" t="n"/>
      <c r="B401" s="41" t="n"/>
      <c r="C401" s="41" t="n"/>
      <c r="D401" s="37" t="n"/>
    </row>
    <row r="402">
      <c r="A402" s="37" t="n"/>
      <c r="B402" s="41" t="n"/>
      <c r="C402" s="41" t="n"/>
      <c r="D402" s="37" t="n"/>
    </row>
    <row r="403">
      <c r="A403" s="37" t="n"/>
      <c r="B403" s="41" t="n"/>
      <c r="C403" s="41" t="n"/>
      <c r="D403" s="37" t="n"/>
    </row>
    <row r="404">
      <c r="A404" s="37" t="n"/>
      <c r="B404" s="41" t="n"/>
      <c r="C404" s="41" t="n"/>
      <c r="D404" s="37" t="n"/>
    </row>
    <row r="405">
      <c r="A405" s="37" t="n"/>
      <c r="B405" s="41" t="n"/>
      <c r="C405" s="41" t="n"/>
      <c r="D405" s="37" t="n"/>
    </row>
    <row r="406">
      <c r="A406" s="37" t="n"/>
      <c r="B406" s="41" t="n"/>
      <c r="C406" s="41" t="n"/>
      <c r="D406" s="37" t="n"/>
    </row>
    <row r="407">
      <c r="A407" s="37" t="n"/>
      <c r="B407" s="41" t="n"/>
      <c r="C407" s="41" t="n"/>
      <c r="D407" s="37" t="n"/>
    </row>
    <row r="408">
      <c r="A408" s="37" t="n"/>
      <c r="B408" s="41" t="n"/>
      <c r="C408" s="41" t="n"/>
      <c r="D408" s="37" t="n"/>
    </row>
    <row r="409">
      <c r="A409" s="37" t="n"/>
      <c r="B409" s="41" t="n"/>
      <c r="C409" s="41" t="n"/>
      <c r="D409" s="37" t="n"/>
    </row>
    <row r="410">
      <c r="A410" s="37" t="n"/>
      <c r="B410" s="41" t="n"/>
      <c r="C410" s="41" t="n"/>
      <c r="D410" s="37" t="n"/>
    </row>
    <row r="411">
      <c r="A411" s="37" t="n"/>
      <c r="B411" s="41" t="n"/>
      <c r="C411" s="41" t="n"/>
      <c r="D411" s="37" t="n"/>
    </row>
    <row r="412">
      <c r="A412" s="37" t="n"/>
      <c r="B412" s="41" t="n"/>
      <c r="C412" s="41" t="n"/>
      <c r="D412" s="37" t="n"/>
    </row>
    <row r="413">
      <c r="A413" s="37" t="n"/>
      <c r="B413" s="41" t="n"/>
      <c r="C413" s="41" t="n"/>
      <c r="D413" s="37" t="n"/>
    </row>
    <row r="414">
      <c r="A414" s="37" t="n"/>
      <c r="B414" s="41" t="n"/>
      <c r="C414" s="41" t="n"/>
      <c r="D414" s="37" t="n"/>
    </row>
    <row r="415">
      <c r="A415" s="37" t="n"/>
      <c r="B415" s="41" t="n"/>
      <c r="C415" s="41" t="n"/>
      <c r="D415" s="37" t="n"/>
    </row>
    <row r="416">
      <c r="A416" s="37" t="n"/>
      <c r="B416" s="41" t="n"/>
      <c r="C416" s="41" t="n"/>
      <c r="D416" s="37" t="n"/>
    </row>
    <row r="417">
      <c r="A417" s="37" t="n"/>
      <c r="B417" s="41" t="n"/>
      <c r="C417" s="41" t="n"/>
      <c r="D417" s="37" t="n"/>
    </row>
    <row r="418">
      <c r="A418" s="37" t="n"/>
      <c r="B418" s="41" t="n"/>
      <c r="C418" s="41" t="n"/>
      <c r="D418" s="37" t="n"/>
    </row>
    <row r="419">
      <c r="A419" s="37" t="n"/>
      <c r="B419" s="41" t="n"/>
      <c r="C419" s="41" t="n"/>
      <c r="D419" s="37" t="n"/>
    </row>
    <row r="420">
      <c r="A420" s="37" t="n"/>
      <c r="B420" s="41" t="n"/>
      <c r="C420" s="41" t="n"/>
      <c r="D420" s="37" t="n"/>
    </row>
    <row r="421">
      <c r="A421" s="37" t="n"/>
      <c r="B421" s="41" t="n"/>
      <c r="C421" s="41" t="n"/>
      <c r="D421" s="37" t="n"/>
    </row>
    <row r="422">
      <c r="A422" s="37" t="n"/>
      <c r="B422" s="41" t="n"/>
      <c r="C422" s="41" t="n"/>
      <c r="D422" s="37" t="n"/>
    </row>
    <row r="423">
      <c r="A423" s="37" t="n"/>
      <c r="B423" s="41" t="n"/>
      <c r="C423" s="41" t="n"/>
      <c r="D423" s="37" t="n"/>
    </row>
    <row r="424">
      <c r="A424" s="37" t="n"/>
      <c r="B424" s="41" t="n"/>
      <c r="C424" s="41" t="n"/>
      <c r="D424" s="37" t="n"/>
    </row>
    <row r="425">
      <c r="A425" s="37" t="n"/>
      <c r="B425" s="41" t="n"/>
      <c r="C425" s="41" t="n"/>
      <c r="D425" s="37" t="n"/>
    </row>
    <row r="426">
      <c r="A426" s="37" t="n"/>
      <c r="B426" s="41" t="n"/>
      <c r="C426" s="41" t="n"/>
      <c r="D426" s="37" t="n"/>
    </row>
    <row r="427">
      <c r="A427" s="37" t="n"/>
      <c r="B427" s="41" t="n"/>
      <c r="C427" s="41" t="n"/>
      <c r="D427" s="37" t="n"/>
    </row>
    <row r="428">
      <c r="A428" s="37" t="n"/>
      <c r="B428" s="41" t="n"/>
      <c r="C428" s="41" t="n"/>
      <c r="D428" s="37" t="n"/>
    </row>
    <row r="429">
      <c r="A429" s="37" t="n"/>
      <c r="B429" s="41" t="n"/>
      <c r="C429" s="41" t="n"/>
      <c r="D429" s="37" t="n"/>
    </row>
    <row r="430">
      <c r="A430" s="37" t="n"/>
      <c r="B430" s="41" t="n"/>
      <c r="C430" s="41" t="n"/>
      <c r="D430" s="37" t="n"/>
    </row>
    <row r="431">
      <c r="A431" s="37" t="n"/>
      <c r="B431" s="41" t="n"/>
      <c r="C431" s="41" t="n"/>
      <c r="D431" s="37" t="n"/>
    </row>
    <row r="432">
      <c r="A432" s="37" t="n"/>
      <c r="B432" s="41" t="n"/>
      <c r="C432" s="41" t="n"/>
      <c r="D432" s="37" t="n"/>
    </row>
    <row r="433">
      <c r="A433" s="37" t="n"/>
      <c r="B433" s="41" t="n"/>
      <c r="C433" s="41" t="n"/>
      <c r="D433" s="37" t="n"/>
    </row>
    <row r="434">
      <c r="A434" s="37" t="n"/>
      <c r="B434" s="41" t="n"/>
      <c r="C434" s="41" t="n"/>
      <c r="D434" s="37" t="n"/>
    </row>
    <row r="435">
      <c r="A435" s="37" t="n"/>
      <c r="B435" s="41" t="n"/>
      <c r="C435" s="41" t="n"/>
      <c r="D435" s="37" t="n"/>
    </row>
    <row r="436">
      <c r="A436" s="37" t="n"/>
      <c r="B436" s="41" t="n"/>
      <c r="C436" s="41" t="n"/>
      <c r="D436" s="37" t="n"/>
    </row>
    <row r="437">
      <c r="A437" s="37" t="n"/>
      <c r="B437" s="41" t="n"/>
      <c r="C437" s="41" t="n"/>
      <c r="D437" s="37" t="n"/>
    </row>
    <row r="438">
      <c r="A438" s="37" t="n"/>
      <c r="B438" s="41" t="n"/>
      <c r="C438" s="41" t="n"/>
      <c r="D438" s="37" t="n"/>
    </row>
    <row r="439">
      <c r="A439" s="37" t="n"/>
      <c r="B439" s="41" t="n"/>
      <c r="C439" s="41" t="n"/>
      <c r="D439" s="37" t="n"/>
    </row>
    <row r="440">
      <c r="A440" s="37" t="n"/>
      <c r="B440" s="41" t="n"/>
      <c r="C440" s="41" t="n"/>
      <c r="D440" s="37" t="n"/>
    </row>
    <row r="441">
      <c r="A441" s="37" t="n"/>
      <c r="B441" s="41" t="n"/>
      <c r="C441" s="41" t="n"/>
      <c r="D441" s="37" t="n"/>
    </row>
    <row r="442">
      <c r="A442" s="37" t="n"/>
      <c r="B442" s="41" t="n"/>
      <c r="C442" s="41" t="n"/>
      <c r="D442" s="37" t="n"/>
    </row>
    <row r="443">
      <c r="A443" s="37" t="n"/>
      <c r="B443" s="41" t="n"/>
      <c r="C443" s="41" t="n"/>
      <c r="D443" s="37" t="n"/>
    </row>
    <row r="444">
      <c r="A444" s="37" t="n"/>
      <c r="B444" s="41" t="n"/>
      <c r="C444" s="41" t="n"/>
      <c r="D444" s="37" t="n"/>
    </row>
    <row r="445">
      <c r="A445" s="37" t="n"/>
      <c r="B445" s="41" t="n"/>
      <c r="C445" s="41" t="n"/>
      <c r="D445" s="37" t="n"/>
    </row>
    <row r="446">
      <c r="A446" s="37" t="n"/>
      <c r="B446" s="41" t="n"/>
      <c r="C446" s="41" t="n"/>
      <c r="D446" s="37" t="n"/>
    </row>
    <row r="447">
      <c r="A447" s="37" t="n"/>
      <c r="B447" s="41" t="n"/>
      <c r="C447" s="41" t="n"/>
      <c r="D447" s="37" t="n"/>
    </row>
    <row r="448">
      <c r="A448" s="37" t="n"/>
      <c r="B448" s="41" t="n"/>
      <c r="C448" s="41" t="n"/>
      <c r="D448" s="37" t="n"/>
    </row>
    <row r="449">
      <c r="A449" s="37" t="n"/>
      <c r="B449" s="41" t="n"/>
      <c r="C449" s="41" t="n"/>
      <c r="D449" s="37" t="n"/>
    </row>
    <row r="450">
      <c r="A450" s="37" t="n"/>
      <c r="B450" s="41" t="n"/>
      <c r="C450" s="41" t="n"/>
      <c r="D450" s="37" t="n"/>
    </row>
    <row r="451">
      <c r="A451" s="37" t="n"/>
      <c r="B451" s="41" t="n"/>
      <c r="C451" s="41" t="n"/>
      <c r="D451" s="37" t="n"/>
    </row>
    <row r="452">
      <c r="A452" s="37" t="n"/>
      <c r="B452" s="41" t="n"/>
      <c r="C452" s="41" t="n"/>
      <c r="D452" s="37" t="n"/>
    </row>
    <row r="453">
      <c r="A453" s="37" t="n"/>
      <c r="B453" s="41" t="n"/>
      <c r="C453" s="41" t="n"/>
      <c r="D453" s="37" t="n"/>
    </row>
    <row r="454">
      <c r="A454" s="37" t="n"/>
      <c r="B454" s="41" t="n"/>
      <c r="C454" s="41" t="n"/>
      <c r="D454" s="37" t="n"/>
    </row>
    <row r="455">
      <c r="A455" s="37" t="n"/>
      <c r="B455" s="41" t="n"/>
      <c r="C455" s="41" t="n"/>
      <c r="D455" s="37" t="n"/>
    </row>
    <row r="456">
      <c r="A456" s="37" t="n"/>
      <c r="B456" s="41" t="n"/>
      <c r="C456" s="41" t="n"/>
      <c r="D456" s="37" t="n"/>
    </row>
    <row r="457">
      <c r="A457" s="37" t="n"/>
      <c r="B457" s="41" t="n"/>
      <c r="C457" s="41" t="n"/>
      <c r="D457" s="37" t="n"/>
    </row>
    <row r="458">
      <c r="A458" s="37" t="n"/>
      <c r="B458" s="41" t="n"/>
      <c r="C458" s="41" t="n"/>
      <c r="D458" s="37" t="n"/>
    </row>
    <row r="459">
      <c r="A459" s="37" t="n"/>
      <c r="B459" s="41" t="n"/>
      <c r="C459" s="41" t="n"/>
      <c r="D459" s="37" t="n"/>
    </row>
    <row r="460">
      <c r="A460" s="37" t="n"/>
      <c r="B460" s="41" t="n"/>
      <c r="C460" s="41" t="n"/>
      <c r="D460" s="37" t="n"/>
    </row>
    <row r="461">
      <c r="A461" s="37" t="n"/>
      <c r="B461" s="41" t="n"/>
      <c r="C461" s="41" t="n"/>
      <c r="D461" s="37" t="n"/>
    </row>
    <row r="462">
      <c r="A462" s="37" t="n"/>
      <c r="B462" s="41" t="n"/>
      <c r="C462" s="41" t="n"/>
      <c r="D462" s="37" t="n"/>
    </row>
    <row r="463">
      <c r="A463" s="37" t="n"/>
      <c r="B463" s="41" t="n"/>
      <c r="C463" s="41" t="n"/>
      <c r="D463" s="37" t="n"/>
    </row>
    <row r="464">
      <c r="A464" s="37" t="n"/>
      <c r="B464" s="41" t="n"/>
      <c r="C464" s="41" t="n"/>
      <c r="D464" s="37" t="n"/>
    </row>
    <row r="465">
      <c r="A465" s="37" t="n"/>
      <c r="B465" s="41" t="n"/>
      <c r="C465" s="41" t="n"/>
      <c r="D465" s="37" t="n"/>
    </row>
    <row r="466">
      <c r="A466" s="37" t="n"/>
      <c r="B466" s="41" t="n"/>
      <c r="C466" s="41" t="n"/>
      <c r="D466" s="37" t="n"/>
    </row>
    <row r="467">
      <c r="A467" s="37" t="n"/>
      <c r="B467" s="41" t="n"/>
      <c r="C467" s="41" t="n"/>
      <c r="D467" s="37" t="n"/>
    </row>
    <row r="468">
      <c r="A468" s="37" t="n"/>
      <c r="B468" s="41" t="n"/>
      <c r="C468" s="41" t="n"/>
      <c r="D468" s="37" t="n"/>
    </row>
    <row r="469">
      <c r="A469" s="37" t="n"/>
      <c r="B469" s="41" t="n"/>
      <c r="C469" s="41" t="n"/>
      <c r="D469" s="37" t="n"/>
    </row>
    <row r="470">
      <c r="A470" s="37" t="n"/>
      <c r="B470" s="41" t="n"/>
      <c r="C470" s="41" t="n"/>
      <c r="D470" s="37" t="n"/>
    </row>
    <row r="471">
      <c r="A471" s="37" t="n"/>
      <c r="B471" s="41" t="n"/>
      <c r="C471" s="41" t="n"/>
      <c r="D471" s="37" t="n"/>
    </row>
    <row r="472">
      <c r="A472" s="37" t="n"/>
      <c r="B472" s="41" t="n"/>
      <c r="C472" s="41" t="n"/>
      <c r="D472" s="37" t="n"/>
    </row>
    <row r="473">
      <c r="A473" s="37" t="n"/>
      <c r="B473" s="41" t="n"/>
      <c r="C473" s="41" t="n"/>
      <c r="D473" s="37" t="n"/>
    </row>
    <row r="474">
      <c r="A474" s="37" t="n"/>
      <c r="B474" s="41" t="n"/>
      <c r="C474" s="41" t="n"/>
      <c r="D474" s="37" t="n"/>
    </row>
    <row r="475">
      <c r="A475" s="37" t="n"/>
      <c r="B475" s="41" t="n"/>
      <c r="C475" s="41" t="n"/>
      <c r="D475" s="37" t="n"/>
    </row>
    <row r="476">
      <c r="A476" s="37" t="n"/>
      <c r="B476" s="41" t="n"/>
      <c r="C476" s="41" t="n"/>
      <c r="D476" s="37" t="n"/>
    </row>
    <row r="477">
      <c r="A477" s="37" t="n"/>
      <c r="B477" s="41" t="n"/>
      <c r="C477" s="41" t="n"/>
      <c r="D477" s="37" t="n"/>
    </row>
    <row r="478">
      <c r="A478" s="37" t="n"/>
      <c r="B478" s="41" t="n"/>
      <c r="C478" s="41" t="n"/>
      <c r="D478" s="37" t="n"/>
    </row>
    <row r="479">
      <c r="A479" s="37" t="n"/>
      <c r="B479" s="41" t="n"/>
      <c r="C479" s="41" t="n"/>
      <c r="D479" s="37" t="n"/>
    </row>
    <row r="480">
      <c r="A480" s="37" t="n"/>
      <c r="B480" s="41" t="n"/>
      <c r="C480" s="41" t="n"/>
      <c r="D480" s="37" t="n"/>
    </row>
    <row r="481">
      <c r="A481" s="37" t="n"/>
      <c r="B481" s="41" t="n"/>
      <c r="C481" s="41" t="n"/>
      <c r="D481" s="37" t="n"/>
    </row>
    <row r="482">
      <c r="A482" s="37" t="n"/>
      <c r="B482" s="41" t="n"/>
      <c r="C482" s="41" t="n"/>
      <c r="D482" s="37" t="n"/>
    </row>
    <row r="483">
      <c r="A483" s="37" t="n"/>
      <c r="B483" s="41" t="n"/>
      <c r="C483" s="41" t="n"/>
      <c r="D483" s="37" t="n"/>
    </row>
    <row r="484">
      <c r="A484" s="37" t="n"/>
      <c r="B484" s="41" t="n"/>
      <c r="C484" s="41" t="n"/>
      <c r="D484" s="37" t="n"/>
    </row>
    <row r="485">
      <c r="A485" s="37" t="n"/>
      <c r="B485" s="41" t="n"/>
      <c r="C485" s="41" t="n"/>
      <c r="D485" s="37" t="n"/>
    </row>
    <row r="486">
      <c r="A486" s="37" t="n"/>
      <c r="B486" s="41" t="n"/>
      <c r="C486" s="41" t="n"/>
      <c r="D486" s="37" t="n"/>
    </row>
    <row r="487">
      <c r="A487" s="37" t="n"/>
      <c r="B487" s="41" t="n"/>
      <c r="C487" s="41" t="n"/>
      <c r="D487" s="37" t="n"/>
    </row>
    <row r="488">
      <c r="A488" s="37" t="n"/>
      <c r="B488" s="41" t="n"/>
      <c r="C488" s="41" t="n"/>
      <c r="D488" s="37" t="n"/>
    </row>
    <row r="489">
      <c r="A489" s="37" t="n"/>
      <c r="B489" s="41" t="n"/>
      <c r="C489" s="41" t="n"/>
      <c r="D489" s="37" t="n"/>
    </row>
    <row r="490">
      <c r="A490" s="37" t="n"/>
      <c r="B490" s="41" t="n"/>
      <c r="C490" s="41" t="n"/>
      <c r="D490" s="37" t="n"/>
    </row>
    <row r="491">
      <c r="A491" s="37" t="n"/>
      <c r="B491" s="41" t="n"/>
      <c r="C491" s="41" t="n"/>
      <c r="D491" s="37" t="n"/>
    </row>
    <row r="492">
      <c r="A492" s="37" t="n"/>
      <c r="B492" s="41" t="n"/>
      <c r="C492" s="41" t="n"/>
      <c r="D492" s="37" t="n"/>
    </row>
    <row r="493">
      <c r="A493" s="37" t="n"/>
      <c r="B493" s="41" t="n"/>
      <c r="C493" s="41" t="n"/>
      <c r="D493" s="37" t="n"/>
    </row>
    <row r="494">
      <c r="A494" s="37" t="n"/>
      <c r="B494" s="41" t="n"/>
      <c r="C494" s="41" t="n"/>
      <c r="D494" s="37" t="n"/>
    </row>
    <row r="495">
      <c r="A495" s="37" t="n"/>
      <c r="B495" s="41" t="n"/>
      <c r="C495" s="41" t="n"/>
      <c r="D495" s="37" t="n"/>
    </row>
    <row r="496">
      <c r="A496" s="37" t="n"/>
      <c r="B496" s="41" t="n"/>
      <c r="C496" s="41" t="n"/>
      <c r="D496" s="37" t="n"/>
    </row>
    <row r="497">
      <c r="A497" s="37" t="n"/>
      <c r="B497" s="41" t="n"/>
      <c r="C497" s="41" t="n"/>
      <c r="D497" s="37" t="n"/>
    </row>
    <row r="498">
      <c r="A498" s="37" t="n"/>
      <c r="B498" s="41" t="n"/>
      <c r="C498" s="41" t="n"/>
      <c r="D498" s="37" t="n"/>
    </row>
    <row r="499">
      <c r="A499" s="37" t="n"/>
      <c r="B499" s="41" t="n"/>
      <c r="C499" s="41" t="n"/>
      <c r="D499" s="37" t="n"/>
    </row>
    <row r="500">
      <c r="A500" s="37" t="n"/>
      <c r="B500" s="41" t="n"/>
      <c r="C500" s="41" t="n"/>
      <c r="D500" s="37" t="n"/>
    </row>
    <row r="501">
      <c r="A501" s="37" t="n"/>
      <c r="B501" s="41" t="n"/>
      <c r="C501" s="41" t="n"/>
      <c r="D501" s="37" t="n"/>
    </row>
    <row r="502">
      <c r="A502" s="37" t="n"/>
      <c r="B502" s="41" t="n"/>
      <c r="C502" s="41" t="n"/>
      <c r="D502" s="37" t="n"/>
    </row>
    <row r="503">
      <c r="A503" s="37" t="n"/>
      <c r="B503" s="41" t="n"/>
      <c r="C503" s="41" t="n"/>
      <c r="D503" s="37" t="n"/>
    </row>
    <row r="504">
      <c r="A504" s="37" t="n"/>
      <c r="B504" s="41" t="n"/>
      <c r="C504" s="41" t="n"/>
      <c r="D504" s="37" t="n"/>
    </row>
    <row r="505">
      <c r="A505" s="37" t="n"/>
      <c r="B505" s="41" t="n"/>
      <c r="C505" s="41" t="n"/>
      <c r="D505" s="37" t="n"/>
    </row>
    <row r="506">
      <c r="A506" s="37" t="n"/>
      <c r="B506" s="41" t="n"/>
      <c r="C506" s="41" t="n"/>
      <c r="D506" s="37" t="n"/>
    </row>
    <row r="507">
      <c r="A507" s="37" t="n"/>
      <c r="B507" s="41" t="n"/>
      <c r="C507" s="41" t="n"/>
      <c r="D507" s="37" t="n"/>
    </row>
    <row r="508">
      <c r="A508" s="37" t="n"/>
      <c r="B508" s="41" t="n"/>
      <c r="C508" s="41" t="n"/>
      <c r="D508" s="37" t="n"/>
    </row>
    <row r="509">
      <c r="A509" s="37" t="n"/>
      <c r="B509" s="41" t="n"/>
      <c r="C509" s="41" t="n"/>
      <c r="D509" s="37" t="n"/>
    </row>
    <row r="510">
      <c r="A510" s="37" t="n"/>
      <c r="B510" s="41" t="n"/>
      <c r="C510" s="41" t="n"/>
      <c r="D510" s="37" t="n"/>
    </row>
    <row r="511">
      <c r="A511" s="37" t="n"/>
      <c r="B511" s="41" t="n"/>
      <c r="C511" s="41" t="n"/>
      <c r="D511" s="37" t="n"/>
    </row>
    <row r="512">
      <c r="A512" s="37" t="n"/>
      <c r="B512" s="41" t="n"/>
      <c r="C512" s="41" t="n"/>
      <c r="D512" s="37" t="n"/>
    </row>
    <row r="513">
      <c r="A513" s="37" t="n"/>
      <c r="B513" s="41" t="n"/>
      <c r="C513" s="41" t="n"/>
      <c r="D513" s="37" t="n"/>
    </row>
    <row r="514">
      <c r="A514" s="37" t="n"/>
      <c r="B514" s="41" t="n"/>
      <c r="C514" s="41" t="n"/>
      <c r="D514" s="37" t="n"/>
    </row>
    <row r="515">
      <c r="A515" s="37" t="n"/>
      <c r="B515" s="41" t="n"/>
      <c r="C515" s="41" t="n"/>
      <c r="D515" s="37" t="n"/>
    </row>
    <row r="516">
      <c r="A516" s="37" t="n"/>
      <c r="B516" s="41" t="n"/>
      <c r="C516" s="41" t="n"/>
      <c r="D516" s="37" t="n"/>
    </row>
    <row r="517">
      <c r="A517" s="37" t="n"/>
      <c r="B517" s="41" t="n"/>
      <c r="C517" s="41" t="n"/>
      <c r="D517" s="37" t="n"/>
    </row>
    <row r="518">
      <c r="A518" s="37" t="n"/>
      <c r="B518" s="41" t="n"/>
      <c r="C518" s="41" t="n"/>
      <c r="D518" s="37" t="n"/>
    </row>
    <row r="519">
      <c r="A519" s="37" t="n"/>
      <c r="B519" s="41" t="n"/>
      <c r="C519" s="41" t="n"/>
      <c r="D519" s="37" t="n"/>
    </row>
    <row r="520">
      <c r="A520" s="37" t="n"/>
      <c r="B520" s="41" t="n"/>
      <c r="C520" s="41" t="n"/>
      <c r="D520" s="37" t="n"/>
    </row>
    <row r="521">
      <c r="A521" s="37" t="n"/>
      <c r="B521" s="41" t="n"/>
      <c r="C521" s="41" t="n"/>
      <c r="D521" s="37" t="n"/>
    </row>
    <row r="522">
      <c r="A522" s="37" t="n"/>
      <c r="B522" s="41" t="n"/>
      <c r="C522" s="41" t="n"/>
      <c r="D522" s="37" t="n"/>
    </row>
    <row r="523">
      <c r="A523" s="37" t="n"/>
      <c r="B523" s="41" t="n"/>
      <c r="C523" s="41" t="n"/>
      <c r="D523" s="37" t="n"/>
    </row>
    <row r="524">
      <c r="A524" s="37" t="n"/>
      <c r="B524" s="41" t="n"/>
      <c r="C524" s="41" t="n"/>
      <c r="D524" s="37" t="n"/>
    </row>
    <row r="525">
      <c r="A525" s="37" t="n"/>
      <c r="B525" s="41" t="n"/>
      <c r="C525" s="41" t="n"/>
      <c r="D525" s="37" t="n"/>
    </row>
    <row r="526">
      <c r="A526" s="37" t="n"/>
      <c r="B526" s="41" t="n"/>
      <c r="C526" s="41" t="n"/>
      <c r="D526" s="37" t="n"/>
    </row>
    <row r="527">
      <c r="A527" s="37" t="n"/>
      <c r="B527" s="41" t="n"/>
      <c r="C527" s="41" t="n"/>
      <c r="D527" s="37" t="n"/>
    </row>
    <row r="528">
      <c r="A528" s="37" t="n"/>
      <c r="B528" s="41" t="n"/>
      <c r="C528" s="41" t="n"/>
      <c r="D528" s="37" t="n"/>
    </row>
    <row r="529">
      <c r="A529" s="37" t="n"/>
      <c r="B529" s="41" t="n"/>
      <c r="C529" s="41" t="n"/>
      <c r="D529" s="37" t="n"/>
    </row>
    <row r="530">
      <c r="A530" s="37" t="n"/>
      <c r="B530" s="41" t="n"/>
      <c r="C530" s="41" t="n"/>
      <c r="D530" s="37" t="n"/>
    </row>
    <row r="531">
      <c r="A531" s="37" t="n"/>
      <c r="B531" s="41" t="n"/>
      <c r="C531" s="41" t="n"/>
      <c r="D531" s="37" t="n"/>
    </row>
    <row r="532">
      <c r="A532" s="37" t="n"/>
      <c r="B532" s="41" t="n"/>
      <c r="C532" s="41" t="n"/>
      <c r="D532" s="37" t="n"/>
    </row>
    <row r="533">
      <c r="A533" s="37" t="n"/>
      <c r="B533" s="41" t="n"/>
      <c r="C533" s="41" t="n"/>
      <c r="D533" s="37" t="n"/>
    </row>
    <row r="534">
      <c r="A534" s="37" t="n"/>
      <c r="B534" s="41" t="n"/>
      <c r="C534" s="41" t="n"/>
      <c r="D534" s="37" t="n"/>
    </row>
    <row r="535">
      <c r="A535" s="37" t="n"/>
      <c r="B535" s="41" t="n"/>
      <c r="C535" s="41" t="n"/>
      <c r="D535" s="37" t="n"/>
    </row>
    <row r="536">
      <c r="A536" s="37" t="n"/>
      <c r="B536" s="41" t="n"/>
      <c r="C536" s="41" t="n"/>
      <c r="D536" s="37" t="n"/>
    </row>
    <row r="537">
      <c r="A537" s="37" t="n"/>
      <c r="B537" s="41" t="n"/>
      <c r="C537" s="41" t="n"/>
      <c r="D537" s="37" t="n"/>
    </row>
    <row r="538">
      <c r="A538" s="37" t="n"/>
      <c r="B538" s="41" t="n"/>
      <c r="C538" s="41" t="n"/>
      <c r="D538" s="37" t="n"/>
    </row>
    <row r="539">
      <c r="A539" s="37" t="n"/>
      <c r="B539" s="41" t="n"/>
      <c r="C539" s="41" t="n"/>
      <c r="D539" s="37" t="n"/>
    </row>
    <row r="540">
      <c r="A540" s="37" t="n"/>
      <c r="B540" s="41" t="n"/>
      <c r="C540" s="41" t="n"/>
      <c r="D540" s="37" t="n"/>
    </row>
    <row r="541">
      <c r="A541" s="37" t="n"/>
      <c r="B541" s="41" t="n"/>
      <c r="C541" s="41" t="n"/>
      <c r="D541" s="37" t="n"/>
    </row>
    <row r="542">
      <c r="A542" s="37" t="n"/>
      <c r="B542" s="41" t="n"/>
      <c r="C542" s="41" t="n"/>
      <c r="D542" s="37" t="n"/>
    </row>
    <row r="543">
      <c r="A543" s="37" t="n"/>
      <c r="B543" s="41" t="n"/>
      <c r="C543" s="41" t="n"/>
      <c r="D543" s="37" t="n"/>
    </row>
    <row r="544">
      <c r="A544" s="37" t="n"/>
      <c r="B544" s="41" t="n"/>
      <c r="C544" s="41" t="n"/>
      <c r="D544" s="37" t="n"/>
    </row>
    <row r="545">
      <c r="A545" s="37" t="n"/>
      <c r="B545" s="41" t="n"/>
      <c r="C545" s="41" t="n"/>
      <c r="D545" s="37" t="n"/>
    </row>
    <row r="546">
      <c r="A546" s="37" t="n"/>
      <c r="B546" s="41" t="n"/>
      <c r="C546" s="41" t="n"/>
      <c r="D546" s="37" t="n"/>
    </row>
    <row r="547">
      <c r="A547" s="37" t="n"/>
      <c r="B547" s="41" t="n"/>
      <c r="C547" s="41" t="n"/>
      <c r="D547" s="37" t="n"/>
    </row>
    <row r="548">
      <c r="A548" s="37" t="n"/>
      <c r="B548" s="41" t="n"/>
      <c r="C548" s="41" t="n"/>
      <c r="D548" s="37" t="n"/>
    </row>
    <row r="549">
      <c r="A549" s="37" t="n"/>
      <c r="B549" s="41" t="n"/>
      <c r="C549" s="41" t="n"/>
      <c r="D549" s="37" t="n"/>
    </row>
    <row r="550">
      <c r="A550" s="37" t="n"/>
      <c r="B550" s="41" t="n"/>
      <c r="C550" s="41" t="n"/>
      <c r="D550" s="37" t="n"/>
    </row>
    <row r="551">
      <c r="A551" s="37" t="n"/>
      <c r="B551" s="41" t="n"/>
      <c r="C551" s="41" t="n"/>
      <c r="D551" s="37" t="n"/>
    </row>
    <row r="552">
      <c r="A552" s="37" t="n"/>
      <c r="B552" s="41" t="n"/>
      <c r="C552" s="41" t="n"/>
      <c r="D552" s="37" t="n"/>
    </row>
    <row r="553">
      <c r="A553" s="37" t="n"/>
      <c r="B553" s="41" t="n"/>
      <c r="C553" s="41" t="n"/>
      <c r="D553" s="37" t="n"/>
    </row>
    <row r="554">
      <c r="A554" s="37" t="n"/>
      <c r="B554" s="41" t="n"/>
      <c r="C554" s="41" t="n"/>
      <c r="D554" s="37" t="n"/>
    </row>
    <row r="555">
      <c r="A555" s="37" t="n"/>
      <c r="B555" s="41" t="n"/>
      <c r="C555" s="41" t="n"/>
      <c r="D555" s="37" t="n"/>
    </row>
    <row r="556">
      <c r="A556" s="37" t="n"/>
      <c r="B556" s="41" t="n"/>
      <c r="C556" s="41" t="n"/>
      <c r="D556" s="37" t="n"/>
    </row>
    <row r="557">
      <c r="A557" s="37" t="n"/>
      <c r="B557" s="41" t="n"/>
      <c r="C557" s="41" t="n"/>
      <c r="D557" s="37" t="n"/>
    </row>
    <row r="558">
      <c r="A558" s="37" t="n"/>
      <c r="B558" s="41" t="n"/>
      <c r="C558" s="41" t="n"/>
      <c r="D558" s="37" t="n"/>
    </row>
    <row r="559">
      <c r="A559" s="37" t="n"/>
      <c r="B559" s="41" t="n"/>
      <c r="C559" s="41" t="n"/>
      <c r="D559" s="37" t="n"/>
    </row>
    <row r="560">
      <c r="A560" s="37" t="n"/>
      <c r="B560" s="41" t="n"/>
      <c r="C560" s="41" t="n"/>
      <c r="D560" s="37" t="n"/>
    </row>
    <row r="561">
      <c r="A561" s="37" t="n"/>
      <c r="B561" s="41" t="n"/>
      <c r="C561" s="41" t="n"/>
      <c r="D561" s="37" t="n"/>
    </row>
    <row r="562">
      <c r="A562" s="37" t="n"/>
      <c r="B562" s="41" t="n"/>
      <c r="C562" s="41" t="n"/>
      <c r="D562" s="37" t="n"/>
    </row>
    <row r="563">
      <c r="A563" s="37" t="n"/>
      <c r="B563" s="41" t="n"/>
      <c r="C563" s="41" t="n"/>
      <c r="D563" s="37" t="n"/>
    </row>
    <row r="564">
      <c r="A564" s="37" t="n"/>
      <c r="B564" s="41" t="n"/>
      <c r="C564" s="41" t="n"/>
      <c r="D564" s="37" t="n"/>
    </row>
    <row r="565">
      <c r="A565" s="37" t="n"/>
      <c r="B565" s="41" t="n"/>
      <c r="C565" s="41" t="n"/>
      <c r="D565" s="37" t="n"/>
    </row>
    <row r="566">
      <c r="A566" s="37" t="n"/>
      <c r="B566" s="41" t="n"/>
      <c r="C566" s="41" t="n"/>
      <c r="D566" s="37" t="n"/>
    </row>
    <row r="567">
      <c r="A567" s="37" t="n"/>
      <c r="B567" s="41" t="n"/>
      <c r="C567" s="41" t="n"/>
      <c r="D567" s="37" t="n"/>
    </row>
    <row r="568">
      <c r="A568" s="37" t="n"/>
      <c r="B568" s="41" t="n"/>
      <c r="C568" s="41" t="n"/>
      <c r="D568" s="37" t="n"/>
    </row>
    <row r="569">
      <c r="A569" s="37" t="n"/>
      <c r="B569" s="41" t="n"/>
      <c r="C569" s="41" t="n"/>
      <c r="D569" s="37" t="n"/>
    </row>
    <row r="570">
      <c r="A570" s="37" t="n"/>
      <c r="B570" s="41" t="n"/>
      <c r="C570" s="41" t="n"/>
      <c r="D570" s="37" t="n"/>
    </row>
    <row r="571">
      <c r="A571" s="37" t="n"/>
      <c r="B571" s="41" t="n"/>
      <c r="C571" s="41" t="n"/>
      <c r="D571" s="37" t="n"/>
    </row>
    <row r="572">
      <c r="A572" s="37" t="n"/>
      <c r="B572" s="41" t="n"/>
      <c r="C572" s="41" t="n"/>
      <c r="D572" s="37" t="n"/>
    </row>
    <row r="573">
      <c r="A573" s="37" t="n"/>
      <c r="B573" s="41" t="n"/>
      <c r="C573" s="41" t="n"/>
      <c r="D573" s="37" t="n"/>
    </row>
    <row r="574">
      <c r="A574" s="37" t="n"/>
      <c r="B574" s="41" t="n"/>
      <c r="C574" s="41" t="n"/>
      <c r="D574" s="37" t="n"/>
    </row>
    <row r="575">
      <c r="A575" s="37" t="n"/>
      <c r="B575" s="41" t="n"/>
      <c r="C575" s="41" t="n"/>
      <c r="D575" s="37" t="n"/>
    </row>
    <row r="576">
      <c r="A576" s="37" t="n"/>
      <c r="B576" s="41" t="n"/>
      <c r="C576" s="41" t="n"/>
      <c r="D576" s="37" t="n"/>
    </row>
    <row r="577">
      <c r="A577" s="37" t="n"/>
      <c r="B577" s="41" t="n"/>
      <c r="C577" s="41" t="n"/>
      <c r="D577" s="37" t="n"/>
    </row>
    <row r="578">
      <c r="A578" s="37" t="n"/>
      <c r="B578" s="41" t="n"/>
      <c r="C578" s="41" t="n"/>
      <c r="D578" s="37" t="n"/>
    </row>
    <row r="579">
      <c r="A579" s="37" t="n"/>
      <c r="B579" s="41" t="n"/>
      <c r="C579" s="41" t="n"/>
      <c r="D579" s="37" t="n"/>
    </row>
    <row r="580">
      <c r="A580" s="37" t="n"/>
      <c r="B580" s="41" t="n"/>
      <c r="C580" s="41" t="n"/>
      <c r="D580" s="37" t="n"/>
    </row>
    <row r="581">
      <c r="A581" s="37" t="n"/>
      <c r="B581" s="41" t="n"/>
      <c r="C581" s="41" t="n"/>
      <c r="D581" s="37" t="n"/>
    </row>
    <row r="582">
      <c r="A582" s="37" t="n"/>
      <c r="B582" s="41" t="n"/>
      <c r="C582" s="41" t="n"/>
      <c r="D582" s="37" t="n"/>
    </row>
    <row r="583">
      <c r="A583" s="37" t="n"/>
      <c r="B583" s="41" t="n"/>
      <c r="C583" s="41" t="n"/>
      <c r="D583" s="37" t="n"/>
    </row>
    <row r="584">
      <c r="A584" s="37" t="n"/>
      <c r="B584" s="41" t="n"/>
      <c r="C584" s="41" t="n"/>
      <c r="D584" s="37" t="n"/>
    </row>
    <row r="585">
      <c r="A585" s="37" t="n"/>
      <c r="B585" s="41" t="n"/>
      <c r="C585" s="41" t="n"/>
      <c r="D585" s="37" t="n"/>
    </row>
    <row r="586">
      <c r="A586" s="37" t="n"/>
      <c r="B586" s="41" t="n"/>
      <c r="C586" s="41" t="n"/>
      <c r="D586" s="37" t="n"/>
    </row>
    <row r="587">
      <c r="A587" s="37" t="n"/>
      <c r="B587" s="41" t="n"/>
      <c r="C587" s="41" t="n"/>
      <c r="D587" s="37" t="n"/>
    </row>
    <row r="588">
      <c r="A588" s="37" t="n"/>
      <c r="B588" s="41" t="n"/>
      <c r="C588" s="41" t="n"/>
      <c r="D588" s="37" t="n"/>
    </row>
    <row r="589">
      <c r="A589" s="37" t="n"/>
      <c r="B589" s="41" t="n"/>
      <c r="C589" s="41" t="n"/>
      <c r="D589" s="37" t="n"/>
    </row>
    <row r="590">
      <c r="A590" s="37" t="n"/>
      <c r="B590" s="41" t="n"/>
      <c r="C590" s="41" t="n"/>
      <c r="D590" s="37" t="n"/>
    </row>
    <row r="591">
      <c r="A591" s="37" t="n"/>
      <c r="B591" s="41" t="n"/>
      <c r="C591" s="41" t="n"/>
      <c r="D591" s="37" t="n"/>
    </row>
    <row r="592">
      <c r="A592" s="37" t="n"/>
      <c r="B592" s="41" t="n"/>
      <c r="C592" s="41" t="n"/>
      <c r="D592" s="37" t="n"/>
    </row>
    <row r="593">
      <c r="A593" s="37" t="n"/>
      <c r="B593" s="41" t="n"/>
      <c r="C593" s="41" t="n"/>
      <c r="D593" s="37" t="n"/>
    </row>
    <row r="594">
      <c r="A594" s="37" t="n"/>
      <c r="B594" s="41" t="n"/>
      <c r="C594" s="41" t="n"/>
      <c r="D594" s="37" t="n"/>
    </row>
    <row r="595">
      <c r="A595" s="37" t="n"/>
      <c r="B595" s="41" t="n"/>
      <c r="C595" s="41" t="n"/>
      <c r="D595" s="37" t="n"/>
    </row>
    <row r="596">
      <c r="A596" s="37" t="n"/>
      <c r="B596" s="41" t="n"/>
      <c r="C596" s="41" t="n"/>
      <c r="D596" s="37" t="n"/>
    </row>
    <row r="597">
      <c r="A597" s="37" t="n"/>
      <c r="B597" s="41" t="n"/>
      <c r="C597" s="41" t="n"/>
      <c r="D597" s="37" t="n"/>
    </row>
    <row r="598">
      <c r="A598" s="37" t="n"/>
      <c r="B598" s="41" t="n"/>
      <c r="C598" s="41" t="n"/>
      <c r="D598" s="37" t="n"/>
    </row>
    <row r="599">
      <c r="A599" s="37" t="n"/>
      <c r="B599" s="41" t="n"/>
      <c r="C599" s="41" t="n"/>
      <c r="D599" s="37" t="n"/>
    </row>
    <row r="600">
      <c r="A600" s="37" t="n"/>
      <c r="B600" s="41" t="n"/>
      <c r="C600" s="41" t="n"/>
      <c r="D600" s="37" t="n"/>
    </row>
    <row r="601">
      <c r="A601" s="37" t="n"/>
      <c r="B601" s="41" t="n"/>
      <c r="C601" s="41" t="n"/>
      <c r="D601" s="37" t="n"/>
    </row>
    <row r="602">
      <c r="A602" s="37" t="n"/>
      <c r="B602" s="41" t="n"/>
      <c r="C602" s="41" t="n"/>
      <c r="D602" s="37" t="n"/>
    </row>
    <row r="603">
      <c r="A603" s="37" t="n"/>
      <c r="B603" s="41" t="n"/>
      <c r="C603" s="41" t="n"/>
      <c r="D603" s="37" t="n"/>
    </row>
    <row r="604">
      <c r="A604" s="37" t="n"/>
      <c r="B604" s="41" t="n"/>
      <c r="C604" s="41" t="n"/>
      <c r="D604" s="37" t="n"/>
    </row>
    <row r="605">
      <c r="A605" s="37" t="n"/>
      <c r="B605" s="41" t="n"/>
      <c r="C605" s="41" t="n"/>
      <c r="D605" s="37" t="n"/>
    </row>
    <row r="606">
      <c r="A606" s="37" t="n"/>
      <c r="B606" s="41" t="n"/>
      <c r="C606" s="41" t="n"/>
      <c r="D606" s="37" t="n"/>
    </row>
    <row r="607">
      <c r="A607" s="37" t="n"/>
      <c r="B607" s="41" t="n"/>
      <c r="C607" s="41" t="n"/>
      <c r="D607" s="37" t="n"/>
    </row>
    <row r="608">
      <c r="A608" s="37" t="n"/>
      <c r="B608" s="41" t="n"/>
      <c r="C608" s="41" t="n"/>
      <c r="D608" s="37" t="n"/>
    </row>
    <row r="609">
      <c r="A609" s="37" t="n"/>
      <c r="B609" s="41" t="n"/>
      <c r="C609" s="41" t="n"/>
      <c r="D609" s="37" t="n"/>
    </row>
    <row r="610">
      <c r="A610" s="37" t="n"/>
      <c r="B610" s="41" t="n"/>
      <c r="C610" s="41" t="n"/>
      <c r="D610" s="37" t="n"/>
    </row>
    <row r="611">
      <c r="A611" s="37" t="n"/>
      <c r="B611" s="41" t="n"/>
      <c r="C611" s="41" t="n"/>
      <c r="D611" s="37" t="n"/>
    </row>
    <row r="612">
      <c r="A612" s="37" t="n"/>
      <c r="B612" s="41" t="n"/>
      <c r="C612" s="41" t="n"/>
      <c r="D612" s="37" t="n"/>
    </row>
    <row r="613">
      <c r="A613" s="37" t="n"/>
      <c r="B613" s="41" t="n"/>
      <c r="C613" s="41" t="n"/>
      <c r="D613" s="37" t="n"/>
    </row>
    <row r="614">
      <c r="A614" s="37" t="n"/>
      <c r="B614" s="41" t="n"/>
      <c r="C614" s="41" t="n"/>
      <c r="D614" s="37" t="n"/>
    </row>
    <row r="615">
      <c r="A615" s="37" t="n"/>
      <c r="B615" s="41" t="n"/>
      <c r="C615" s="41" t="n"/>
      <c r="D615" s="37" t="n"/>
    </row>
    <row r="616">
      <c r="A616" s="37" t="n"/>
      <c r="B616" s="41" t="n"/>
      <c r="C616" s="41" t="n"/>
      <c r="D616" s="37" t="n"/>
    </row>
    <row r="617">
      <c r="A617" s="37" t="n"/>
      <c r="B617" s="41" t="n"/>
      <c r="C617" s="41" t="n"/>
      <c r="D617" s="37" t="n"/>
    </row>
    <row r="618">
      <c r="A618" s="37" t="n"/>
      <c r="B618" s="41" t="n"/>
      <c r="C618" s="41" t="n"/>
      <c r="D618" s="37" t="n"/>
    </row>
    <row r="619">
      <c r="A619" s="37" t="n"/>
      <c r="B619" s="41" t="n"/>
      <c r="C619" s="41" t="n"/>
      <c r="D619" s="37" t="n"/>
    </row>
    <row r="620">
      <c r="A620" s="37" t="n"/>
      <c r="B620" s="41" t="n"/>
      <c r="C620" s="41" t="n"/>
      <c r="D620" s="37" t="n"/>
    </row>
    <row r="621">
      <c r="A621" s="37" t="n"/>
      <c r="B621" s="41" t="n"/>
      <c r="C621" s="41" t="n"/>
      <c r="D621" s="37" t="n"/>
    </row>
    <row r="622">
      <c r="A622" s="37" t="n"/>
      <c r="B622" s="41" t="n"/>
      <c r="C622" s="41" t="n"/>
      <c r="D622" s="37" t="n"/>
    </row>
    <row r="623">
      <c r="A623" s="37" t="n"/>
      <c r="B623" s="41" t="n"/>
      <c r="C623" s="41" t="n"/>
      <c r="D623" s="37" t="n"/>
    </row>
    <row r="624">
      <c r="A624" s="37" t="n"/>
      <c r="B624" s="41" t="n"/>
      <c r="C624" s="41" t="n"/>
      <c r="D624" s="37" t="n"/>
    </row>
    <row r="625">
      <c r="A625" s="37" t="n"/>
      <c r="B625" s="41" t="n"/>
      <c r="C625" s="41" t="n"/>
      <c r="D625" s="37" t="n"/>
    </row>
    <row r="626">
      <c r="A626" s="37" t="n"/>
      <c r="B626" s="41" t="n"/>
      <c r="C626" s="41" t="n"/>
      <c r="D626" s="37" t="n"/>
    </row>
    <row r="627">
      <c r="A627" s="37" t="n"/>
      <c r="B627" s="41" t="n"/>
      <c r="C627" s="41" t="n"/>
      <c r="D627" s="37" t="n"/>
    </row>
    <row r="628">
      <c r="A628" s="37" t="n"/>
      <c r="B628" s="41" t="n"/>
      <c r="C628" s="41" t="n"/>
      <c r="D628" s="37" t="n"/>
    </row>
    <row r="629">
      <c r="A629" s="37" t="n"/>
      <c r="B629" s="41" t="n"/>
      <c r="C629" s="41" t="n"/>
      <c r="D629" s="37" t="n"/>
    </row>
    <row r="630">
      <c r="A630" s="37" t="n"/>
      <c r="B630" s="41" t="n"/>
      <c r="C630" s="41" t="n"/>
      <c r="D630" s="37" t="n"/>
    </row>
    <row r="631">
      <c r="A631" s="37" t="n"/>
      <c r="B631" s="41" t="n"/>
      <c r="C631" s="41" t="n"/>
      <c r="D631" s="37" t="n"/>
    </row>
    <row r="632">
      <c r="A632" s="37" t="n"/>
      <c r="B632" s="41" t="n"/>
      <c r="C632" s="41" t="n"/>
      <c r="D632" s="37" t="n"/>
    </row>
  </sheetData>
  <mergeCells count="3">
    <mergeCell ref="AR101:AS102"/>
    <mergeCell ref="X101:X102"/>
    <mergeCell ref="AL101:AL102"/>
  </mergeCells>
  <conditionalFormatting sqref="I3:O100">
    <cfRule type="expression" priority="14" dxfId="6">
      <formula>OR(I3="Missed Hit")</formula>
    </cfRule>
    <cfRule type="expression" priority="13" dxfId="5" stopIfTrue="1">
      <formula>LEFT(I3,1)="3"</formula>
    </cfRule>
    <cfRule type="expression" priority="12" dxfId="4">
      <formula>LEFT(I3,1)="2"</formula>
    </cfRule>
    <cfRule type="expression" priority="11" dxfId="3">
      <formula>LEFT(I3,1)="0"</formula>
    </cfRule>
    <cfRule type="expression" priority="10" dxfId="2">
      <formula>LEFT(I3,1)="1"</formula>
    </cfRule>
    <cfRule type="expression" priority="9" dxfId="1" stopIfTrue="1">
      <formula>OR(I3="Not in war")</formula>
    </cfRule>
  </conditionalFormatting>
  <conditionalFormatting sqref="W3:X100">
    <cfRule type="expression" priority="8" dxfId="0" stopIfTrue="1">
      <formula>OR(W3&gt;0)</formula>
    </cfRule>
  </conditionalFormatting>
  <conditionalFormatting sqref="AC3:AI100">
    <cfRule type="expression" priority="7" dxfId="6">
      <formula>OR(AC3="Missed Hit")</formula>
    </cfRule>
    <cfRule type="expression" priority="6" dxfId="5" stopIfTrue="1">
      <formula>LEFT(AC3,1)="3"</formula>
    </cfRule>
    <cfRule type="expression" priority="5" dxfId="4">
      <formula>LEFT(AC3,1)="2"</formula>
    </cfRule>
    <cfRule type="expression" priority="4" dxfId="3">
      <formula>LEFT(AC3,1)="0"</formula>
    </cfRule>
    <cfRule type="expression" priority="3" dxfId="2">
      <formula>LEFT(AC3,1)="1"</formula>
    </cfRule>
    <cfRule type="expression" priority="2" dxfId="1" stopIfTrue="1">
      <formula>OR(AC3="Not in war")</formula>
    </cfRule>
  </conditionalFormatting>
  <conditionalFormatting sqref="AQ3:AQ100">
    <cfRule type="expression" priority="1" dxfId="0" stopIfTrue="1">
      <formula>OR(AQ3&gt;0)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2023-05-08T15:18:30Z</dcterms:created>
  <dcterms:modified xsi:type="dcterms:W3CDTF">2024-02-08T04:27:23Z</dcterms:modified>
  <cp:lastModifiedBy>Alexandre Boutot</cp:lastModifiedBy>
</cp:coreProperties>
</file>